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xia8\Dropbox\GBA472Tianli\Yr26\01_Lectures\Async\A2_data_crosstabs_OLS\web\data\"/>
    </mc:Choice>
  </mc:AlternateContent>
  <xr:revisionPtr revIDLastSave="0" documentId="8_{D860D72C-169A-4955-B5D0-60682AEF3728}" xr6:coauthVersionLast="47" xr6:coauthVersionMax="47" xr10:uidLastSave="{00000000-0000-0000-0000-000000000000}"/>
  <bookViews>
    <workbookView xWindow="3615" yWindow="3615" windowWidth="21600" windowHeight="11332" xr2:uid="{E616AE7C-63B5-4CBC-83A1-D2C080998A1A}"/>
  </bookViews>
  <sheets>
    <sheet name="Regression" sheetId="10" r:id="rId1"/>
    <sheet name="OLS" sheetId="9" r:id="rId2"/>
    <sheet name="pivot_cps" sheetId="8" r:id="rId3"/>
    <sheet name="cps99" sheetId="7" r:id="rId4"/>
    <sheet name="pivot_titanic" sheetId="6" r:id="rId5"/>
    <sheet name="titanic" sheetId="5" r:id="rId6"/>
    <sheet name="scatter" sheetId="4" r:id="rId7"/>
    <sheet name="histogram" sheetId="3" r:id="rId8"/>
    <sheet name="formulas" sheetId="2" r:id="rId9"/>
    <sheet name="diamonds" sheetId="1" r:id="rId10"/>
  </sheets>
  <calcPr calcId="191029"/>
  <pivotCaches>
    <pivotCache cacheId="6" r:id="rId11"/>
    <pivotCache cacheId="1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9" l="1"/>
  <c r="J13" i="9"/>
  <c r="J10" i="9"/>
  <c r="J9" i="9"/>
  <c r="J8" i="9"/>
  <c r="J7" i="9"/>
  <c r="E11" i="9"/>
  <c r="F11" i="9" s="1"/>
  <c r="E12" i="9"/>
  <c r="F12" i="9" s="1"/>
  <c r="E39" i="9"/>
  <c r="F39" i="9" s="1"/>
  <c r="E40" i="9"/>
  <c r="F40" i="9" s="1"/>
  <c r="E67" i="9"/>
  <c r="F67" i="9" s="1"/>
  <c r="E146" i="9"/>
  <c r="F146" i="9" s="1"/>
  <c r="E147" i="9"/>
  <c r="F147" i="9" s="1"/>
  <c r="E148" i="9"/>
  <c r="F148" i="9" s="1"/>
  <c r="E319" i="9"/>
  <c r="F319" i="9" s="1"/>
  <c r="E320" i="9"/>
  <c r="F320" i="9" s="1"/>
  <c r="E342" i="9"/>
  <c r="F342" i="9" s="1"/>
  <c r="E343" i="9"/>
  <c r="F343" i="9" s="1"/>
  <c r="E344" i="9"/>
  <c r="F344" i="9" s="1"/>
  <c r="D2" i="9"/>
  <c r="E2" i="9" s="1"/>
  <c r="F2" i="9" s="1"/>
  <c r="D3" i="9"/>
  <c r="E3" i="9" s="1"/>
  <c r="F3" i="9" s="1"/>
  <c r="D4" i="9"/>
  <c r="E4" i="9" s="1"/>
  <c r="F4" i="9" s="1"/>
  <c r="D5" i="9"/>
  <c r="E5" i="9" s="1"/>
  <c r="F5" i="9" s="1"/>
  <c r="D6" i="9"/>
  <c r="E6" i="9" s="1"/>
  <c r="F6" i="9" s="1"/>
  <c r="D7" i="9"/>
  <c r="E7" i="9" s="1"/>
  <c r="F7" i="9" s="1"/>
  <c r="D8" i="9"/>
  <c r="E8" i="9" s="1"/>
  <c r="F8" i="9" s="1"/>
  <c r="D9" i="9"/>
  <c r="E9" i="9" s="1"/>
  <c r="F9" i="9" s="1"/>
  <c r="D10" i="9"/>
  <c r="E10" i="9" s="1"/>
  <c r="F10" i="9" s="1"/>
  <c r="D11" i="9"/>
  <c r="D12" i="9"/>
  <c r="D13" i="9"/>
  <c r="E13" i="9" s="1"/>
  <c r="F13" i="9" s="1"/>
  <c r="D14" i="9"/>
  <c r="E14" i="9" s="1"/>
  <c r="F14" i="9" s="1"/>
  <c r="D15" i="9"/>
  <c r="E15" i="9" s="1"/>
  <c r="F15" i="9" s="1"/>
  <c r="D16" i="9"/>
  <c r="E16" i="9" s="1"/>
  <c r="F16" i="9" s="1"/>
  <c r="D17" i="9"/>
  <c r="E17" i="9" s="1"/>
  <c r="F17" i="9" s="1"/>
  <c r="D18" i="9"/>
  <c r="E18" i="9" s="1"/>
  <c r="F18" i="9" s="1"/>
  <c r="D19" i="9"/>
  <c r="E19" i="9" s="1"/>
  <c r="F19" i="9" s="1"/>
  <c r="D20" i="9"/>
  <c r="E20" i="9" s="1"/>
  <c r="F20" i="9" s="1"/>
  <c r="D21" i="9"/>
  <c r="E21" i="9" s="1"/>
  <c r="F21" i="9" s="1"/>
  <c r="D22" i="9"/>
  <c r="E22" i="9" s="1"/>
  <c r="F22" i="9" s="1"/>
  <c r="D23" i="9"/>
  <c r="E23" i="9" s="1"/>
  <c r="F23" i="9" s="1"/>
  <c r="D24" i="9"/>
  <c r="E24" i="9" s="1"/>
  <c r="F24" i="9" s="1"/>
  <c r="D25" i="9"/>
  <c r="E25" i="9" s="1"/>
  <c r="F25" i="9" s="1"/>
  <c r="D26" i="9"/>
  <c r="E26" i="9" s="1"/>
  <c r="F26" i="9" s="1"/>
  <c r="D27" i="9"/>
  <c r="E27" i="9" s="1"/>
  <c r="F27" i="9" s="1"/>
  <c r="D28" i="9"/>
  <c r="E28" i="9" s="1"/>
  <c r="F28" i="9" s="1"/>
  <c r="D29" i="9"/>
  <c r="E29" i="9" s="1"/>
  <c r="F29" i="9" s="1"/>
  <c r="D30" i="9"/>
  <c r="E30" i="9" s="1"/>
  <c r="F30" i="9" s="1"/>
  <c r="D31" i="9"/>
  <c r="E31" i="9" s="1"/>
  <c r="F31" i="9" s="1"/>
  <c r="D32" i="9"/>
  <c r="E32" i="9" s="1"/>
  <c r="F32" i="9" s="1"/>
  <c r="D33" i="9"/>
  <c r="E33" i="9" s="1"/>
  <c r="F33" i="9" s="1"/>
  <c r="D34" i="9"/>
  <c r="E34" i="9" s="1"/>
  <c r="F34" i="9" s="1"/>
  <c r="D35" i="9"/>
  <c r="E35" i="9" s="1"/>
  <c r="F35" i="9" s="1"/>
  <c r="D36" i="9"/>
  <c r="E36" i="9" s="1"/>
  <c r="F36" i="9" s="1"/>
  <c r="D37" i="9"/>
  <c r="E37" i="9" s="1"/>
  <c r="F37" i="9" s="1"/>
  <c r="D38" i="9"/>
  <c r="E38" i="9" s="1"/>
  <c r="F38" i="9" s="1"/>
  <c r="D39" i="9"/>
  <c r="D40" i="9"/>
  <c r="D41" i="9"/>
  <c r="E41" i="9" s="1"/>
  <c r="F41" i="9" s="1"/>
  <c r="D42" i="9"/>
  <c r="E42" i="9" s="1"/>
  <c r="F42" i="9" s="1"/>
  <c r="D43" i="9"/>
  <c r="E43" i="9" s="1"/>
  <c r="F43" i="9" s="1"/>
  <c r="D44" i="9"/>
  <c r="E44" i="9" s="1"/>
  <c r="F44" i="9" s="1"/>
  <c r="D45" i="9"/>
  <c r="E45" i="9" s="1"/>
  <c r="F45" i="9" s="1"/>
  <c r="D46" i="9"/>
  <c r="E46" i="9" s="1"/>
  <c r="F46" i="9" s="1"/>
  <c r="D47" i="9"/>
  <c r="E47" i="9" s="1"/>
  <c r="F47" i="9" s="1"/>
  <c r="D48" i="9"/>
  <c r="E48" i="9" s="1"/>
  <c r="F48" i="9" s="1"/>
  <c r="D49" i="9"/>
  <c r="E49" i="9" s="1"/>
  <c r="F49" i="9" s="1"/>
  <c r="D50" i="9"/>
  <c r="E50" i="9" s="1"/>
  <c r="F50" i="9" s="1"/>
  <c r="D51" i="9"/>
  <c r="E51" i="9" s="1"/>
  <c r="F51" i="9" s="1"/>
  <c r="D52" i="9"/>
  <c r="E52" i="9" s="1"/>
  <c r="F52" i="9" s="1"/>
  <c r="D53" i="9"/>
  <c r="E53" i="9" s="1"/>
  <c r="F53" i="9" s="1"/>
  <c r="D54" i="9"/>
  <c r="E54" i="9" s="1"/>
  <c r="F54" i="9" s="1"/>
  <c r="D55" i="9"/>
  <c r="E55" i="9" s="1"/>
  <c r="F55" i="9" s="1"/>
  <c r="D56" i="9"/>
  <c r="E56" i="9" s="1"/>
  <c r="F56" i="9" s="1"/>
  <c r="D57" i="9"/>
  <c r="E57" i="9" s="1"/>
  <c r="F57" i="9" s="1"/>
  <c r="D58" i="9"/>
  <c r="E58" i="9" s="1"/>
  <c r="F58" i="9" s="1"/>
  <c r="D59" i="9"/>
  <c r="E59" i="9" s="1"/>
  <c r="F59" i="9" s="1"/>
  <c r="D60" i="9"/>
  <c r="E60" i="9" s="1"/>
  <c r="F60" i="9" s="1"/>
  <c r="D61" i="9"/>
  <c r="E61" i="9" s="1"/>
  <c r="F61" i="9" s="1"/>
  <c r="D62" i="9"/>
  <c r="E62" i="9" s="1"/>
  <c r="F62" i="9" s="1"/>
  <c r="D63" i="9"/>
  <c r="E63" i="9" s="1"/>
  <c r="F63" i="9" s="1"/>
  <c r="D64" i="9"/>
  <c r="E64" i="9" s="1"/>
  <c r="F64" i="9" s="1"/>
  <c r="D65" i="9"/>
  <c r="E65" i="9" s="1"/>
  <c r="F65" i="9" s="1"/>
  <c r="D66" i="9"/>
  <c r="E66" i="9" s="1"/>
  <c r="F66" i="9" s="1"/>
  <c r="D67" i="9"/>
  <c r="D68" i="9"/>
  <c r="E68" i="9" s="1"/>
  <c r="F68" i="9" s="1"/>
  <c r="D69" i="9"/>
  <c r="E69" i="9" s="1"/>
  <c r="F69" i="9" s="1"/>
  <c r="D70" i="9"/>
  <c r="E70" i="9" s="1"/>
  <c r="F70" i="9" s="1"/>
  <c r="D71" i="9"/>
  <c r="E71" i="9" s="1"/>
  <c r="F71" i="9" s="1"/>
  <c r="D72" i="9"/>
  <c r="E72" i="9" s="1"/>
  <c r="F72" i="9" s="1"/>
  <c r="D73" i="9"/>
  <c r="E73" i="9" s="1"/>
  <c r="F73" i="9" s="1"/>
  <c r="D74" i="9"/>
  <c r="E74" i="9" s="1"/>
  <c r="F74" i="9" s="1"/>
  <c r="D75" i="9"/>
  <c r="E75" i="9" s="1"/>
  <c r="F75" i="9" s="1"/>
  <c r="D76" i="9"/>
  <c r="E76" i="9" s="1"/>
  <c r="F76" i="9" s="1"/>
  <c r="D77" i="9"/>
  <c r="E77" i="9" s="1"/>
  <c r="F77" i="9" s="1"/>
  <c r="D78" i="9"/>
  <c r="E78" i="9" s="1"/>
  <c r="F78" i="9" s="1"/>
  <c r="D79" i="9"/>
  <c r="E79" i="9" s="1"/>
  <c r="F79" i="9" s="1"/>
  <c r="D80" i="9"/>
  <c r="E80" i="9" s="1"/>
  <c r="F80" i="9" s="1"/>
  <c r="D81" i="9"/>
  <c r="E81" i="9" s="1"/>
  <c r="F81" i="9" s="1"/>
  <c r="D82" i="9"/>
  <c r="E82" i="9" s="1"/>
  <c r="F82" i="9" s="1"/>
  <c r="D83" i="9"/>
  <c r="E83" i="9" s="1"/>
  <c r="F83" i="9" s="1"/>
  <c r="D84" i="9"/>
  <c r="E84" i="9" s="1"/>
  <c r="F84" i="9" s="1"/>
  <c r="D85" i="9"/>
  <c r="E85" i="9" s="1"/>
  <c r="F85" i="9" s="1"/>
  <c r="D86" i="9"/>
  <c r="E86" i="9" s="1"/>
  <c r="F86" i="9" s="1"/>
  <c r="D87" i="9"/>
  <c r="E87" i="9" s="1"/>
  <c r="F87" i="9" s="1"/>
  <c r="D88" i="9"/>
  <c r="E88" i="9" s="1"/>
  <c r="F88" i="9" s="1"/>
  <c r="D89" i="9"/>
  <c r="E89" i="9" s="1"/>
  <c r="F89" i="9" s="1"/>
  <c r="D90" i="9"/>
  <c r="E90" i="9" s="1"/>
  <c r="F90" i="9" s="1"/>
  <c r="D91" i="9"/>
  <c r="E91" i="9" s="1"/>
  <c r="F91" i="9" s="1"/>
  <c r="D92" i="9"/>
  <c r="E92" i="9" s="1"/>
  <c r="F92" i="9" s="1"/>
  <c r="D93" i="9"/>
  <c r="E93" i="9" s="1"/>
  <c r="F93" i="9" s="1"/>
  <c r="D94" i="9"/>
  <c r="E94" i="9" s="1"/>
  <c r="F94" i="9" s="1"/>
  <c r="D95" i="9"/>
  <c r="E95" i="9" s="1"/>
  <c r="F95" i="9" s="1"/>
  <c r="D96" i="9"/>
  <c r="E96" i="9" s="1"/>
  <c r="F96" i="9" s="1"/>
  <c r="D97" i="9"/>
  <c r="E97" i="9" s="1"/>
  <c r="F97" i="9" s="1"/>
  <c r="D98" i="9"/>
  <c r="E98" i="9" s="1"/>
  <c r="F98" i="9" s="1"/>
  <c r="D99" i="9"/>
  <c r="E99" i="9" s="1"/>
  <c r="F99" i="9" s="1"/>
  <c r="D100" i="9"/>
  <c r="E100" i="9" s="1"/>
  <c r="F100" i="9" s="1"/>
  <c r="D101" i="9"/>
  <c r="E101" i="9" s="1"/>
  <c r="F101" i="9" s="1"/>
  <c r="D102" i="9"/>
  <c r="E102" i="9" s="1"/>
  <c r="F102" i="9" s="1"/>
  <c r="D103" i="9"/>
  <c r="E103" i="9" s="1"/>
  <c r="F103" i="9" s="1"/>
  <c r="D104" i="9"/>
  <c r="E104" i="9" s="1"/>
  <c r="F104" i="9" s="1"/>
  <c r="D105" i="9"/>
  <c r="E105" i="9" s="1"/>
  <c r="F105" i="9" s="1"/>
  <c r="D106" i="9"/>
  <c r="E106" i="9" s="1"/>
  <c r="F106" i="9" s="1"/>
  <c r="D107" i="9"/>
  <c r="E107" i="9" s="1"/>
  <c r="F107" i="9" s="1"/>
  <c r="D108" i="9"/>
  <c r="E108" i="9" s="1"/>
  <c r="F108" i="9" s="1"/>
  <c r="D109" i="9"/>
  <c r="E109" i="9" s="1"/>
  <c r="F109" i="9" s="1"/>
  <c r="D110" i="9"/>
  <c r="E110" i="9" s="1"/>
  <c r="F110" i="9" s="1"/>
  <c r="D111" i="9"/>
  <c r="E111" i="9" s="1"/>
  <c r="F111" i="9" s="1"/>
  <c r="D112" i="9"/>
  <c r="E112" i="9" s="1"/>
  <c r="F112" i="9" s="1"/>
  <c r="D113" i="9"/>
  <c r="E113" i="9" s="1"/>
  <c r="F113" i="9" s="1"/>
  <c r="D114" i="9"/>
  <c r="E114" i="9" s="1"/>
  <c r="F114" i="9" s="1"/>
  <c r="D115" i="9"/>
  <c r="E115" i="9" s="1"/>
  <c r="F115" i="9" s="1"/>
  <c r="D116" i="9"/>
  <c r="E116" i="9" s="1"/>
  <c r="F116" i="9" s="1"/>
  <c r="D117" i="9"/>
  <c r="E117" i="9" s="1"/>
  <c r="F117" i="9" s="1"/>
  <c r="D118" i="9"/>
  <c r="E118" i="9" s="1"/>
  <c r="F118" i="9" s="1"/>
  <c r="D119" i="9"/>
  <c r="E119" i="9" s="1"/>
  <c r="F119" i="9" s="1"/>
  <c r="D120" i="9"/>
  <c r="E120" i="9" s="1"/>
  <c r="F120" i="9" s="1"/>
  <c r="D121" i="9"/>
  <c r="E121" i="9" s="1"/>
  <c r="F121" i="9" s="1"/>
  <c r="D122" i="9"/>
  <c r="E122" i="9" s="1"/>
  <c r="F122" i="9" s="1"/>
  <c r="D123" i="9"/>
  <c r="E123" i="9" s="1"/>
  <c r="F123" i="9" s="1"/>
  <c r="D124" i="9"/>
  <c r="E124" i="9" s="1"/>
  <c r="F124" i="9" s="1"/>
  <c r="D125" i="9"/>
  <c r="E125" i="9" s="1"/>
  <c r="F125" i="9" s="1"/>
  <c r="D126" i="9"/>
  <c r="E126" i="9" s="1"/>
  <c r="F126" i="9" s="1"/>
  <c r="D127" i="9"/>
  <c r="E127" i="9" s="1"/>
  <c r="F127" i="9" s="1"/>
  <c r="D128" i="9"/>
  <c r="E128" i="9" s="1"/>
  <c r="F128" i="9" s="1"/>
  <c r="D129" i="9"/>
  <c r="E129" i="9" s="1"/>
  <c r="F129" i="9" s="1"/>
  <c r="D130" i="9"/>
  <c r="E130" i="9" s="1"/>
  <c r="F130" i="9" s="1"/>
  <c r="D131" i="9"/>
  <c r="E131" i="9" s="1"/>
  <c r="F131" i="9" s="1"/>
  <c r="D132" i="9"/>
  <c r="E132" i="9" s="1"/>
  <c r="F132" i="9" s="1"/>
  <c r="D133" i="9"/>
  <c r="E133" i="9" s="1"/>
  <c r="F133" i="9" s="1"/>
  <c r="D134" i="9"/>
  <c r="E134" i="9" s="1"/>
  <c r="F134" i="9" s="1"/>
  <c r="D135" i="9"/>
  <c r="E135" i="9" s="1"/>
  <c r="F135" i="9" s="1"/>
  <c r="D136" i="9"/>
  <c r="E136" i="9" s="1"/>
  <c r="F136" i="9" s="1"/>
  <c r="D137" i="9"/>
  <c r="E137" i="9" s="1"/>
  <c r="F137" i="9" s="1"/>
  <c r="D138" i="9"/>
  <c r="E138" i="9" s="1"/>
  <c r="F138" i="9" s="1"/>
  <c r="D139" i="9"/>
  <c r="E139" i="9" s="1"/>
  <c r="F139" i="9" s="1"/>
  <c r="D140" i="9"/>
  <c r="E140" i="9" s="1"/>
  <c r="F140" i="9" s="1"/>
  <c r="D141" i="9"/>
  <c r="E141" i="9" s="1"/>
  <c r="F141" i="9" s="1"/>
  <c r="D142" i="9"/>
  <c r="E142" i="9" s="1"/>
  <c r="F142" i="9" s="1"/>
  <c r="D143" i="9"/>
  <c r="E143" i="9" s="1"/>
  <c r="F143" i="9" s="1"/>
  <c r="D144" i="9"/>
  <c r="E144" i="9" s="1"/>
  <c r="F144" i="9" s="1"/>
  <c r="D145" i="9"/>
  <c r="E145" i="9" s="1"/>
  <c r="F145" i="9" s="1"/>
  <c r="D146" i="9"/>
  <c r="D147" i="9"/>
  <c r="D148" i="9"/>
  <c r="D149" i="9"/>
  <c r="E149" i="9" s="1"/>
  <c r="F149" i="9" s="1"/>
  <c r="D150" i="9"/>
  <c r="E150" i="9" s="1"/>
  <c r="F150" i="9" s="1"/>
  <c r="D151" i="9"/>
  <c r="E151" i="9" s="1"/>
  <c r="F151" i="9" s="1"/>
  <c r="D152" i="9"/>
  <c r="E152" i="9" s="1"/>
  <c r="F152" i="9" s="1"/>
  <c r="D153" i="9"/>
  <c r="E153" i="9" s="1"/>
  <c r="F153" i="9" s="1"/>
  <c r="D154" i="9"/>
  <c r="E154" i="9" s="1"/>
  <c r="F154" i="9" s="1"/>
  <c r="D155" i="9"/>
  <c r="E155" i="9" s="1"/>
  <c r="F155" i="9" s="1"/>
  <c r="D156" i="9"/>
  <c r="E156" i="9" s="1"/>
  <c r="F156" i="9" s="1"/>
  <c r="D157" i="9"/>
  <c r="E157" i="9" s="1"/>
  <c r="F157" i="9" s="1"/>
  <c r="D158" i="9"/>
  <c r="E158" i="9" s="1"/>
  <c r="F158" i="9" s="1"/>
  <c r="D159" i="9"/>
  <c r="E159" i="9" s="1"/>
  <c r="F159" i="9" s="1"/>
  <c r="D160" i="9"/>
  <c r="E160" i="9" s="1"/>
  <c r="F160" i="9" s="1"/>
  <c r="D161" i="9"/>
  <c r="E161" i="9" s="1"/>
  <c r="F161" i="9" s="1"/>
  <c r="D162" i="9"/>
  <c r="E162" i="9" s="1"/>
  <c r="F162" i="9" s="1"/>
  <c r="D163" i="9"/>
  <c r="E163" i="9" s="1"/>
  <c r="F163" i="9" s="1"/>
  <c r="D164" i="9"/>
  <c r="E164" i="9" s="1"/>
  <c r="F164" i="9" s="1"/>
  <c r="D165" i="9"/>
  <c r="E165" i="9" s="1"/>
  <c r="F165" i="9" s="1"/>
  <c r="D166" i="9"/>
  <c r="E166" i="9" s="1"/>
  <c r="F166" i="9" s="1"/>
  <c r="D167" i="9"/>
  <c r="E167" i="9" s="1"/>
  <c r="F167" i="9" s="1"/>
  <c r="D168" i="9"/>
  <c r="E168" i="9" s="1"/>
  <c r="F168" i="9" s="1"/>
  <c r="D169" i="9"/>
  <c r="E169" i="9" s="1"/>
  <c r="F169" i="9" s="1"/>
  <c r="D170" i="9"/>
  <c r="E170" i="9" s="1"/>
  <c r="F170" i="9" s="1"/>
  <c r="D171" i="9"/>
  <c r="E171" i="9" s="1"/>
  <c r="F171" i="9" s="1"/>
  <c r="D172" i="9"/>
  <c r="E172" i="9" s="1"/>
  <c r="F172" i="9" s="1"/>
  <c r="D173" i="9"/>
  <c r="E173" i="9" s="1"/>
  <c r="F173" i="9" s="1"/>
  <c r="D174" i="9"/>
  <c r="E174" i="9" s="1"/>
  <c r="F174" i="9" s="1"/>
  <c r="D175" i="9"/>
  <c r="E175" i="9" s="1"/>
  <c r="F175" i="9" s="1"/>
  <c r="D176" i="9"/>
  <c r="E176" i="9" s="1"/>
  <c r="F176" i="9" s="1"/>
  <c r="D177" i="9"/>
  <c r="E177" i="9" s="1"/>
  <c r="F177" i="9" s="1"/>
  <c r="D178" i="9"/>
  <c r="E178" i="9" s="1"/>
  <c r="F178" i="9" s="1"/>
  <c r="D179" i="9"/>
  <c r="E179" i="9" s="1"/>
  <c r="F179" i="9" s="1"/>
  <c r="D180" i="9"/>
  <c r="E180" i="9" s="1"/>
  <c r="F180" i="9" s="1"/>
  <c r="D181" i="9"/>
  <c r="E181" i="9" s="1"/>
  <c r="F181" i="9" s="1"/>
  <c r="D182" i="9"/>
  <c r="E182" i="9" s="1"/>
  <c r="F182" i="9" s="1"/>
  <c r="D183" i="9"/>
  <c r="E183" i="9" s="1"/>
  <c r="F183" i="9" s="1"/>
  <c r="D184" i="9"/>
  <c r="E184" i="9" s="1"/>
  <c r="F184" i="9" s="1"/>
  <c r="D185" i="9"/>
  <c r="E185" i="9" s="1"/>
  <c r="F185" i="9" s="1"/>
  <c r="D186" i="9"/>
  <c r="E186" i="9" s="1"/>
  <c r="F186" i="9" s="1"/>
  <c r="D187" i="9"/>
  <c r="E187" i="9" s="1"/>
  <c r="F187" i="9" s="1"/>
  <c r="D188" i="9"/>
  <c r="E188" i="9" s="1"/>
  <c r="F188" i="9" s="1"/>
  <c r="D189" i="9"/>
  <c r="E189" i="9" s="1"/>
  <c r="F189" i="9" s="1"/>
  <c r="D190" i="9"/>
  <c r="E190" i="9" s="1"/>
  <c r="F190" i="9" s="1"/>
  <c r="D191" i="9"/>
  <c r="E191" i="9" s="1"/>
  <c r="F191" i="9" s="1"/>
  <c r="D192" i="9"/>
  <c r="E192" i="9" s="1"/>
  <c r="F192" i="9" s="1"/>
  <c r="D193" i="9"/>
  <c r="E193" i="9" s="1"/>
  <c r="F193" i="9" s="1"/>
  <c r="D194" i="9"/>
  <c r="E194" i="9" s="1"/>
  <c r="F194" i="9" s="1"/>
  <c r="D195" i="9"/>
  <c r="E195" i="9" s="1"/>
  <c r="F195" i="9" s="1"/>
  <c r="D196" i="9"/>
  <c r="E196" i="9" s="1"/>
  <c r="F196" i="9" s="1"/>
  <c r="D197" i="9"/>
  <c r="E197" i="9" s="1"/>
  <c r="F197" i="9" s="1"/>
  <c r="D198" i="9"/>
  <c r="E198" i="9" s="1"/>
  <c r="F198" i="9" s="1"/>
  <c r="D199" i="9"/>
  <c r="E199" i="9" s="1"/>
  <c r="F199" i="9" s="1"/>
  <c r="D200" i="9"/>
  <c r="E200" i="9" s="1"/>
  <c r="F200" i="9" s="1"/>
  <c r="D201" i="9"/>
  <c r="E201" i="9" s="1"/>
  <c r="F201" i="9" s="1"/>
  <c r="D202" i="9"/>
  <c r="E202" i="9" s="1"/>
  <c r="F202" i="9" s="1"/>
  <c r="D203" i="9"/>
  <c r="E203" i="9" s="1"/>
  <c r="F203" i="9" s="1"/>
  <c r="D204" i="9"/>
  <c r="E204" i="9" s="1"/>
  <c r="F204" i="9" s="1"/>
  <c r="D205" i="9"/>
  <c r="E205" i="9" s="1"/>
  <c r="F205" i="9" s="1"/>
  <c r="D206" i="9"/>
  <c r="E206" i="9" s="1"/>
  <c r="F206" i="9" s="1"/>
  <c r="D207" i="9"/>
  <c r="E207" i="9" s="1"/>
  <c r="F207" i="9" s="1"/>
  <c r="D208" i="9"/>
  <c r="E208" i="9" s="1"/>
  <c r="F208" i="9" s="1"/>
  <c r="D209" i="9"/>
  <c r="E209" i="9" s="1"/>
  <c r="F209" i="9" s="1"/>
  <c r="D210" i="9"/>
  <c r="E210" i="9" s="1"/>
  <c r="F210" i="9" s="1"/>
  <c r="D211" i="9"/>
  <c r="E211" i="9" s="1"/>
  <c r="F211" i="9" s="1"/>
  <c r="D212" i="9"/>
  <c r="E212" i="9" s="1"/>
  <c r="F212" i="9" s="1"/>
  <c r="D213" i="9"/>
  <c r="E213" i="9" s="1"/>
  <c r="F213" i="9" s="1"/>
  <c r="D214" i="9"/>
  <c r="E214" i="9" s="1"/>
  <c r="F214" i="9" s="1"/>
  <c r="D215" i="9"/>
  <c r="E215" i="9" s="1"/>
  <c r="F215" i="9" s="1"/>
  <c r="D216" i="9"/>
  <c r="E216" i="9" s="1"/>
  <c r="F216" i="9" s="1"/>
  <c r="D217" i="9"/>
  <c r="E217" i="9" s="1"/>
  <c r="F217" i="9" s="1"/>
  <c r="D218" i="9"/>
  <c r="E218" i="9" s="1"/>
  <c r="F218" i="9" s="1"/>
  <c r="D219" i="9"/>
  <c r="E219" i="9" s="1"/>
  <c r="F219" i="9" s="1"/>
  <c r="D220" i="9"/>
  <c r="E220" i="9" s="1"/>
  <c r="F220" i="9" s="1"/>
  <c r="D221" i="9"/>
  <c r="E221" i="9" s="1"/>
  <c r="F221" i="9" s="1"/>
  <c r="D222" i="9"/>
  <c r="E222" i="9" s="1"/>
  <c r="F222" i="9" s="1"/>
  <c r="D223" i="9"/>
  <c r="E223" i="9" s="1"/>
  <c r="F223" i="9" s="1"/>
  <c r="D224" i="9"/>
  <c r="E224" i="9" s="1"/>
  <c r="F224" i="9" s="1"/>
  <c r="D225" i="9"/>
  <c r="E225" i="9" s="1"/>
  <c r="F225" i="9" s="1"/>
  <c r="D226" i="9"/>
  <c r="E226" i="9" s="1"/>
  <c r="F226" i="9" s="1"/>
  <c r="D227" i="9"/>
  <c r="E227" i="9" s="1"/>
  <c r="F227" i="9" s="1"/>
  <c r="D228" i="9"/>
  <c r="E228" i="9" s="1"/>
  <c r="F228" i="9" s="1"/>
  <c r="D229" i="9"/>
  <c r="E229" i="9" s="1"/>
  <c r="F229" i="9" s="1"/>
  <c r="D230" i="9"/>
  <c r="E230" i="9" s="1"/>
  <c r="F230" i="9" s="1"/>
  <c r="D231" i="9"/>
  <c r="E231" i="9" s="1"/>
  <c r="F231" i="9" s="1"/>
  <c r="D232" i="9"/>
  <c r="E232" i="9" s="1"/>
  <c r="F232" i="9" s="1"/>
  <c r="D233" i="9"/>
  <c r="E233" i="9" s="1"/>
  <c r="F233" i="9" s="1"/>
  <c r="D234" i="9"/>
  <c r="E234" i="9" s="1"/>
  <c r="F234" i="9" s="1"/>
  <c r="D235" i="9"/>
  <c r="E235" i="9" s="1"/>
  <c r="F235" i="9" s="1"/>
  <c r="D236" i="9"/>
  <c r="E236" i="9" s="1"/>
  <c r="F236" i="9" s="1"/>
  <c r="D237" i="9"/>
  <c r="E237" i="9" s="1"/>
  <c r="F237" i="9" s="1"/>
  <c r="D238" i="9"/>
  <c r="E238" i="9" s="1"/>
  <c r="F238" i="9" s="1"/>
  <c r="D239" i="9"/>
  <c r="E239" i="9" s="1"/>
  <c r="F239" i="9" s="1"/>
  <c r="D240" i="9"/>
  <c r="E240" i="9" s="1"/>
  <c r="F240" i="9" s="1"/>
  <c r="D241" i="9"/>
  <c r="E241" i="9" s="1"/>
  <c r="F241" i="9" s="1"/>
  <c r="D242" i="9"/>
  <c r="E242" i="9" s="1"/>
  <c r="F242" i="9" s="1"/>
  <c r="D243" i="9"/>
  <c r="E243" i="9" s="1"/>
  <c r="F243" i="9" s="1"/>
  <c r="D244" i="9"/>
  <c r="E244" i="9" s="1"/>
  <c r="F244" i="9" s="1"/>
  <c r="D245" i="9"/>
  <c r="E245" i="9" s="1"/>
  <c r="F245" i="9" s="1"/>
  <c r="D246" i="9"/>
  <c r="E246" i="9" s="1"/>
  <c r="F246" i="9" s="1"/>
  <c r="D247" i="9"/>
  <c r="E247" i="9" s="1"/>
  <c r="F247" i="9" s="1"/>
  <c r="D248" i="9"/>
  <c r="E248" i="9" s="1"/>
  <c r="F248" i="9" s="1"/>
  <c r="D249" i="9"/>
  <c r="E249" i="9" s="1"/>
  <c r="F249" i="9" s="1"/>
  <c r="D250" i="9"/>
  <c r="E250" i="9" s="1"/>
  <c r="F250" i="9" s="1"/>
  <c r="D251" i="9"/>
  <c r="E251" i="9" s="1"/>
  <c r="F251" i="9" s="1"/>
  <c r="D252" i="9"/>
  <c r="E252" i="9" s="1"/>
  <c r="F252" i="9" s="1"/>
  <c r="D253" i="9"/>
  <c r="E253" i="9" s="1"/>
  <c r="F253" i="9" s="1"/>
  <c r="D254" i="9"/>
  <c r="E254" i="9" s="1"/>
  <c r="F254" i="9" s="1"/>
  <c r="D255" i="9"/>
  <c r="E255" i="9" s="1"/>
  <c r="F255" i="9" s="1"/>
  <c r="D256" i="9"/>
  <c r="E256" i="9" s="1"/>
  <c r="F256" i="9" s="1"/>
  <c r="D257" i="9"/>
  <c r="E257" i="9" s="1"/>
  <c r="F257" i="9" s="1"/>
  <c r="D258" i="9"/>
  <c r="E258" i="9" s="1"/>
  <c r="F258" i="9" s="1"/>
  <c r="D259" i="9"/>
  <c r="E259" i="9" s="1"/>
  <c r="F259" i="9" s="1"/>
  <c r="D260" i="9"/>
  <c r="E260" i="9" s="1"/>
  <c r="F260" i="9" s="1"/>
  <c r="D261" i="9"/>
  <c r="E261" i="9" s="1"/>
  <c r="F261" i="9" s="1"/>
  <c r="D262" i="9"/>
  <c r="E262" i="9" s="1"/>
  <c r="F262" i="9" s="1"/>
  <c r="D263" i="9"/>
  <c r="E263" i="9" s="1"/>
  <c r="F263" i="9" s="1"/>
  <c r="D264" i="9"/>
  <c r="E264" i="9" s="1"/>
  <c r="F264" i="9" s="1"/>
  <c r="D265" i="9"/>
  <c r="E265" i="9" s="1"/>
  <c r="F265" i="9" s="1"/>
  <c r="D266" i="9"/>
  <c r="E266" i="9" s="1"/>
  <c r="F266" i="9" s="1"/>
  <c r="D267" i="9"/>
  <c r="E267" i="9" s="1"/>
  <c r="F267" i="9" s="1"/>
  <c r="D268" i="9"/>
  <c r="E268" i="9" s="1"/>
  <c r="F268" i="9" s="1"/>
  <c r="D269" i="9"/>
  <c r="E269" i="9" s="1"/>
  <c r="F269" i="9" s="1"/>
  <c r="D270" i="9"/>
  <c r="E270" i="9" s="1"/>
  <c r="F270" i="9" s="1"/>
  <c r="D271" i="9"/>
  <c r="E271" i="9" s="1"/>
  <c r="F271" i="9" s="1"/>
  <c r="D272" i="9"/>
  <c r="E272" i="9" s="1"/>
  <c r="F272" i="9" s="1"/>
  <c r="D273" i="9"/>
  <c r="E273" i="9" s="1"/>
  <c r="F273" i="9" s="1"/>
  <c r="D274" i="9"/>
  <c r="E274" i="9" s="1"/>
  <c r="F274" i="9" s="1"/>
  <c r="D275" i="9"/>
  <c r="E275" i="9" s="1"/>
  <c r="F275" i="9" s="1"/>
  <c r="D276" i="9"/>
  <c r="E276" i="9" s="1"/>
  <c r="F276" i="9" s="1"/>
  <c r="D277" i="9"/>
  <c r="E277" i="9" s="1"/>
  <c r="F277" i="9" s="1"/>
  <c r="D278" i="9"/>
  <c r="E278" i="9" s="1"/>
  <c r="F278" i="9" s="1"/>
  <c r="D279" i="9"/>
  <c r="E279" i="9" s="1"/>
  <c r="F279" i="9" s="1"/>
  <c r="D280" i="9"/>
  <c r="E280" i="9" s="1"/>
  <c r="F280" i="9" s="1"/>
  <c r="D281" i="9"/>
  <c r="E281" i="9" s="1"/>
  <c r="F281" i="9" s="1"/>
  <c r="D282" i="9"/>
  <c r="E282" i="9" s="1"/>
  <c r="F282" i="9" s="1"/>
  <c r="D283" i="9"/>
  <c r="E283" i="9" s="1"/>
  <c r="F283" i="9" s="1"/>
  <c r="D284" i="9"/>
  <c r="E284" i="9" s="1"/>
  <c r="F284" i="9" s="1"/>
  <c r="D285" i="9"/>
  <c r="E285" i="9" s="1"/>
  <c r="F285" i="9" s="1"/>
  <c r="D286" i="9"/>
  <c r="E286" i="9" s="1"/>
  <c r="F286" i="9" s="1"/>
  <c r="D287" i="9"/>
  <c r="E287" i="9" s="1"/>
  <c r="F287" i="9" s="1"/>
  <c r="D288" i="9"/>
  <c r="E288" i="9" s="1"/>
  <c r="F288" i="9" s="1"/>
  <c r="D289" i="9"/>
  <c r="E289" i="9" s="1"/>
  <c r="F289" i="9" s="1"/>
  <c r="D290" i="9"/>
  <c r="E290" i="9" s="1"/>
  <c r="F290" i="9" s="1"/>
  <c r="D291" i="9"/>
  <c r="E291" i="9" s="1"/>
  <c r="F291" i="9" s="1"/>
  <c r="D292" i="9"/>
  <c r="E292" i="9" s="1"/>
  <c r="F292" i="9" s="1"/>
  <c r="D293" i="9"/>
  <c r="E293" i="9" s="1"/>
  <c r="F293" i="9" s="1"/>
  <c r="D294" i="9"/>
  <c r="E294" i="9" s="1"/>
  <c r="F294" i="9" s="1"/>
  <c r="D295" i="9"/>
  <c r="E295" i="9" s="1"/>
  <c r="F295" i="9" s="1"/>
  <c r="D296" i="9"/>
  <c r="E296" i="9" s="1"/>
  <c r="F296" i="9" s="1"/>
  <c r="D297" i="9"/>
  <c r="E297" i="9" s="1"/>
  <c r="F297" i="9" s="1"/>
  <c r="D298" i="9"/>
  <c r="E298" i="9" s="1"/>
  <c r="F298" i="9" s="1"/>
  <c r="D299" i="9"/>
  <c r="E299" i="9" s="1"/>
  <c r="F299" i="9" s="1"/>
  <c r="D300" i="9"/>
  <c r="E300" i="9" s="1"/>
  <c r="F300" i="9" s="1"/>
  <c r="D301" i="9"/>
  <c r="E301" i="9" s="1"/>
  <c r="F301" i="9" s="1"/>
  <c r="D302" i="9"/>
  <c r="E302" i="9" s="1"/>
  <c r="F302" i="9" s="1"/>
  <c r="D303" i="9"/>
  <c r="E303" i="9" s="1"/>
  <c r="F303" i="9" s="1"/>
  <c r="D304" i="9"/>
  <c r="E304" i="9" s="1"/>
  <c r="F304" i="9" s="1"/>
  <c r="D305" i="9"/>
  <c r="E305" i="9" s="1"/>
  <c r="F305" i="9" s="1"/>
  <c r="D306" i="9"/>
  <c r="E306" i="9" s="1"/>
  <c r="F306" i="9" s="1"/>
  <c r="D307" i="9"/>
  <c r="E307" i="9" s="1"/>
  <c r="F307" i="9" s="1"/>
  <c r="D308" i="9"/>
  <c r="E308" i="9" s="1"/>
  <c r="F308" i="9" s="1"/>
  <c r="D309" i="9"/>
  <c r="E309" i="9" s="1"/>
  <c r="F309" i="9" s="1"/>
  <c r="D310" i="9"/>
  <c r="E310" i="9" s="1"/>
  <c r="F310" i="9" s="1"/>
  <c r="D311" i="9"/>
  <c r="E311" i="9" s="1"/>
  <c r="F311" i="9" s="1"/>
  <c r="D312" i="9"/>
  <c r="E312" i="9" s="1"/>
  <c r="F312" i="9" s="1"/>
  <c r="D313" i="9"/>
  <c r="E313" i="9" s="1"/>
  <c r="F313" i="9" s="1"/>
  <c r="D314" i="9"/>
  <c r="E314" i="9" s="1"/>
  <c r="F314" i="9" s="1"/>
  <c r="D315" i="9"/>
  <c r="E315" i="9" s="1"/>
  <c r="F315" i="9" s="1"/>
  <c r="D316" i="9"/>
  <c r="E316" i="9" s="1"/>
  <c r="F316" i="9" s="1"/>
  <c r="D317" i="9"/>
  <c r="E317" i="9" s="1"/>
  <c r="F317" i="9" s="1"/>
  <c r="D318" i="9"/>
  <c r="E318" i="9" s="1"/>
  <c r="F318" i="9" s="1"/>
  <c r="D319" i="9"/>
  <c r="D320" i="9"/>
  <c r="D321" i="9"/>
  <c r="E321" i="9" s="1"/>
  <c r="F321" i="9" s="1"/>
  <c r="D322" i="9"/>
  <c r="E322" i="9" s="1"/>
  <c r="F322" i="9" s="1"/>
  <c r="D323" i="9"/>
  <c r="E323" i="9" s="1"/>
  <c r="F323" i="9" s="1"/>
  <c r="D324" i="9"/>
  <c r="E324" i="9" s="1"/>
  <c r="F324" i="9" s="1"/>
  <c r="D325" i="9"/>
  <c r="E325" i="9" s="1"/>
  <c r="F325" i="9" s="1"/>
  <c r="D326" i="9"/>
  <c r="E326" i="9" s="1"/>
  <c r="F326" i="9" s="1"/>
  <c r="D327" i="9"/>
  <c r="E327" i="9" s="1"/>
  <c r="F327" i="9" s="1"/>
  <c r="D328" i="9"/>
  <c r="E328" i="9" s="1"/>
  <c r="F328" i="9" s="1"/>
  <c r="D329" i="9"/>
  <c r="E329" i="9" s="1"/>
  <c r="F329" i="9" s="1"/>
  <c r="D330" i="9"/>
  <c r="E330" i="9" s="1"/>
  <c r="F330" i="9" s="1"/>
  <c r="D331" i="9"/>
  <c r="E331" i="9" s="1"/>
  <c r="F331" i="9" s="1"/>
  <c r="D332" i="9"/>
  <c r="E332" i="9" s="1"/>
  <c r="F332" i="9" s="1"/>
  <c r="D333" i="9"/>
  <c r="E333" i="9" s="1"/>
  <c r="F333" i="9" s="1"/>
  <c r="D334" i="9"/>
  <c r="E334" i="9" s="1"/>
  <c r="F334" i="9" s="1"/>
  <c r="D335" i="9"/>
  <c r="E335" i="9" s="1"/>
  <c r="F335" i="9" s="1"/>
  <c r="D336" i="9"/>
  <c r="E336" i="9" s="1"/>
  <c r="F336" i="9" s="1"/>
  <c r="D337" i="9"/>
  <c r="E337" i="9" s="1"/>
  <c r="F337" i="9" s="1"/>
  <c r="D338" i="9"/>
  <c r="E338" i="9" s="1"/>
  <c r="F338" i="9" s="1"/>
  <c r="D339" i="9"/>
  <c r="E339" i="9" s="1"/>
  <c r="F339" i="9" s="1"/>
  <c r="D340" i="9"/>
  <c r="E340" i="9" s="1"/>
  <c r="F340" i="9" s="1"/>
  <c r="D341" i="9"/>
  <c r="E341" i="9" s="1"/>
  <c r="F341" i="9" s="1"/>
  <c r="D342" i="9"/>
  <c r="D343" i="9"/>
  <c r="D344" i="9"/>
  <c r="D345" i="9"/>
  <c r="E345" i="9" s="1"/>
  <c r="F345" i="9" s="1"/>
  <c r="D346" i="9"/>
  <c r="E346" i="9" s="1"/>
  <c r="F346" i="9" s="1"/>
  <c r="D347" i="9"/>
  <c r="E347" i="9" s="1"/>
  <c r="F347" i="9" s="1"/>
  <c r="D348" i="9"/>
  <c r="E348" i="9" s="1"/>
  <c r="F348" i="9" s="1"/>
  <c r="D349" i="9"/>
  <c r="E349" i="9" s="1"/>
  <c r="F349" i="9" s="1"/>
  <c r="D350" i="9"/>
  <c r="E350" i="9" s="1"/>
  <c r="F350" i="9" s="1"/>
  <c r="D351" i="9"/>
  <c r="E351" i="9" s="1"/>
  <c r="F351" i="9" s="1"/>
  <c r="D352" i="9"/>
  <c r="E352" i="9" s="1"/>
  <c r="F352" i="9" s="1"/>
  <c r="D353" i="9"/>
  <c r="E353" i="9" s="1"/>
  <c r="F353" i="9" s="1"/>
  <c r="D354" i="9"/>
  <c r="E354" i="9" s="1"/>
  <c r="F354" i="9" s="1"/>
  <c r="D355" i="9"/>
  <c r="E355" i="9" s="1"/>
  <c r="F355" i="9" s="1"/>
  <c r="D356" i="9"/>
  <c r="E356" i="9" s="1"/>
  <c r="F356" i="9" s="1"/>
  <c r="D357" i="9"/>
  <c r="E357" i="9" s="1"/>
  <c r="F357" i="9" s="1"/>
  <c r="D358" i="9"/>
  <c r="E358" i="9" s="1"/>
  <c r="F358" i="9" s="1"/>
  <c r="D359" i="9"/>
  <c r="E359" i="9" s="1"/>
  <c r="F359" i="9" s="1"/>
  <c r="D360" i="9"/>
  <c r="E360" i="9" s="1"/>
  <c r="F360" i="9" s="1"/>
  <c r="D361" i="9"/>
  <c r="E361" i="9" s="1"/>
  <c r="F361" i="9" s="1"/>
  <c r="D362" i="9"/>
  <c r="E362" i="9" s="1"/>
  <c r="F362" i="9" s="1"/>
  <c r="D363" i="9"/>
  <c r="E363" i="9" s="1"/>
  <c r="F363" i="9" s="1"/>
  <c r="D364" i="9"/>
  <c r="E364" i="9" s="1"/>
  <c r="F364" i="9" s="1"/>
  <c r="D365" i="9"/>
  <c r="E365" i="9" s="1"/>
  <c r="F365" i="9" s="1"/>
  <c r="D366" i="9"/>
  <c r="E366" i="9" s="1"/>
  <c r="F366" i="9" s="1"/>
  <c r="D367" i="9"/>
  <c r="E367" i="9" s="1"/>
  <c r="F367" i="9" s="1"/>
  <c r="D368" i="9"/>
  <c r="E368" i="9" s="1"/>
  <c r="F368" i="9" s="1"/>
  <c r="D369" i="9"/>
  <c r="E369" i="9" s="1"/>
  <c r="F369" i="9" s="1"/>
  <c r="D370" i="9"/>
  <c r="E370" i="9" s="1"/>
  <c r="F370" i="9" s="1"/>
  <c r="D371" i="9"/>
  <c r="E371" i="9" s="1"/>
  <c r="F371" i="9" s="1"/>
  <c r="D372" i="9"/>
  <c r="E372" i="9" s="1"/>
  <c r="F372" i="9" s="1"/>
  <c r="D373" i="9"/>
  <c r="E373" i="9" s="1"/>
  <c r="F373" i="9" s="1"/>
  <c r="D374" i="9"/>
  <c r="E374" i="9" s="1"/>
  <c r="F374" i="9" s="1"/>
  <c r="D375" i="9"/>
  <c r="E375" i="9" s="1"/>
  <c r="F375" i="9" s="1"/>
  <c r="D376" i="9"/>
  <c r="E376" i="9" s="1"/>
  <c r="F376" i="9" s="1"/>
  <c r="D377" i="9"/>
  <c r="E377" i="9" s="1"/>
  <c r="F377" i="9" s="1"/>
  <c r="D378" i="9"/>
  <c r="E378" i="9" s="1"/>
  <c r="F378" i="9" s="1"/>
  <c r="D379" i="9"/>
  <c r="E379" i="9" s="1"/>
  <c r="F379" i="9" s="1"/>
  <c r="D380" i="9"/>
  <c r="E380" i="9" s="1"/>
  <c r="F380" i="9" s="1"/>
  <c r="D381" i="9"/>
  <c r="E381" i="9" s="1"/>
  <c r="F381" i="9" s="1"/>
  <c r="F9" i="1"/>
  <c r="F8" i="1"/>
  <c r="F7" i="1"/>
  <c r="G7" i="1"/>
  <c r="F6" i="1"/>
  <c r="G6" i="1"/>
  <c r="F5" i="1"/>
  <c r="G5" i="1"/>
  <c r="F4" i="1"/>
  <c r="G4" i="1"/>
  <c r="F3" i="1"/>
  <c r="G3" i="1"/>
  <c r="F2" i="1"/>
  <c r="G2" i="1"/>
  <c r="J2" i="9" l="1"/>
</calcChain>
</file>

<file path=xl/sharedStrings.xml><?xml version="1.0" encoding="utf-8"?>
<sst xmlns="http://schemas.openxmlformats.org/spreadsheetml/2006/main" count="27099" uniqueCount="106">
  <si>
    <t>color</t>
  </si>
  <si>
    <t>carats</t>
  </si>
  <si>
    <t>price</t>
  </si>
  <si>
    <t>Statistic</t>
  </si>
  <si>
    <t>Count</t>
  </si>
  <si>
    <t>Mean</t>
  </si>
  <si>
    <t>Median</t>
  </si>
  <si>
    <t>Standard deviation</t>
  </si>
  <si>
    <t>Minimum</t>
  </si>
  <si>
    <t>Maximum</t>
  </si>
  <si>
    <t>Correlation (carats, price)</t>
  </si>
  <si>
    <t>Covariance (sample)</t>
  </si>
  <si>
    <t>=COUNT(B2:B381)</t>
  </si>
  <si>
    <t>=COUNT(C2:C381)</t>
  </si>
  <si>
    <t>=AVERAGE(B2:B381)</t>
  </si>
  <si>
    <t>=AVERAGE(C2:C381)</t>
  </si>
  <si>
    <t>=MEDIAN(B2:B381)</t>
  </si>
  <si>
    <t>=MEDIAN(C2:C381)</t>
  </si>
  <si>
    <t>=STDEV.S(B2:B381)</t>
  </si>
  <si>
    <t>=STDEV.S(C2:C381)</t>
  </si>
  <si>
    <t>=MIN(B2:B381)</t>
  </si>
  <si>
    <t>=MIN(C2:C381)</t>
  </si>
  <si>
    <t>=MAX(B2:B381)</t>
  </si>
  <si>
    <t>=MAX(C2:C381)</t>
  </si>
  <si>
    <t>=CORREL(B2:B381,C2:C381)</t>
  </si>
  <si>
    <t>=COVARIANCE.S(B2:B381,C2:C381)</t>
  </si>
  <si>
    <t>Price bin</t>
  </si>
  <si>
    <t>Diamonds</t>
  </si>
  <si>
    <t>1,500–1,999</t>
  </si>
  <si>
    <t>2,000–2,499</t>
  </si>
  <si>
    <t>2,500–2,999</t>
  </si>
  <si>
    <t>3,000–3,499</t>
  </si>
  <si>
    <t>3,500–3,999</t>
  </si>
  <si>
    <t>4,000–4,499</t>
  </si>
  <si>
    <t>4,500–4,999</t>
  </si>
  <si>
    <t>5,000–5,499</t>
  </si>
  <si>
    <t>5,500–5,999</t>
  </si>
  <si>
    <t>6,000–6,499</t>
  </si>
  <si>
    <t>6,500–6,999</t>
  </si>
  <si>
    <t>7,000–7,499</t>
  </si>
  <si>
    <t>7,500–7,999</t>
  </si>
  <si>
    <t>class</t>
  </si>
  <si>
    <t>age</t>
  </si>
  <si>
    <t>gender</t>
  </si>
  <si>
    <t>survival</t>
  </si>
  <si>
    <t>survived</t>
  </si>
  <si>
    <t>first class</t>
  </si>
  <si>
    <t>adult</t>
  </si>
  <si>
    <t>male</t>
  </si>
  <si>
    <t>yes</t>
  </si>
  <si>
    <t>no</t>
  </si>
  <si>
    <t>female</t>
  </si>
  <si>
    <t>young</t>
  </si>
  <si>
    <t>second class</t>
  </si>
  <si>
    <t>third class</t>
  </si>
  <si>
    <t>crew</t>
  </si>
  <si>
    <t>Row Labels</t>
  </si>
  <si>
    <t>Grand Total</t>
  </si>
  <si>
    <t>Column Labels</t>
  </si>
  <si>
    <t>People on board</t>
  </si>
  <si>
    <t>How many people? (Count of survived)</t>
  </si>
  <si>
    <t>Survival rate</t>
  </si>
  <si>
    <t>What share survived? (Average of survived, shown as %)</t>
  </si>
  <si>
    <t>People</t>
  </si>
  <si>
    <t>By gender only</t>
  </si>
  <si>
    <t>Hours</t>
  </si>
  <si>
    <t>Educ</t>
  </si>
  <si>
    <t>Earnings</t>
  </si>
  <si>
    <t>Race</t>
  </si>
  <si>
    <t>Gender</t>
  </si>
  <si>
    <t>education</t>
  </si>
  <si>
    <t>White</t>
  </si>
  <si>
    <t>Female</t>
  </si>
  <si>
    <t>5 Graduate degree</t>
  </si>
  <si>
    <t>Male</t>
  </si>
  <si>
    <t>AsianPI</t>
  </si>
  <si>
    <t>Black</t>
  </si>
  <si>
    <t>IndEsk</t>
  </si>
  <si>
    <t>4 Bachelor's</t>
  </si>
  <si>
    <t>3 Some college</t>
  </si>
  <si>
    <t>2 High school</t>
  </si>
  <si>
    <t>1 Less than high school</t>
  </si>
  <si>
    <t>Mean earnings</t>
  </si>
  <si>
    <t>Mean annual earnings by education and gender (Average of Earnings)</t>
  </si>
  <si>
    <t>Total Mean earnings</t>
  </si>
  <si>
    <t>Total Workers</t>
  </si>
  <si>
    <t>Workers</t>
  </si>
  <si>
    <t>Total Max earnings</t>
  </si>
  <si>
    <t>Max earnings</t>
  </si>
  <si>
    <t>By years of education: mean, number of workers, and the maximum (where the small cells are)</t>
  </si>
  <si>
    <t>price_hat</t>
  </si>
  <si>
    <t>residual</t>
  </si>
  <si>
    <t>residual^2</t>
  </si>
  <si>
    <t>Method 1: Solver</t>
  </si>
  <si>
    <t>SSR (minimize this)</t>
  </si>
  <si>
    <t>beta0</t>
  </si>
  <si>
    <t>beta1</t>
  </si>
  <si>
    <t>Method 2: the formulas</t>
  </si>
  <si>
    <t>cov(carats, price)</t>
  </si>
  <si>
    <t>var(carats)</t>
  </si>
  <si>
    <t>beta1_hat = cov/var</t>
  </si>
  <si>
    <t>beta0_hat = mean(price) - beta1_hat*mean(carats)</t>
  </si>
  <si>
    <t>Method 3: INTERCEPT and SLOPE</t>
  </si>
  <si>
    <t>=INTERCEPT(C2:C381,B2:B381)</t>
  </si>
  <si>
    <t>=SLOPE(C2:C381,B2:B381)</t>
  </si>
  <si>
    <t>Method 4: Data &gt; Data Analysis &gt; Regression (see the Regression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</si>
</sst>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"/>
    <numFmt numFmtId="166" formatCode="0.0000"/>
    <numFmt numFmtId="167" formatCode="&quot;$&quot;#,##0"/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vs. carats (380 diamonds)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scatter!$B$1</c:f>
              <c:strCache>
                <c:ptCount val="1"/>
                <c:pt idx="0">
                  <c:v>price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4"/>
          </c:marker>
          <c:trendline>
            <c:trendlineType val="linear"/>
            <c:dispRSqr val="1"/>
            <c:dispEq val="1"/>
            <c:trendlineLbl>
              <c:layout>
                <c:manualLayout>
                  <c:x val="-0.5408293458509994"/>
                  <c:y val="-0.2321472202338344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200" b="1" baseline="0"/>
                  </a:pPr>
                  <a:endParaRPr lang="en-US"/>
                </a:p>
              </c:txPr>
            </c:trendlineLbl>
          </c:trendline>
          <c:xVal>
            <c:numRef>
              <c:f>scatter!$A$2:$A$381</c:f>
              <c:numCache>
                <c:formatCode>General</c:formatCode>
                <c:ptCount val="380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1.01</c:v>
                </c:pt>
                <c:pt idx="4">
                  <c:v>1.01</c:v>
                </c:pt>
                <c:pt idx="5">
                  <c:v>1.1100000000000001</c:v>
                </c:pt>
                <c:pt idx="6">
                  <c:v>0.9</c:v>
                </c:pt>
                <c:pt idx="7">
                  <c:v>1.01</c:v>
                </c:pt>
                <c:pt idx="8">
                  <c:v>0.9</c:v>
                </c:pt>
                <c:pt idx="9">
                  <c:v>1</c:v>
                </c:pt>
                <c:pt idx="10">
                  <c:v>1.0900000000000001</c:v>
                </c:pt>
                <c:pt idx="11">
                  <c:v>0.7</c:v>
                </c:pt>
                <c:pt idx="12">
                  <c:v>0.91</c:v>
                </c:pt>
                <c:pt idx="13">
                  <c:v>1.01</c:v>
                </c:pt>
                <c:pt idx="14">
                  <c:v>1.1000000000000001</c:v>
                </c:pt>
                <c:pt idx="15">
                  <c:v>1.02</c:v>
                </c:pt>
                <c:pt idx="16">
                  <c:v>1.01</c:v>
                </c:pt>
                <c:pt idx="17">
                  <c:v>0.82</c:v>
                </c:pt>
                <c:pt idx="18">
                  <c:v>1.05</c:v>
                </c:pt>
                <c:pt idx="19">
                  <c:v>0.9</c:v>
                </c:pt>
                <c:pt idx="20">
                  <c:v>0.9</c:v>
                </c:pt>
                <c:pt idx="21">
                  <c:v>0.92</c:v>
                </c:pt>
                <c:pt idx="22">
                  <c:v>1.05</c:v>
                </c:pt>
                <c:pt idx="23">
                  <c:v>1.02</c:v>
                </c:pt>
                <c:pt idx="24">
                  <c:v>1.22</c:v>
                </c:pt>
                <c:pt idx="25">
                  <c:v>1.05</c:v>
                </c:pt>
                <c:pt idx="26">
                  <c:v>0.71</c:v>
                </c:pt>
                <c:pt idx="27">
                  <c:v>0.7</c:v>
                </c:pt>
                <c:pt idx="28">
                  <c:v>0.71</c:v>
                </c:pt>
                <c:pt idx="29">
                  <c:v>0.9</c:v>
                </c:pt>
                <c:pt idx="30">
                  <c:v>1</c:v>
                </c:pt>
                <c:pt idx="31">
                  <c:v>1</c:v>
                </c:pt>
                <c:pt idx="32">
                  <c:v>0.72</c:v>
                </c:pt>
                <c:pt idx="33">
                  <c:v>1.03</c:v>
                </c:pt>
                <c:pt idx="34">
                  <c:v>0.75</c:v>
                </c:pt>
                <c:pt idx="35">
                  <c:v>0.79</c:v>
                </c:pt>
                <c:pt idx="36">
                  <c:v>0.72</c:v>
                </c:pt>
                <c:pt idx="37">
                  <c:v>1.03</c:v>
                </c:pt>
                <c:pt idx="38">
                  <c:v>1.24</c:v>
                </c:pt>
                <c:pt idx="39">
                  <c:v>1.06</c:v>
                </c:pt>
                <c:pt idx="40">
                  <c:v>1.1200000000000001</c:v>
                </c:pt>
                <c:pt idx="41">
                  <c:v>0.71</c:v>
                </c:pt>
                <c:pt idx="42">
                  <c:v>1.22</c:v>
                </c:pt>
                <c:pt idx="43">
                  <c:v>1.03</c:v>
                </c:pt>
                <c:pt idx="44">
                  <c:v>0.7</c:v>
                </c:pt>
                <c:pt idx="45">
                  <c:v>0.71</c:v>
                </c:pt>
                <c:pt idx="46">
                  <c:v>0.8</c:v>
                </c:pt>
                <c:pt idx="47">
                  <c:v>0.7</c:v>
                </c:pt>
                <c:pt idx="48">
                  <c:v>0.72</c:v>
                </c:pt>
                <c:pt idx="49">
                  <c:v>0.76</c:v>
                </c:pt>
                <c:pt idx="50">
                  <c:v>1.27</c:v>
                </c:pt>
                <c:pt idx="51">
                  <c:v>1.2</c:v>
                </c:pt>
                <c:pt idx="52">
                  <c:v>0.91</c:v>
                </c:pt>
                <c:pt idx="53">
                  <c:v>1.0900000000000001</c:v>
                </c:pt>
                <c:pt idx="54">
                  <c:v>1.02</c:v>
                </c:pt>
                <c:pt idx="55">
                  <c:v>1.07</c:v>
                </c:pt>
                <c:pt idx="56">
                  <c:v>1.0900000000000001</c:v>
                </c:pt>
                <c:pt idx="57">
                  <c:v>1.2</c:v>
                </c:pt>
                <c:pt idx="58">
                  <c:v>1.2</c:v>
                </c:pt>
                <c:pt idx="59">
                  <c:v>1.1399999999999999</c:v>
                </c:pt>
                <c:pt idx="60">
                  <c:v>1.07</c:v>
                </c:pt>
                <c:pt idx="61">
                  <c:v>1.03</c:v>
                </c:pt>
                <c:pt idx="62">
                  <c:v>0.9</c:v>
                </c:pt>
                <c:pt idx="63">
                  <c:v>1.06</c:v>
                </c:pt>
                <c:pt idx="64">
                  <c:v>1.17</c:v>
                </c:pt>
                <c:pt idx="65">
                  <c:v>0.85</c:v>
                </c:pt>
                <c:pt idx="66">
                  <c:v>1.06</c:v>
                </c:pt>
                <c:pt idx="67">
                  <c:v>1.01</c:v>
                </c:pt>
                <c:pt idx="68">
                  <c:v>1.02</c:v>
                </c:pt>
                <c:pt idx="69">
                  <c:v>0.91</c:v>
                </c:pt>
                <c:pt idx="70">
                  <c:v>1.1000000000000001</c:v>
                </c:pt>
                <c:pt idx="71">
                  <c:v>1.1200000000000001</c:v>
                </c:pt>
                <c:pt idx="72">
                  <c:v>1.05</c:v>
                </c:pt>
                <c:pt idx="73">
                  <c:v>1.01</c:v>
                </c:pt>
                <c:pt idx="74">
                  <c:v>1.03</c:v>
                </c:pt>
                <c:pt idx="75">
                  <c:v>1.1599999999999999</c:v>
                </c:pt>
                <c:pt idx="76">
                  <c:v>1.05</c:v>
                </c:pt>
                <c:pt idx="77">
                  <c:v>1.01</c:v>
                </c:pt>
                <c:pt idx="78">
                  <c:v>0.9</c:v>
                </c:pt>
                <c:pt idx="79">
                  <c:v>1.18</c:v>
                </c:pt>
                <c:pt idx="80">
                  <c:v>1.1000000000000001</c:v>
                </c:pt>
                <c:pt idx="81">
                  <c:v>1.03</c:v>
                </c:pt>
                <c:pt idx="82">
                  <c:v>0.9</c:v>
                </c:pt>
                <c:pt idx="83">
                  <c:v>0.71</c:v>
                </c:pt>
                <c:pt idx="84">
                  <c:v>0.9</c:v>
                </c:pt>
                <c:pt idx="85">
                  <c:v>1.06</c:v>
                </c:pt>
                <c:pt idx="86">
                  <c:v>0.7</c:v>
                </c:pt>
                <c:pt idx="87">
                  <c:v>1.03</c:v>
                </c:pt>
                <c:pt idx="88">
                  <c:v>0.91</c:v>
                </c:pt>
                <c:pt idx="89">
                  <c:v>1.06</c:v>
                </c:pt>
                <c:pt idx="90">
                  <c:v>1.06</c:v>
                </c:pt>
                <c:pt idx="91">
                  <c:v>1.01</c:v>
                </c:pt>
                <c:pt idx="92">
                  <c:v>0.79</c:v>
                </c:pt>
                <c:pt idx="93">
                  <c:v>1.01</c:v>
                </c:pt>
                <c:pt idx="94">
                  <c:v>1.02</c:v>
                </c:pt>
                <c:pt idx="95">
                  <c:v>1</c:v>
                </c:pt>
                <c:pt idx="96">
                  <c:v>1.02</c:v>
                </c:pt>
                <c:pt idx="97">
                  <c:v>0.7</c:v>
                </c:pt>
                <c:pt idx="98">
                  <c:v>1.1399999999999999</c:v>
                </c:pt>
                <c:pt idx="99">
                  <c:v>1.1399999999999999</c:v>
                </c:pt>
                <c:pt idx="100">
                  <c:v>1</c:v>
                </c:pt>
                <c:pt idx="101">
                  <c:v>1.2</c:v>
                </c:pt>
                <c:pt idx="102">
                  <c:v>0.7</c:v>
                </c:pt>
                <c:pt idx="103">
                  <c:v>1</c:v>
                </c:pt>
                <c:pt idx="104">
                  <c:v>1.01</c:v>
                </c:pt>
                <c:pt idx="105">
                  <c:v>1.18</c:v>
                </c:pt>
                <c:pt idx="106">
                  <c:v>0.8</c:v>
                </c:pt>
                <c:pt idx="107">
                  <c:v>1.07</c:v>
                </c:pt>
                <c:pt idx="108">
                  <c:v>1.01</c:v>
                </c:pt>
                <c:pt idx="109">
                  <c:v>0.7</c:v>
                </c:pt>
                <c:pt idx="110">
                  <c:v>1.03</c:v>
                </c:pt>
                <c:pt idx="111">
                  <c:v>0.73</c:v>
                </c:pt>
                <c:pt idx="112">
                  <c:v>0.91</c:v>
                </c:pt>
                <c:pt idx="113">
                  <c:v>0.7</c:v>
                </c:pt>
                <c:pt idx="114">
                  <c:v>0.7</c:v>
                </c:pt>
                <c:pt idx="115">
                  <c:v>1</c:v>
                </c:pt>
                <c:pt idx="116">
                  <c:v>1.08</c:v>
                </c:pt>
                <c:pt idx="117">
                  <c:v>0.72</c:v>
                </c:pt>
                <c:pt idx="118">
                  <c:v>0.84</c:v>
                </c:pt>
                <c:pt idx="119">
                  <c:v>1.02</c:v>
                </c:pt>
                <c:pt idx="120">
                  <c:v>1.17</c:v>
                </c:pt>
                <c:pt idx="121">
                  <c:v>1.02</c:v>
                </c:pt>
                <c:pt idx="122">
                  <c:v>1.03</c:v>
                </c:pt>
                <c:pt idx="123">
                  <c:v>1.19</c:v>
                </c:pt>
                <c:pt idx="124">
                  <c:v>1.07</c:v>
                </c:pt>
                <c:pt idx="125">
                  <c:v>0.72</c:v>
                </c:pt>
                <c:pt idx="126">
                  <c:v>1.1000000000000001</c:v>
                </c:pt>
                <c:pt idx="127">
                  <c:v>1.01</c:v>
                </c:pt>
                <c:pt idx="128">
                  <c:v>0.84</c:v>
                </c:pt>
                <c:pt idx="129">
                  <c:v>1.08</c:v>
                </c:pt>
                <c:pt idx="130">
                  <c:v>1.03</c:v>
                </c:pt>
                <c:pt idx="131">
                  <c:v>0.9</c:v>
                </c:pt>
                <c:pt idx="132">
                  <c:v>0.91</c:v>
                </c:pt>
                <c:pt idx="133">
                  <c:v>0.71</c:v>
                </c:pt>
                <c:pt idx="134">
                  <c:v>1</c:v>
                </c:pt>
                <c:pt idx="135">
                  <c:v>1.2</c:v>
                </c:pt>
                <c:pt idx="136">
                  <c:v>1.08</c:v>
                </c:pt>
                <c:pt idx="137">
                  <c:v>1.05</c:v>
                </c:pt>
                <c:pt idx="138">
                  <c:v>1.01</c:v>
                </c:pt>
                <c:pt idx="139">
                  <c:v>1</c:v>
                </c:pt>
                <c:pt idx="140">
                  <c:v>1.07</c:v>
                </c:pt>
                <c:pt idx="141">
                  <c:v>1.02</c:v>
                </c:pt>
                <c:pt idx="142">
                  <c:v>0.92</c:v>
                </c:pt>
                <c:pt idx="143">
                  <c:v>1.1100000000000001</c:v>
                </c:pt>
                <c:pt idx="144">
                  <c:v>1.04</c:v>
                </c:pt>
                <c:pt idx="145">
                  <c:v>1.07</c:v>
                </c:pt>
                <c:pt idx="146">
                  <c:v>1.1200000000000001</c:v>
                </c:pt>
                <c:pt idx="147">
                  <c:v>1.08</c:v>
                </c:pt>
                <c:pt idx="148">
                  <c:v>1.18</c:v>
                </c:pt>
                <c:pt idx="149">
                  <c:v>0.91</c:v>
                </c:pt>
                <c:pt idx="150">
                  <c:v>0.91</c:v>
                </c:pt>
                <c:pt idx="151">
                  <c:v>1.01</c:v>
                </c:pt>
                <c:pt idx="152">
                  <c:v>1.21</c:v>
                </c:pt>
                <c:pt idx="153">
                  <c:v>1.2</c:v>
                </c:pt>
                <c:pt idx="154">
                  <c:v>0.76</c:v>
                </c:pt>
                <c:pt idx="155">
                  <c:v>1.29</c:v>
                </c:pt>
                <c:pt idx="156">
                  <c:v>1.28</c:v>
                </c:pt>
                <c:pt idx="157">
                  <c:v>1</c:v>
                </c:pt>
                <c:pt idx="158">
                  <c:v>0.73</c:v>
                </c:pt>
                <c:pt idx="159">
                  <c:v>1.08</c:v>
                </c:pt>
                <c:pt idx="160">
                  <c:v>1.2</c:v>
                </c:pt>
                <c:pt idx="161">
                  <c:v>0.72</c:v>
                </c:pt>
                <c:pt idx="162">
                  <c:v>0.71</c:v>
                </c:pt>
                <c:pt idx="163">
                  <c:v>1.29</c:v>
                </c:pt>
                <c:pt idx="164">
                  <c:v>1.21</c:v>
                </c:pt>
                <c:pt idx="165">
                  <c:v>0.86</c:v>
                </c:pt>
                <c:pt idx="166">
                  <c:v>1.17</c:v>
                </c:pt>
                <c:pt idx="167">
                  <c:v>0.7</c:v>
                </c:pt>
                <c:pt idx="168">
                  <c:v>1.2</c:v>
                </c:pt>
                <c:pt idx="169">
                  <c:v>0.7</c:v>
                </c:pt>
                <c:pt idx="170">
                  <c:v>1.27</c:v>
                </c:pt>
                <c:pt idx="171">
                  <c:v>1.01</c:v>
                </c:pt>
                <c:pt idx="172">
                  <c:v>1.2</c:v>
                </c:pt>
                <c:pt idx="173">
                  <c:v>1.1499999999999999</c:v>
                </c:pt>
                <c:pt idx="174">
                  <c:v>1.24</c:v>
                </c:pt>
                <c:pt idx="175">
                  <c:v>1.01</c:v>
                </c:pt>
                <c:pt idx="176">
                  <c:v>1</c:v>
                </c:pt>
                <c:pt idx="177">
                  <c:v>1.01</c:v>
                </c:pt>
                <c:pt idx="178">
                  <c:v>1.03</c:v>
                </c:pt>
                <c:pt idx="179">
                  <c:v>1.28</c:v>
                </c:pt>
                <c:pt idx="180">
                  <c:v>1.01</c:v>
                </c:pt>
                <c:pt idx="181">
                  <c:v>0.81</c:v>
                </c:pt>
                <c:pt idx="182">
                  <c:v>1.21</c:v>
                </c:pt>
                <c:pt idx="183">
                  <c:v>1.23</c:v>
                </c:pt>
                <c:pt idx="184">
                  <c:v>1.01</c:v>
                </c:pt>
                <c:pt idx="185">
                  <c:v>1.06</c:v>
                </c:pt>
                <c:pt idx="186">
                  <c:v>1.01</c:v>
                </c:pt>
                <c:pt idx="187">
                  <c:v>0.83</c:v>
                </c:pt>
                <c:pt idx="188">
                  <c:v>0.9</c:v>
                </c:pt>
                <c:pt idx="189">
                  <c:v>1.29</c:v>
                </c:pt>
                <c:pt idx="190">
                  <c:v>1.05</c:v>
                </c:pt>
                <c:pt idx="191">
                  <c:v>1.07</c:v>
                </c:pt>
                <c:pt idx="192">
                  <c:v>0.9</c:v>
                </c:pt>
                <c:pt idx="193">
                  <c:v>1.1000000000000001</c:v>
                </c:pt>
                <c:pt idx="194">
                  <c:v>1.1299999999999999</c:v>
                </c:pt>
                <c:pt idx="195">
                  <c:v>1.01</c:v>
                </c:pt>
                <c:pt idx="196">
                  <c:v>1</c:v>
                </c:pt>
                <c:pt idx="197">
                  <c:v>1</c:v>
                </c:pt>
                <c:pt idx="198">
                  <c:v>1.18</c:v>
                </c:pt>
                <c:pt idx="199">
                  <c:v>1.0900000000000001</c:v>
                </c:pt>
                <c:pt idx="200">
                  <c:v>1.0900000000000001</c:v>
                </c:pt>
                <c:pt idx="201">
                  <c:v>1.05</c:v>
                </c:pt>
                <c:pt idx="202">
                  <c:v>1.01</c:v>
                </c:pt>
                <c:pt idx="203">
                  <c:v>1.03</c:v>
                </c:pt>
                <c:pt idx="204">
                  <c:v>1.1299999999999999</c:v>
                </c:pt>
                <c:pt idx="205">
                  <c:v>1.03</c:v>
                </c:pt>
                <c:pt idx="206">
                  <c:v>0.76</c:v>
                </c:pt>
                <c:pt idx="207">
                  <c:v>1.02</c:v>
                </c:pt>
                <c:pt idx="208">
                  <c:v>1.01</c:v>
                </c:pt>
                <c:pt idx="209">
                  <c:v>1.01</c:v>
                </c:pt>
                <c:pt idx="210">
                  <c:v>1</c:v>
                </c:pt>
                <c:pt idx="211">
                  <c:v>1.0900000000000001</c:v>
                </c:pt>
                <c:pt idx="212">
                  <c:v>0.72</c:v>
                </c:pt>
                <c:pt idx="213">
                  <c:v>1</c:v>
                </c:pt>
                <c:pt idx="214">
                  <c:v>1.18</c:v>
                </c:pt>
                <c:pt idx="215">
                  <c:v>0.9</c:v>
                </c:pt>
                <c:pt idx="216">
                  <c:v>0.91</c:v>
                </c:pt>
                <c:pt idx="217">
                  <c:v>0.76</c:v>
                </c:pt>
                <c:pt idx="218">
                  <c:v>1.1499999999999999</c:v>
                </c:pt>
                <c:pt idx="219">
                  <c:v>1.22</c:v>
                </c:pt>
                <c:pt idx="220">
                  <c:v>0.72</c:v>
                </c:pt>
                <c:pt idx="221">
                  <c:v>1.1100000000000001</c:v>
                </c:pt>
                <c:pt idx="222">
                  <c:v>1.1299999999999999</c:v>
                </c:pt>
                <c:pt idx="223">
                  <c:v>1</c:v>
                </c:pt>
                <c:pt idx="224">
                  <c:v>0.82</c:v>
                </c:pt>
                <c:pt idx="225">
                  <c:v>1.06</c:v>
                </c:pt>
                <c:pt idx="226">
                  <c:v>1.1399999999999999</c:v>
                </c:pt>
                <c:pt idx="227">
                  <c:v>1.1399999999999999</c:v>
                </c:pt>
                <c:pt idx="228">
                  <c:v>0.8</c:v>
                </c:pt>
                <c:pt idx="229">
                  <c:v>1.01</c:v>
                </c:pt>
                <c:pt idx="230">
                  <c:v>1.2</c:v>
                </c:pt>
                <c:pt idx="231">
                  <c:v>1.07</c:v>
                </c:pt>
                <c:pt idx="232">
                  <c:v>1.22</c:v>
                </c:pt>
                <c:pt idx="233">
                  <c:v>1.28</c:v>
                </c:pt>
                <c:pt idx="234">
                  <c:v>1.28</c:v>
                </c:pt>
                <c:pt idx="235">
                  <c:v>1.05</c:v>
                </c:pt>
                <c:pt idx="236">
                  <c:v>1.06</c:v>
                </c:pt>
                <c:pt idx="237">
                  <c:v>1.03</c:v>
                </c:pt>
                <c:pt idx="238">
                  <c:v>1.06</c:v>
                </c:pt>
                <c:pt idx="239">
                  <c:v>1.04</c:v>
                </c:pt>
                <c:pt idx="240">
                  <c:v>0.91</c:v>
                </c:pt>
                <c:pt idx="241">
                  <c:v>1.05</c:v>
                </c:pt>
                <c:pt idx="242">
                  <c:v>1.05</c:v>
                </c:pt>
                <c:pt idx="243">
                  <c:v>1.1599999999999999</c:v>
                </c:pt>
                <c:pt idx="244">
                  <c:v>1.02</c:v>
                </c:pt>
                <c:pt idx="245">
                  <c:v>1.06</c:v>
                </c:pt>
                <c:pt idx="246">
                  <c:v>1.02</c:v>
                </c:pt>
                <c:pt idx="247">
                  <c:v>0.7</c:v>
                </c:pt>
                <c:pt idx="248">
                  <c:v>0.9</c:v>
                </c:pt>
                <c:pt idx="249">
                  <c:v>0.9</c:v>
                </c:pt>
                <c:pt idx="250">
                  <c:v>1</c:v>
                </c:pt>
                <c:pt idx="251">
                  <c:v>1.01</c:v>
                </c:pt>
                <c:pt idx="252">
                  <c:v>1.05</c:v>
                </c:pt>
                <c:pt idx="253">
                  <c:v>1.02</c:v>
                </c:pt>
                <c:pt idx="254">
                  <c:v>1.06</c:v>
                </c:pt>
                <c:pt idx="255">
                  <c:v>0.92</c:v>
                </c:pt>
                <c:pt idx="256">
                  <c:v>1.27</c:v>
                </c:pt>
                <c:pt idx="257">
                  <c:v>1.23</c:v>
                </c:pt>
                <c:pt idx="258">
                  <c:v>1.21</c:v>
                </c:pt>
                <c:pt idx="259">
                  <c:v>1.22</c:v>
                </c:pt>
                <c:pt idx="260">
                  <c:v>1.23</c:v>
                </c:pt>
                <c:pt idx="261">
                  <c:v>1.27</c:v>
                </c:pt>
                <c:pt idx="262">
                  <c:v>1.03</c:v>
                </c:pt>
                <c:pt idx="263">
                  <c:v>1.21</c:v>
                </c:pt>
                <c:pt idx="264">
                  <c:v>1.22</c:v>
                </c:pt>
                <c:pt idx="265">
                  <c:v>0.7</c:v>
                </c:pt>
                <c:pt idx="266">
                  <c:v>0.9</c:v>
                </c:pt>
                <c:pt idx="267">
                  <c:v>0.83</c:v>
                </c:pt>
                <c:pt idx="268">
                  <c:v>1.01</c:v>
                </c:pt>
                <c:pt idx="269">
                  <c:v>1.02</c:v>
                </c:pt>
                <c:pt idx="270">
                  <c:v>1.1599999999999999</c:v>
                </c:pt>
                <c:pt idx="271">
                  <c:v>1.1200000000000001</c:v>
                </c:pt>
                <c:pt idx="272">
                  <c:v>1.07</c:v>
                </c:pt>
                <c:pt idx="273">
                  <c:v>1</c:v>
                </c:pt>
                <c:pt idx="274">
                  <c:v>1.1299999999999999</c:v>
                </c:pt>
                <c:pt idx="275">
                  <c:v>1.27</c:v>
                </c:pt>
                <c:pt idx="276">
                  <c:v>1.03</c:v>
                </c:pt>
                <c:pt idx="277">
                  <c:v>1.06</c:v>
                </c:pt>
                <c:pt idx="278">
                  <c:v>1.0900000000000001</c:v>
                </c:pt>
                <c:pt idx="279">
                  <c:v>1.1100000000000001</c:v>
                </c:pt>
                <c:pt idx="280">
                  <c:v>1.1100000000000001</c:v>
                </c:pt>
                <c:pt idx="281">
                  <c:v>1.21</c:v>
                </c:pt>
                <c:pt idx="282">
                  <c:v>1.01</c:v>
                </c:pt>
                <c:pt idx="283">
                  <c:v>1.03</c:v>
                </c:pt>
                <c:pt idx="284">
                  <c:v>0.9</c:v>
                </c:pt>
                <c:pt idx="285">
                  <c:v>1.1399999999999999</c:v>
                </c:pt>
                <c:pt idx="286">
                  <c:v>1.1100000000000001</c:v>
                </c:pt>
                <c:pt idx="287">
                  <c:v>1.1100000000000001</c:v>
                </c:pt>
                <c:pt idx="288">
                  <c:v>1.04</c:v>
                </c:pt>
                <c:pt idx="289">
                  <c:v>1</c:v>
                </c:pt>
                <c:pt idx="290">
                  <c:v>1.1399999999999999</c:v>
                </c:pt>
                <c:pt idx="291">
                  <c:v>1.0900000000000001</c:v>
                </c:pt>
                <c:pt idx="292">
                  <c:v>1.1399999999999999</c:v>
                </c:pt>
                <c:pt idx="293">
                  <c:v>1.05</c:v>
                </c:pt>
                <c:pt idx="294">
                  <c:v>1.28</c:v>
                </c:pt>
                <c:pt idx="295">
                  <c:v>1.06</c:v>
                </c:pt>
                <c:pt idx="296">
                  <c:v>0.9</c:v>
                </c:pt>
                <c:pt idx="297">
                  <c:v>1.08</c:v>
                </c:pt>
                <c:pt idx="298">
                  <c:v>1.05</c:v>
                </c:pt>
                <c:pt idx="299">
                  <c:v>0.91</c:v>
                </c:pt>
                <c:pt idx="300">
                  <c:v>1.01</c:v>
                </c:pt>
                <c:pt idx="301">
                  <c:v>0.76</c:v>
                </c:pt>
                <c:pt idx="302">
                  <c:v>1.1200000000000001</c:v>
                </c:pt>
                <c:pt idx="303">
                  <c:v>0.74</c:v>
                </c:pt>
                <c:pt idx="304">
                  <c:v>0.79</c:v>
                </c:pt>
                <c:pt idx="305">
                  <c:v>1.3</c:v>
                </c:pt>
                <c:pt idx="306">
                  <c:v>1.21</c:v>
                </c:pt>
                <c:pt idx="307">
                  <c:v>0.7</c:v>
                </c:pt>
                <c:pt idx="308">
                  <c:v>1.04</c:v>
                </c:pt>
                <c:pt idx="309">
                  <c:v>1.02</c:v>
                </c:pt>
                <c:pt idx="310">
                  <c:v>1.01</c:v>
                </c:pt>
                <c:pt idx="311">
                  <c:v>0.9</c:v>
                </c:pt>
                <c:pt idx="312">
                  <c:v>0.72</c:v>
                </c:pt>
                <c:pt idx="313">
                  <c:v>1.24</c:v>
                </c:pt>
                <c:pt idx="314">
                  <c:v>1.0900000000000001</c:v>
                </c:pt>
                <c:pt idx="315">
                  <c:v>1.08</c:v>
                </c:pt>
                <c:pt idx="316">
                  <c:v>1.2</c:v>
                </c:pt>
                <c:pt idx="317">
                  <c:v>0.95</c:v>
                </c:pt>
                <c:pt idx="318">
                  <c:v>1</c:v>
                </c:pt>
                <c:pt idx="319">
                  <c:v>1.23</c:v>
                </c:pt>
                <c:pt idx="320">
                  <c:v>1.24</c:v>
                </c:pt>
                <c:pt idx="321">
                  <c:v>0.85</c:v>
                </c:pt>
                <c:pt idx="322">
                  <c:v>1.2</c:v>
                </c:pt>
                <c:pt idx="323">
                  <c:v>1.26</c:v>
                </c:pt>
                <c:pt idx="324">
                  <c:v>1.23</c:v>
                </c:pt>
                <c:pt idx="325">
                  <c:v>1.22</c:v>
                </c:pt>
                <c:pt idx="326">
                  <c:v>1.23</c:v>
                </c:pt>
                <c:pt idx="327">
                  <c:v>1.18</c:v>
                </c:pt>
                <c:pt idx="328">
                  <c:v>1.05</c:v>
                </c:pt>
                <c:pt idx="329">
                  <c:v>1.1200000000000001</c:v>
                </c:pt>
                <c:pt idx="330">
                  <c:v>0.7</c:v>
                </c:pt>
                <c:pt idx="331">
                  <c:v>1.3</c:v>
                </c:pt>
                <c:pt idx="332">
                  <c:v>1.01</c:v>
                </c:pt>
                <c:pt idx="333">
                  <c:v>1.23</c:v>
                </c:pt>
                <c:pt idx="334">
                  <c:v>1.1299999999999999</c:v>
                </c:pt>
                <c:pt idx="335">
                  <c:v>1.1000000000000001</c:v>
                </c:pt>
                <c:pt idx="336">
                  <c:v>1.1000000000000001</c:v>
                </c:pt>
                <c:pt idx="337">
                  <c:v>1.18</c:v>
                </c:pt>
                <c:pt idx="338">
                  <c:v>1.0900000000000001</c:v>
                </c:pt>
                <c:pt idx="339">
                  <c:v>1.1599999999999999</c:v>
                </c:pt>
                <c:pt idx="340">
                  <c:v>1.1599999999999999</c:v>
                </c:pt>
                <c:pt idx="341">
                  <c:v>1.1499999999999999</c:v>
                </c:pt>
                <c:pt idx="342">
                  <c:v>1.1000000000000001</c:v>
                </c:pt>
                <c:pt idx="343">
                  <c:v>0.87</c:v>
                </c:pt>
                <c:pt idx="344">
                  <c:v>1.19</c:v>
                </c:pt>
                <c:pt idx="345">
                  <c:v>1.1499999999999999</c:v>
                </c:pt>
                <c:pt idx="346">
                  <c:v>1.08</c:v>
                </c:pt>
                <c:pt idx="347">
                  <c:v>1.21</c:v>
                </c:pt>
                <c:pt idx="348">
                  <c:v>1.21</c:v>
                </c:pt>
                <c:pt idx="349">
                  <c:v>1.05</c:v>
                </c:pt>
                <c:pt idx="350">
                  <c:v>1.1299999999999999</c:v>
                </c:pt>
                <c:pt idx="351">
                  <c:v>1.1299999999999999</c:v>
                </c:pt>
                <c:pt idx="352">
                  <c:v>1.03</c:v>
                </c:pt>
                <c:pt idx="353">
                  <c:v>1.23</c:v>
                </c:pt>
                <c:pt idx="354">
                  <c:v>1.01</c:v>
                </c:pt>
                <c:pt idx="355">
                  <c:v>0.91</c:v>
                </c:pt>
                <c:pt idx="356">
                  <c:v>1.18</c:v>
                </c:pt>
                <c:pt idx="357">
                  <c:v>1.03</c:v>
                </c:pt>
                <c:pt idx="358">
                  <c:v>1.03</c:v>
                </c:pt>
                <c:pt idx="359">
                  <c:v>1.1000000000000001</c:v>
                </c:pt>
                <c:pt idx="360">
                  <c:v>1.21</c:v>
                </c:pt>
                <c:pt idx="361">
                  <c:v>1.19</c:v>
                </c:pt>
                <c:pt idx="362">
                  <c:v>1</c:v>
                </c:pt>
                <c:pt idx="363">
                  <c:v>1.02</c:v>
                </c:pt>
                <c:pt idx="364">
                  <c:v>1.1399999999999999</c:v>
                </c:pt>
                <c:pt idx="365">
                  <c:v>1.01</c:v>
                </c:pt>
                <c:pt idx="366">
                  <c:v>1.01</c:v>
                </c:pt>
                <c:pt idx="367">
                  <c:v>1.02</c:v>
                </c:pt>
                <c:pt idx="368">
                  <c:v>1.01</c:v>
                </c:pt>
                <c:pt idx="369">
                  <c:v>1.03</c:v>
                </c:pt>
                <c:pt idx="370">
                  <c:v>1.04</c:v>
                </c:pt>
                <c:pt idx="371">
                  <c:v>1</c:v>
                </c:pt>
                <c:pt idx="372">
                  <c:v>1.1399999999999999</c:v>
                </c:pt>
                <c:pt idx="373">
                  <c:v>1.1599999999999999</c:v>
                </c:pt>
                <c:pt idx="374">
                  <c:v>1</c:v>
                </c:pt>
                <c:pt idx="375">
                  <c:v>1</c:v>
                </c:pt>
                <c:pt idx="376">
                  <c:v>1.1200000000000001</c:v>
                </c:pt>
                <c:pt idx="377">
                  <c:v>1</c:v>
                </c:pt>
                <c:pt idx="378">
                  <c:v>1.1599999999999999</c:v>
                </c:pt>
                <c:pt idx="379">
                  <c:v>1.0900000000000001</c:v>
                </c:pt>
              </c:numCache>
            </c:numRef>
          </c:xVal>
          <c:yVal>
            <c:numRef>
              <c:f>scatter!$B$2:$B$381</c:f>
              <c:numCache>
                <c:formatCode>General</c:formatCode>
                <c:ptCount val="380"/>
                <c:pt idx="0">
                  <c:v>2050</c:v>
                </c:pt>
                <c:pt idx="1">
                  <c:v>4263</c:v>
                </c:pt>
                <c:pt idx="2">
                  <c:v>4272</c:v>
                </c:pt>
                <c:pt idx="3">
                  <c:v>4372</c:v>
                </c:pt>
                <c:pt idx="4">
                  <c:v>4372</c:v>
                </c:pt>
                <c:pt idx="5">
                  <c:v>4889</c:v>
                </c:pt>
                <c:pt idx="6">
                  <c:v>3444</c:v>
                </c:pt>
                <c:pt idx="7">
                  <c:v>4433</c:v>
                </c:pt>
                <c:pt idx="8">
                  <c:v>3403</c:v>
                </c:pt>
                <c:pt idx="9">
                  <c:v>4392</c:v>
                </c:pt>
                <c:pt idx="10">
                  <c:v>4689</c:v>
                </c:pt>
                <c:pt idx="11">
                  <c:v>2192</c:v>
                </c:pt>
                <c:pt idx="12">
                  <c:v>3532</c:v>
                </c:pt>
                <c:pt idx="13">
                  <c:v>4540</c:v>
                </c:pt>
                <c:pt idx="14">
                  <c:v>4943</c:v>
                </c:pt>
                <c:pt idx="15">
                  <c:v>4585</c:v>
                </c:pt>
                <c:pt idx="16">
                  <c:v>4540</c:v>
                </c:pt>
                <c:pt idx="17">
                  <c:v>2618</c:v>
                </c:pt>
                <c:pt idx="18">
                  <c:v>4719</c:v>
                </c:pt>
                <c:pt idx="19">
                  <c:v>3639</c:v>
                </c:pt>
                <c:pt idx="20">
                  <c:v>3639</c:v>
                </c:pt>
                <c:pt idx="21">
                  <c:v>3713</c:v>
                </c:pt>
                <c:pt idx="22">
                  <c:v>4853</c:v>
                </c:pt>
                <c:pt idx="23">
                  <c:v>4715</c:v>
                </c:pt>
                <c:pt idx="24">
                  <c:v>5789</c:v>
                </c:pt>
                <c:pt idx="25">
                  <c:v>5448</c:v>
                </c:pt>
                <c:pt idx="26">
                  <c:v>2368</c:v>
                </c:pt>
                <c:pt idx="27">
                  <c:v>2340</c:v>
                </c:pt>
                <c:pt idx="28">
                  <c:v>2368</c:v>
                </c:pt>
                <c:pt idx="29">
                  <c:v>3866</c:v>
                </c:pt>
                <c:pt idx="30">
                  <c:v>4093</c:v>
                </c:pt>
                <c:pt idx="31">
                  <c:v>4782</c:v>
                </c:pt>
                <c:pt idx="32">
                  <c:v>2549</c:v>
                </c:pt>
                <c:pt idx="33">
                  <c:v>4260</c:v>
                </c:pt>
                <c:pt idx="34">
                  <c:v>2608</c:v>
                </c:pt>
                <c:pt idx="35">
                  <c:v>2820</c:v>
                </c:pt>
                <c:pt idx="36">
                  <c:v>2458</c:v>
                </c:pt>
                <c:pt idx="37">
                  <c:v>6605</c:v>
                </c:pt>
                <c:pt idx="38">
                  <c:v>6744</c:v>
                </c:pt>
                <c:pt idx="39">
                  <c:v>5208</c:v>
                </c:pt>
                <c:pt idx="40">
                  <c:v>4674</c:v>
                </c:pt>
                <c:pt idx="41">
                  <c:v>2578</c:v>
                </c:pt>
                <c:pt idx="42">
                  <c:v>6461</c:v>
                </c:pt>
                <c:pt idx="43">
                  <c:v>6605</c:v>
                </c:pt>
                <c:pt idx="44">
                  <c:v>2399</c:v>
                </c:pt>
                <c:pt idx="45">
                  <c:v>2578</c:v>
                </c:pt>
                <c:pt idx="46">
                  <c:v>2802</c:v>
                </c:pt>
                <c:pt idx="47">
                  <c:v>2399</c:v>
                </c:pt>
                <c:pt idx="48">
                  <c:v>2610</c:v>
                </c:pt>
                <c:pt idx="49">
                  <c:v>2643</c:v>
                </c:pt>
                <c:pt idx="50">
                  <c:v>6353</c:v>
                </c:pt>
                <c:pt idx="51">
                  <c:v>6541</c:v>
                </c:pt>
                <c:pt idx="52">
                  <c:v>3915</c:v>
                </c:pt>
                <c:pt idx="53">
                  <c:v>4555</c:v>
                </c:pt>
                <c:pt idx="54">
                  <c:v>4296</c:v>
                </c:pt>
                <c:pt idx="55">
                  <c:v>4293</c:v>
                </c:pt>
                <c:pt idx="56">
                  <c:v>4679</c:v>
                </c:pt>
                <c:pt idx="57">
                  <c:v>6210</c:v>
                </c:pt>
                <c:pt idx="58">
                  <c:v>6541</c:v>
                </c:pt>
                <c:pt idx="59">
                  <c:v>5122</c:v>
                </c:pt>
                <c:pt idx="60">
                  <c:v>4293</c:v>
                </c:pt>
                <c:pt idx="61">
                  <c:v>4498</c:v>
                </c:pt>
                <c:pt idx="62">
                  <c:v>3342</c:v>
                </c:pt>
                <c:pt idx="63">
                  <c:v>4560</c:v>
                </c:pt>
                <c:pt idx="64">
                  <c:v>5031</c:v>
                </c:pt>
                <c:pt idx="65">
                  <c:v>2842</c:v>
                </c:pt>
                <c:pt idx="66">
                  <c:v>4482</c:v>
                </c:pt>
                <c:pt idx="67">
                  <c:v>4540</c:v>
                </c:pt>
                <c:pt idx="68">
                  <c:v>4322</c:v>
                </c:pt>
                <c:pt idx="69">
                  <c:v>3389</c:v>
                </c:pt>
                <c:pt idx="70">
                  <c:v>4802</c:v>
                </c:pt>
                <c:pt idx="71">
                  <c:v>4889</c:v>
                </c:pt>
                <c:pt idx="72">
                  <c:v>4517</c:v>
                </c:pt>
                <c:pt idx="73">
                  <c:v>4252</c:v>
                </c:pt>
                <c:pt idx="74">
                  <c:v>4498</c:v>
                </c:pt>
                <c:pt idx="75">
                  <c:v>5416</c:v>
                </c:pt>
                <c:pt idx="76">
                  <c:v>5054</c:v>
                </c:pt>
                <c:pt idx="77">
                  <c:v>4362</c:v>
                </c:pt>
                <c:pt idx="78">
                  <c:v>3389</c:v>
                </c:pt>
                <c:pt idx="79">
                  <c:v>5150</c:v>
                </c:pt>
                <c:pt idx="80">
                  <c:v>4821</c:v>
                </c:pt>
                <c:pt idx="81">
                  <c:v>4432</c:v>
                </c:pt>
                <c:pt idx="82">
                  <c:v>3435</c:v>
                </c:pt>
                <c:pt idx="83">
                  <c:v>2488</c:v>
                </c:pt>
                <c:pt idx="84">
                  <c:v>3734</c:v>
                </c:pt>
                <c:pt idx="85">
                  <c:v>4577</c:v>
                </c:pt>
                <c:pt idx="86">
                  <c:v>2133</c:v>
                </c:pt>
                <c:pt idx="87">
                  <c:v>4448</c:v>
                </c:pt>
                <c:pt idx="88">
                  <c:v>3771</c:v>
                </c:pt>
                <c:pt idx="89">
                  <c:v>4628</c:v>
                </c:pt>
                <c:pt idx="90">
                  <c:v>4577</c:v>
                </c:pt>
                <c:pt idx="91">
                  <c:v>4529</c:v>
                </c:pt>
                <c:pt idx="92">
                  <c:v>2441</c:v>
                </c:pt>
                <c:pt idx="93">
                  <c:v>4433</c:v>
                </c:pt>
                <c:pt idx="94">
                  <c:v>4517</c:v>
                </c:pt>
                <c:pt idx="95">
                  <c:v>4481</c:v>
                </c:pt>
                <c:pt idx="96">
                  <c:v>4585</c:v>
                </c:pt>
                <c:pt idx="97">
                  <c:v>2222</c:v>
                </c:pt>
                <c:pt idx="98">
                  <c:v>5122</c:v>
                </c:pt>
                <c:pt idx="99">
                  <c:v>5122</c:v>
                </c:pt>
                <c:pt idx="100">
                  <c:v>4424</c:v>
                </c:pt>
                <c:pt idx="101">
                  <c:v>5549</c:v>
                </c:pt>
                <c:pt idx="102">
                  <c:v>2240</c:v>
                </c:pt>
                <c:pt idx="103">
                  <c:v>4539</c:v>
                </c:pt>
                <c:pt idx="104">
                  <c:v>4540</c:v>
                </c:pt>
                <c:pt idx="105">
                  <c:v>5301</c:v>
                </c:pt>
                <c:pt idx="106">
                  <c:v>3032</c:v>
                </c:pt>
                <c:pt idx="107">
                  <c:v>4808</c:v>
                </c:pt>
                <c:pt idx="108">
                  <c:v>4540</c:v>
                </c:pt>
                <c:pt idx="109">
                  <c:v>2251</c:v>
                </c:pt>
                <c:pt idx="110">
                  <c:v>4789</c:v>
                </c:pt>
                <c:pt idx="111">
                  <c:v>2360</c:v>
                </c:pt>
                <c:pt idx="112">
                  <c:v>3676</c:v>
                </c:pt>
                <c:pt idx="113">
                  <c:v>2310</c:v>
                </c:pt>
                <c:pt idx="114">
                  <c:v>2330</c:v>
                </c:pt>
                <c:pt idx="115">
                  <c:v>4705</c:v>
                </c:pt>
                <c:pt idx="116">
                  <c:v>5060</c:v>
                </c:pt>
                <c:pt idx="117">
                  <c:v>2458</c:v>
                </c:pt>
                <c:pt idx="118">
                  <c:v>3012</c:v>
                </c:pt>
                <c:pt idx="119">
                  <c:v>4877</c:v>
                </c:pt>
                <c:pt idx="120">
                  <c:v>5823</c:v>
                </c:pt>
                <c:pt idx="121">
                  <c:v>4845</c:v>
                </c:pt>
                <c:pt idx="122">
                  <c:v>4893</c:v>
                </c:pt>
                <c:pt idx="123">
                  <c:v>5660</c:v>
                </c:pt>
                <c:pt idx="124">
                  <c:v>5082</c:v>
                </c:pt>
                <c:pt idx="125">
                  <c:v>2428</c:v>
                </c:pt>
                <c:pt idx="126">
                  <c:v>5189</c:v>
                </c:pt>
                <c:pt idx="127">
                  <c:v>4807</c:v>
                </c:pt>
                <c:pt idx="128">
                  <c:v>2977</c:v>
                </c:pt>
                <c:pt idx="129">
                  <c:v>5109</c:v>
                </c:pt>
                <c:pt idx="130">
                  <c:v>5068</c:v>
                </c:pt>
                <c:pt idx="131">
                  <c:v>4112</c:v>
                </c:pt>
                <c:pt idx="132">
                  <c:v>4154</c:v>
                </c:pt>
                <c:pt idx="133">
                  <c:v>2518</c:v>
                </c:pt>
                <c:pt idx="134">
                  <c:v>4842</c:v>
                </c:pt>
                <c:pt idx="135">
                  <c:v>6080</c:v>
                </c:pt>
                <c:pt idx="136">
                  <c:v>4234</c:v>
                </c:pt>
                <c:pt idx="137">
                  <c:v>4418</c:v>
                </c:pt>
                <c:pt idx="138">
                  <c:v>4262</c:v>
                </c:pt>
                <c:pt idx="139">
                  <c:v>4223</c:v>
                </c:pt>
                <c:pt idx="140">
                  <c:v>4478</c:v>
                </c:pt>
                <c:pt idx="141">
                  <c:v>4301</c:v>
                </c:pt>
                <c:pt idx="142">
                  <c:v>3381</c:v>
                </c:pt>
                <c:pt idx="143">
                  <c:v>4761</c:v>
                </c:pt>
                <c:pt idx="144">
                  <c:v>4479</c:v>
                </c:pt>
                <c:pt idx="145">
                  <c:v>4669</c:v>
                </c:pt>
                <c:pt idx="146">
                  <c:v>4886</c:v>
                </c:pt>
                <c:pt idx="147">
                  <c:v>4713</c:v>
                </c:pt>
                <c:pt idx="148">
                  <c:v>4572</c:v>
                </c:pt>
                <c:pt idx="149">
                  <c:v>3434</c:v>
                </c:pt>
                <c:pt idx="150">
                  <c:v>3434</c:v>
                </c:pt>
                <c:pt idx="151">
                  <c:v>4484</c:v>
                </c:pt>
                <c:pt idx="152">
                  <c:v>5637</c:v>
                </c:pt>
                <c:pt idx="153">
                  <c:v>5877</c:v>
                </c:pt>
                <c:pt idx="154">
                  <c:v>2349</c:v>
                </c:pt>
                <c:pt idx="155">
                  <c:v>5992</c:v>
                </c:pt>
                <c:pt idx="156">
                  <c:v>5505</c:v>
                </c:pt>
                <c:pt idx="157">
                  <c:v>4440</c:v>
                </c:pt>
                <c:pt idx="158">
                  <c:v>2277</c:v>
                </c:pt>
                <c:pt idx="159">
                  <c:v>4162</c:v>
                </c:pt>
                <c:pt idx="160">
                  <c:v>5734</c:v>
                </c:pt>
                <c:pt idx="161">
                  <c:v>2388</c:v>
                </c:pt>
                <c:pt idx="162">
                  <c:v>2224</c:v>
                </c:pt>
                <c:pt idx="163">
                  <c:v>7698</c:v>
                </c:pt>
                <c:pt idx="164">
                  <c:v>5942</c:v>
                </c:pt>
                <c:pt idx="165">
                  <c:v>2668</c:v>
                </c:pt>
                <c:pt idx="166">
                  <c:v>4547</c:v>
                </c:pt>
                <c:pt idx="167">
                  <c:v>2464</c:v>
                </c:pt>
                <c:pt idx="168">
                  <c:v>5377</c:v>
                </c:pt>
                <c:pt idx="169">
                  <c:v>2117</c:v>
                </c:pt>
                <c:pt idx="170">
                  <c:v>6218</c:v>
                </c:pt>
                <c:pt idx="171">
                  <c:v>4829</c:v>
                </c:pt>
                <c:pt idx="172">
                  <c:v>6091</c:v>
                </c:pt>
                <c:pt idx="173">
                  <c:v>4675</c:v>
                </c:pt>
                <c:pt idx="174">
                  <c:v>5408</c:v>
                </c:pt>
                <c:pt idx="175">
                  <c:v>3700</c:v>
                </c:pt>
                <c:pt idx="176">
                  <c:v>4001</c:v>
                </c:pt>
                <c:pt idx="177">
                  <c:v>4150</c:v>
                </c:pt>
                <c:pt idx="178">
                  <c:v>4111</c:v>
                </c:pt>
                <c:pt idx="179">
                  <c:v>5962</c:v>
                </c:pt>
                <c:pt idx="180">
                  <c:v>4150</c:v>
                </c:pt>
                <c:pt idx="181">
                  <c:v>2676</c:v>
                </c:pt>
                <c:pt idx="182">
                  <c:v>5637</c:v>
                </c:pt>
                <c:pt idx="183">
                  <c:v>5730</c:v>
                </c:pt>
                <c:pt idx="184">
                  <c:v>4075</c:v>
                </c:pt>
                <c:pt idx="185">
                  <c:v>4260</c:v>
                </c:pt>
                <c:pt idx="186">
                  <c:v>4075</c:v>
                </c:pt>
                <c:pt idx="187">
                  <c:v>2734</c:v>
                </c:pt>
                <c:pt idx="188">
                  <c:v>3111</c:v>
                </c:pt>
                <c:pt idx="189">
                  <c:v>5299</c:v>
                </c:pt>
                <c:pt idx="190">
                  <c:v>4250</c:v>
                </c:pt>
                <c:pt idx="191">
                  <c:v>4297</c:v>
                </c:pt>
                <c:pt idx="192">
                  <c:v>3111</c:v>
                </c:pt>
                <c:pt idx="193">
                  <c:v>4506</c:v>
                </c:pt>
                <c:pt idx="194">
                  <c:v>4594</c:v>
                </c:pt>
                <c:pt idx="195">
                  <c:v>4150</c:v>
                </c:pt>
                <c:pt idx="196">
                  <c:v>4112</c:v>
                </c:pt>
                <c:pt idx="197">
                  <c:v>4141</c:v>
                </c:pt>
                <c:pt idx="198">
                  <c:v>4936</c:v>
                </c:pt>
                <c:pt idx="199">
                  <c:v>4585</c:v>
                </c:pt>
                <c:pt idx="200">
                  <c:v>4561</c:v>
                </c:pt>
                <c:pt idx="201">
                  <c:v>4418</c:v>
                </c:pt>
                <c:pt idx="202">
                  <c:v>4262</c:v>
                </c:pt>
                <c:pt idx="203">
                  <c:v>4340</c:v>
                </c:pt>
                <c:pt idx="204">
                  <c:v>5064</c:v>
                </c:pt>
                <c:pt idx="205">
                  <c:v>4334</c:v>
                </c:pt>
                <c:pt idx="206">
                  <c:v>2271</c:v>
                </c:pt>
                <c:pt idx="207">
                  <c:v>4301</c:v>
                </c:pt>
                <c:pt idx="208">
                  <c:v>4262</c:v>
                </c:pt>
                <c:pt idx="209">
                  <c:v>4283</c:v>
                </c:pt>
                <c:pt idx="210">
                  <c:v>4244</c:v>
                </c:pt>
                <c:pt idx="211">
                  <c:v>4659</c:v>
                </c:pt>
                <c:pt idx="212">
                  <c:v>2109</c:v>
                </c:pt>
                <c:pt idx="213">
                  <c:v>4279</c:v>
                </c:pt>
                <c:pt idx="214">
                  <c:v>5092</c:v>
                </c:pt>
                <c:pt idx="215">
                  <c:v>3296</c:v>
                </c:pt>
                <c:pt idx="216">
                  <c:v>3329</c:v>
                </c:pt>
                <c:pt idx="217">
                  <c:v>2434</c:v>
                </c:pt>
                <c:pt idx="218">
                  <c:v>5051</c:v>
                </c:pt>
                <c:pt idx="219">
                  <c:v>5938</c:v>
                </c:pt>
                <c:pt idx="220">
                  <c:v>2432</c:v>
                </c:pt>
                <c:pt idx="221">
                  <c:v>4883</c:v>
                </c:pt>
                <c:pt idx="222">
                  <c:v>4971</c:v>
                </c:pt>
                <c:pt idx="223">
                  <c:v>4429</c:v>
                </c:pt>
                <c:pt idx="224">
                  <c:v>2986</c:v>
                </c:pt>
                <c:pt idx="225">
                  <c:v>5067</c:v>
                </c:pt>
                <c:pt idx="226">
                  <c:v>5109</c:v>
                </c:pt>
                <c:pt idx="227">
                  <c:v>5109</c:v>
                </c:pt>
                <c:pt idx="228">
                  <c:v>2769</c:v>
                </c:pt>
                <c:pt idx="229">
                  <c:v>4712</c:v>
                </c:pt>
                <c:pt idx="230">
                  <c:v>5377</c:v>
                </c:pt>
                <c:pt idx="231">
                  <c:v>4833</c:v>
                </c:pt>
                <c:pt idx="232">
                  <c:v>6071</c:v>
                </c:pt>
                <c:pt idx="233">
                  <c:v>6002</c:v>
                </c:pt>
                <c:pt idx="234">
                  <c:v>6115</c:v>
                </c:pt>
                <c:pt idx="235">
                  <c:v>3634</c:v>
                </c:pt>
                <c:pt idx="236">
                  <c:v>3665</c:v>
                </c:pt>
                <c:pt idx="237">
                  <c:v>3670</c:v>
                </c:pt>
                <c:pt idx="238">
                  <c:v>3802</c:v>
                </c:pt>
                <c:pt idx="239">
                  <c:v>3703</c:v>
                </c:pt>
                <c:pt idx="240">
                  <c:v>2904</c:v>
                </c:pt>
                <c:pt idx="241">
                  <c:v>3786</c:v>
                </c:pt>
                <c:pt idx="242">
                  <c:v>3735</c:v>
                </c:pt>
                <c:pt idx="243">
                  <c:v>4260</c:v>
                </c:pt>
                <c:pt idx="244">
                  <c:v>3786</c:v>
                </c:pt>
                <c:pt idx="245">
                  <c:v>3922</c:v>
                </c:pt>
                <c:pt idx="246">
                  <c:v>3786</c:v>
                </c:pt>
                <c:pt idx="247">
                  <c:v>2006</c:v>
                </c:pt>
                <c:pt idx="248">
                  <c:v>2990</c:v>
                </c:pt>
                <c:pt idx="249">
                  <c:v>2990</c:v>
                </c:pt>
                <c:pt idx="250">
                  <c:v>3718</c:v>
                </c:pt>
                <c:pt idx="251">
                  <c:v>3752</c:v>
                </c:pt>
                <c:pt idx="252">
                  <c:v>3989</c:v>
                </c:pt>
                <c:pt idx="253">
                  <c:v>4280</c:v>
                </c:pt>
                <c:pt idx="254">
                  <c:v>4076</c:v>
                </c:pt>
                <c:pt idx="255">
                  <c:v>3172</c:v>
                </c:pt>
                <c:pt idx="256">
                  <c:v>4954</c:v>
                </c:pt>
                <c:pt idx="257">
                  <c:v>5118</c:v>
                </c:pt>
                <c:pt idx="258">
                  <c:v>4909</c:v>
                </c:pt>
                <c:pt idx="259">
                  <c:v>4760</c:v>
                </c:pt>
                <c:pt idx="260">
                  <c:v>5118</c:v>
                </c:pt>
                <c:pt idx="261">
                  <c:v>5612</c:v>
                </c:pt>
                <c:pt idx="262">
                  <c:v>4069</c:v>
                </c:pt>
                <c:pt idx="263">
                  <c:v>5160</c:v>
                </c:pt>
                <c:pt idx="264">
                  <c:v>4760</c:v>
                </c:pt>
                <c:pt idx="265">
                  <c:v>1995</c:v>
                </c:pt>
                <c:pt idx="266">
                  <c:v>2756</c:v>
                </c:pt>
                <c:pt idx="267">
                  <c:v>2304</c:v>
                </c:pt>
                <c:pt idx="268">
                  <c:v>3654</c:v>
                </c:pt>
                <c:pt idx="269">
                  <c:v>3687</c:v>
                </c:pt>
                <c:pt idx="270">
                  <c:v>4092</c:v>
                </c:pt>
                <c:pt idx="271">
                  <c:v>3962</c:v>
                </c:pt>
                <c:pt idx="272">
                  <c:v>3852</c:v>
                </c:pt>
                <c:pt idx="273">
                  <c:v>3621</c:v>
                </c:pt>
                <c:pt idx="274">
                  <c:v>4378</c:v>
                </c:pt>
                <c:pt idx="275">
                  <c:v>5152</c:v>
                </c:pt>
                <c:pt idx="276">
                  <c:v>3720</c:v>
                </c:pt>
                <c:pt idx="277">
                  <c:v>4127</c:v>
                </c:pt>
                <c:pt idx="278">
                  <c:v>3759</c:v>
                </c:pt>
                <c:pt idx="279">
                  <c:v>3874</c:v>
                </c:pt>
                <c:pt idx="280">
                  <c:v>3853</c:v>
                </c:pt>
                <c:pt idx="281">
                  <c:v>4305</c:v>
                </c:pt>
                <c:pt idx="282">
                  <c:v>3508</c:v>
                </c:pt>
                <c:pt idx="283">
                  <c:v>3674</c:v>
                </c:pt>
                <c:pt idx="284">
                  <c:v>3370</c:v>
                </c:pt>
                <c:pt idx="285">
                  <c:v>4111</c:v>
                </c:pt>
                <c:pt idx="286">
                  <c:v>3984</c:v>
                </c:pt>
                <c:pt idx="287">
                  <c:v>3984</c:v>
                </c:pt>
                <c:pt idx="288">
                  <c:v>3779</c:v>
                </c:pt>
                <c:pt idx="289">
                  <c:v>3621</c:v>
                </c:pt>
                <c:pt idx="290">
                  <c:v>4193</c:v>
                </c:pt>
                <c:pt idx="291">
                  <c:v>4023</c:v>
                </c:pt>
                <c:pt idx="292">
                  <c:v>4193</c:v>
                </c:pt>
                <c:pt idx="293">
                  <c:v>3931</c:v>
                </c:pt>
                <c:pt idx="294">
                  <c:v>4693</c:v>
                </c:pt>
                <c:pt idx="295">
                  <c:v>3965</c:v>
                </c:pt>
                <c:pt idx="296">
                  <c:v>2972</c:v>
                </c:pt>
                <c:pt idx="297">
                  <c:v>3989</c:v>
                </c:pt>
                <c:pt idx="298">
                  <c:v>3817</c:v>
                </c:pt>
                <c:pt idx="299">
                  <c:v>3020</c:v>
                </c:pt>
                <c:pt idx="300">
                  <c:v>3752</c:v>
                </c:pt>
                <c:pt idx="301">
                  <c:v>2138</c:v>
                </c:pt>
                <c:pt idx="302">
                  <c:v>4233</c:v>
                </c:pt>
                <c:pt idx="303">
                  <c:v>2006</c:v>
                </c:pt>
                <c:pt idx="304">
                  <c:v>2453</c:v>
                </c:pt>
                <c:pt idx="305">
                  <c:v>5501</c:v>
                </c:pt>
                <c:pt idx="306">
                  <c:v>5288</c:v>
                </c:pt>
                <c:pt idx="307">
                  <c:v>2139</c:v>
                </c:pt>
                <c:pt idx="308">
                  <c:v>4186</c:v>
                </c:pt>
                <c:pt idx="309">
                  <c:v>3129</c:v>
                </c:pt>
                <c:pt idx="310">
                  <c:v>3230</c:v>
                </c:pt>
                <c:pt idx="311">
                  <c:v>2499</c:v>
                </c:pt>
                <c:pt idx="312">
                  <c:v>1575</c:v>
                </c:pt>
                <c:pt idx="313">
                  <c:v>3995</c:v>
                </c:pt>
                <c:pt idx="314">
                  <c:v>3552</c:v>
                </c:pt>
                <c:pt idx="315">
                  <c:v>3522</c:v>
                </c:pt>
                <c:pt idx="316">
                  <c:v>3978</c:v>
                </c:pt>
                <c:pt idx="317">
                  <c:v>2795</c:v>
                </c:pt>
                <c:pt idx="318">
                  <c:v>3708</c:v>
                </c:pt>
                <c:pt idx="319">
                  <c:v>4225</c:v>
                </c:pt>
                <c:pt idx="320">
                  <c:v>4783</c:v>
                </c:pt>
                <c:pt idx="321">
                  <c:v>2098</c:v>
                </c:pt>
                <c:pt idx="322">
                  <c:v>4232</c:v>
                </c:pt>
                <c:pt idx="323">
                  <c:v>4575</c:v>
                </c:pt>
                <c:pt idx="324">
                  <c:v>4225</c:v>
                </c:pt>
                <c:pt idx="325">
                  <c:v>4706</c:v>
                </c:pt>
                <c:pt idx="326">
                  <c:v>4225</c:v>
                </c:pt>
                <c:pt idx="327">
                  <c:v>4316</c:v>
                </c:pt>
                <c:pt idx="328">
                  <c:v>3877</c:v>
                </c:pt>
                <c:pt idx="329">
                  <c:v>3398</c:v>
                </c:pt>
                <c:pt idx="330">
                  <c:v>1743</c:v>
                </c:pt>
                <c:pt idx="331">
                  <c:v>4720</c:v>
                </c:pt>
                <c:pt idx="332">
                  <c:v>3529</c:v>
                </c:pt>
                <c:pt idx="333">
                  <c:v>3967</c:v>
                </c:pt>
                <c:pt idx="334">
                  <c:v>3670</c:v>
                </c:pt>
                <c:pt idx="335">
                  <c:v>3581</c:v>
                </c:pt>
                <c:pt idx="336">
                  <c:v>3581</c:v>
                </c:pt>
                <c:pt idx="337">
                  <c:v>3818</c:v>
                </c:pt>
                <c:pt idx="338">
                  <c:v>3552</c:v>
                </c:pt>
                <c:pt idx="339">
                  <c:v>3735</c:v>
                </c:pt>
                <c:pt idx="340">
                  <c:v>3827</c:v>
                </c:pt>
                <c:pt idx="341">
                  <c:v>3853</c:v>
                </c:pt>
                <c:pt idx="342">
                  <c:v>3646</c:v>
                </c:pt>
                <c:pt idx="343">
                  <c:v>2265</c:v>
                </c:pt>
                <c:pt idx="344">
                  <c:v>3970</c:v>
                </c:pt>
                <c:pt idx="345">
                  <c:v>3900</c:v>
                </c:pt>
                <c:pt idx="346">
                  <c:v>3613</c:v>
                </c:pt>
                <c:pt idx="347">
                  <c:v>4417</c:v>
                </c:pt>
                <c:pt idx="348">
                  <c:v>4417</c:v>
                </c:pt>
                <c:pt idx="349">
                  <c:v>3877</c:v>
                </c:pt>
                <c:pt idx="350">
                  <c:v>4004</c:v>
                </c:pt>
                <c:pt idx="351">
                  <c:v>4004</c:v>
                </c:pt>
                <c:pt idx="352">
                  <c:v>3677</c:v>
                </c:pt>
                <c:pt idx="353">
                  <c:v>4467</c:v>
                </c:pt>
                <c:pt idx="354">
                  <c:v>3570</c:v>
                </c:pt>
                <c:pt idx="355">
                  <c:v>2926</c:v>
                </c:pt>
                <c:pt idx="356">
                  <c:v>3563</c:v>
                </c:pt>
                <c:pt idx="357">
                  <c:v>3152</c:v>
                </c:pt>
                <c:pt idx="358">
                  <c:v>3385</c:v>
                </c:pt>
                <c:pt idx="359">
                  <c:v>3542</c:v>
                </c:pt>
                <c:pt idx="360">
                  <c:v>3882</c:v>
                </c:pt>
                <c:pt idx="361">
                  <c:v>3860</c:v>
                </c:pt>
                <c:pt idx="362">
                  <c:v>3234</c:v>
                </c:pt>
                <c:pt idx="363">
                  <c:v>2851</c:v>
                </c:pt>
                <c:pt idx="364">
                  <c:v>3230</c:v>
                </c:pt>
                <c:pt idx="365">
                  <c:v>2860</c:v>
                </c:pt>
                <c:pt idx="366">
                  <c:v>2860</c:v>
                </c:pt>
                <c:pt idx="367">
                  <c:v>2925</c:v>
                </c:pt>
                <c:pt idx="368">
                  <c:v>3018</c:v>
                </c:pt>
                <c:pt idx="369">
                  <c:v>3111</c:v>
                </c:pt>
                <c:pt idx="370">
                  <c:v>3179</c:v>
                </c:pt>
                <c:pt idx="371">
                  <c:v>3111</c:v>
                </c:pt>
                <c:pt idx="372">
                  <c:v>3676</c:v>
                </c:pt>
                <c:pt idx="373">
                  <c:v>3048</c:v>
                </c:pt>
                <c:pt idx="374">
                  <c:v>2745</c:v>
                </c:pt>
                <c:pt idx="375">
                  <c:v>2781</c:v>
                </c:pt>
                <c:pt idx="376">
                  <c:v>3156</c:v>
                </c:pt>
                <c:pt idx="377">
                  <c:v>2925</c:v>
                </c:pt>
                <c:pt idx="378">
                  <c:v>3048</c:v>
                </c:pt>
                <c:pt idx="379">
                  <c:v>2923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43-4F52-BDE4-3AC61A792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39935"/>
        <c:axId val="227569199"/>
      </c:scatterChart>
      <c:valAx>
        <c:axId val="267339935"/>
        <c:scaling>
          <c:orientation val="minMax"/>
          <c:max val="1.4"/>
          <c:min val="0.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carats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7569199"/>
        <c:crosses val="autoZero"/>
        <c:crossBetween val="midCat"/>
      </c:valAx>
      <c:valAx>
        <c:axId val="2275691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price ($)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7339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of 380 diamonds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Diamonds</c:v>
                </c:pt>
              </c:strCache>
            </c:strRef>
          </c:tx>
          <c:invertIfNegative val="0"/>
          <c:cat>
            <c:strRef>
              <c:f>histogram!$A$2:$A$14</c:f>
              <c:strCache>
                <c:ptCount val="13"/>
                <c:pt idx="0">
                  <c:v>1,500–1,999</c:v>
                </c:pt>
                <c:pt idx="1">
                  <c:v>2,000–2,499</c:v>
                </c:pt>
                <c:pt idx="2">
                  <c:v>2,500–2,999</c:v>
                </c:pt>
                <c:pt idx="3">
                  <c:v>3,000–3,499</c:v>
                </c:pt>
                <c:pt idx="4">
                  <c:v>3,500–3,999</c:v>
                </c:pt>
                <c:pt idx="5">
                  <c:v>4,000–4,499</c:v>
                </c:pt>
                <c:pt idx="6">
                  <c:v>4,500–4,999</c:v>
                </c:pt>
                <c:pt idx="7">
                  <c:v>5,000–5,499</c:v>
                </c:pt>
                <c:pt idx="8">
                  <c:v>5,500–5,999</c:v>
                </c:pt>
                <c:pt idx="9">
                  <c:v>6,000–6,499</c:v>
                </c:pt>
                <c:pt idx="10">
                  <c:v>6,500–6,999</c:v>
                </c:pt>
                <c:pt idx="11">
                  <c:v>7,000–7,499</c:v>
                </c:pt>
                <c:pt idx="12">
                  <c:v>7,500–7,999</c:v>
                </c:pt>
              </c:strCache>
            </c:strRef>
          </c:cat>
          <c:val>
            <c:numRef>
              <c:f>histogram!$B$2:$B$14</c:f>
              <c:numCache>
                <c:formatCode>General</c:formatCode>
                <c:ptCount val="13"/>
                <c:pt idx="0">
                  <c:v>3</c:v>
                </c:pt>
                <c:pt idx="1">
                  <c:v>38</c:v>
                </c:pt>
                <c:pt idx="2">
                  <c:v>32</c:v>
                </c:pt>
                <c:pt idx="3">
                  <c:v>32</c:v>
                </c:pt>
                <c:pt idx="4">
                  <c:v>71</c:v>
                </c:pt>
                <c:pt idx="5">
                  <c:v>80</c:v>
                </c:pt>
                <c:pt idx="6">
                  <c:v>63</c:v>
                </c:pt>
                <c:pt idx="7">
                  <c:v>30</c:v>
                </c:pt>
                <c:pt idx="8">
                  <c:v>16</c:v>
                </c:pt>
                <c:pt idx="9">
                  <c:v>9</c:v>
                </c:pt>
                <c:pt idx="10">
                  <c:v>5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3-45BF-B245-431C2EAD0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2090536192"/>
        <c:axId val="12519791"/>
      </c:barChart>
      <c:catAx>
        <c:axId val="209053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19791"/>
        <c:crosses val="autoZero"/>
        <c:auto val="1"/>
        <c:lblAlgn val="ctr"/>
        <c:lblOffset val="100"/>
        <c:noMultiLvlLbl val="0"/>
      </c:catAx>
      <c:valAx>
        <c:axId val="125197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05361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0</xdr:row>
      <xdr:rowOff>127000</xdr:rowOff>
    </xdr:from>
    <xdr:to>
      <xdr:col>13</xdr:col>
      <xdr:colOff>88900</xdr:colOff>
      <xdr:row>23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3A9180-98BC-C4B2-1056-79A764667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0</xdr:row>
      <xdr:rowOff>127000</xdr:rowOff>
    </xdr:from>
    <xdr:to>
      <xdr:col>13</xdr:col>
      <xdr:colOff>638175</xdr:colOff>
      <xdr:row>21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0AE63-ED79-A7F6-0E58-01E2ED5E3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, Tianli" refreshedDate="46325.727340046295" createdVersion="8" refreshedVersion="8" minRefreshableVersion="3" recordCount="2201" xr:uid="{B0F5866A-2C8D-4AFC-91AD-0B69A14E39BC}">
  <cacheSource type="worksheet">
    <worksheetSource ref="A1:E2202" sheet="titanic"/>
  </cacheSource>
  <cacheFields count="5">
    <cacheField name="class" numFmtId="0">
      <sharedItems count="4">
        <s v="first class"/>
        <s v="second class"/>
        <s v="third class"/>
        <s v="crew"/>
      </sharedItems>
    </cacheField>
    <cacheField name="age" numFmtId="0">
      <sharedItems/>
    </cacheField>
    <cacheField name="gender" numFmtId="0">
      <sharedItems count="2">
        <s v="male"/>
        <s v="female"/>
      </sharedItems>
    </cacheField>
    <cacheField name="survival" numFmtId="0">
      <sharedItems/>
    </cacheField>
    <cacheField name="surviv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a, Tianli" refreshedDate="46325.727366319443" createdVersion="8" refreshedVersion="8" minRefreshableVersion="3" recordCount="6050" xr:uid="{581A1E73-E5FC-4D9C-871C-7893930CE535}">
  <cacheSource type="worksheet">
    <worksheetSource ref="A1:F6051" sheet="cps99"/>
  </cacheSource>
  <cacheFields count="6">
    <cacheField name="Hours" numFmtId="0">
      <sharedItems containsSemiMixedTypes="0" containsString="0" containsNumber="1" containsInteger="1" minValue="0" maxValue="144"/>
    </cacheField>
    <cacheField name="Educ" numFmtId="0">
      <sharedItems containsSemiMixedTypes="0" containsString="0" containsNumber="1" minValue="8" maxValue="18" count="10">
        <n v="18"/>
        <n v="16"/>
        <n v="14"/>
        <n v="13"/>
        <n v="12"/>
        <n v="11.5"/>
        <n v="11"/>
        <n v="10"/>
        <n v="9"/>
        <n v="8"/>
      </sharedItems>
    </cacheField>
    <cacheField name="Earnings" numFmtId="0">
      <sharedItems containsSemiMixedTypes="0" containsString="0" containsNumber="1" containsInteger="1" minValue="135" maxValue="492657"/>
    </cacheField>
    <cacheField name="Race" numFmtId="0">
      <sharedItems/>
    </cacheField>
    <cacheField name="Gender" numFmtId="0">
      <sharedItems count="2">
        <s v="Female"/>
        <s v="Male"/>
      </sharedItems>
    </cacheField>
    <cacheField name="education" numFmtId="0">
      <sharedItems count="5">
        <s v="5 Graduate degree"/>
        <s v="4 Bachelor's"/>
        <s v="3 Some college"/>
        <s v="2 High school"/>
        <s v="1 Less than high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1"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yes"/>
    <n v="1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0"/>
    <s v="no"/>
    <n v="0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yes"/>
    <n v="1"/>
  </r>
  <r>
    <x v="0"/>
    <s v="adult"/>
    <x v="1"/>
    <s v="no"/>
    <n v="0"/>
  </r>
  <r>
    <x v="0"/>
    <s v="adult"/>
    <x v="1"/>
    <s v="no"/>
    <n v="0"/>
  </r>
  <r>
    <x v="0"/>
    <s v="adult"/>
    <x v="1"/>
    <s v="no"/>
    <n v="0"/>
  </r>
  <r>
    <x v="0"/>
    <s v="adult"/>
    <x v="1"/>
    <s v="no"/>
    <n v="0"/>
  </r>
  <r>
    <x v="0"/>
    <s v="young"/>
    <x v="0"/>
    <s v="yes"/>
    <n v="1"/>
  </r>
  <r>
    <x v="0"/>
    <s v="young"/>
    <x v="0"/>
    <s v="yes"/>
    <n v="1"/>
  </r>
  <r>
    <x v="0"/>
    <s v="young"/>
    <x v="0"/>
    <s v="yes"/>
    <n v="1"/>
  </r>
  <r>
    <x v="0"/>
    <s v="young"/>
    <x v="0"/>
    <s v="yes"/>
    <n v="1"/>
  </r>
  <r>
    <x v="0"/>
    <s v="young"/>
    <x v="0"/>
    <s v="yes"/>
    <n v="1"/>
  </r>
  <r>
    <x v="0"/>
    <s v="young"/>
    <x v="1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yes"/>
    <n v="1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0"/>
    <s v="no"/>
    <n v="0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yes"/>
    <n v="1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adult"/>
    <x v="1"/>
    <s v="no"/>
    <n v="0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0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1"/>
    <s v="young"/>
    <x v="1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yes"/>
    <n v="1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0"/>
    <s v="no"/>
    <n v="0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yes"/>
    <n v="1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adult"/>
    <x v="1"/>
    <s v="no"/>
    <n v="0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yes"/>
    <n v="1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0"/>
    <s v="no"/>
    <n v="0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yes"/>
    <n v="1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2"/>
    <s v="young"/>
    <x v="1"/>
    <s v="no"/>
    <n v="0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yes"/>
    <n v="1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0"/>
    <s v="no"/>
    <n v="0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yes"/>
    <n v="1"/>
  </r>
  <r>
    <x v="3"/>
    <s v="adult"/>
    <x v="1"/>
    <s v="no"/>
    <n v="0"/>
  </r>
  <r>
    <x v="3"/>
    <s v="adult"/>
    <x v="1"/>
    <s v="no"/>
    <n v="0"/>
  </r>
  <r>
    <x v="3"/>
    <s v="adult"/>
    <x v="1"/>
    <s v="n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50">
  <r>
    <n v="50"/>
    <x v="0"/>
    <n v="1500"/>
    <s v="White"/>
    <x v="0"/>
    <x v="0"/>
  </r>
  <r>
    <n v="40"/>
    <x v="0"/>
    <n v="3600"/>
    <s v="White"/>
    <x v="0"/>
    <x v="0"/>
  </r>
  <r>
    <n v="39"/>
    <x v="0"/>
    <n v="6500"/>
    <s v="White"/>
    <x v="1"/>
    <x v="0"/>
  </r>
  <r>
    <n v="65"/>
    <x v="0"/>
    <n v="7000"/>
    <s v="White"/>
    <x v="1"/>
    <x v="0"/>
  </r>
  <r>
    <n v="45"/>
    <x v="0"/>
    <n v="8000"/>
    <s v="White"/>
    <x v="0"/>
    <x v="0"/>
  </r>
  <r>
    <n v="40"/>
    <x v="0"/>
    <n v="9000"/>
    <s v="White"/>
    <x v="0"/>
    <x v="0"/>
  </r>
  <r>
    <n v="40"/>
    <x v="0"/>
    <n v="9500"/>
    <s v="White"/>
    <x v="1"/>
    <x v="0"/>
  </r>
  <r>
    <n v="45"/>
    <x v="0"/>
    <n v="10000"/>
    <s v="White"/>
    <x v="1"/>
    <x v="0"/>
  </r>
  <r>
    <n v="38"/>
    <x v="0"/>
    <n v="10000"/>
    <s v="White"/>
    <x v="1"/>
    <x v="0"/>
  </r>
  <r>
    <n v="70"/>
    <x v="0"/>
    <n v="10000"/>
    <s v="AsianPI"/>
    <x v="1"/>
    <x v="0"/>
  </r>
  <r>
    <n v="0"/>
    <x v="0"/>
    <n v="10000"/>
    <s v="White"/>
    <x v="1"/>
    <x v="0"/>
  </r>
  <r>
    <n v="60"/>
    <x v="0"/>
    <n v="12000"/>
    <s v="White"/>
    <x v="1"/>
    <x v="0"/>
  </r>
  <r>
    <n v="40"/>
    <x v="0"/>
    <n v="13000"/>
    <s v="White"/>
    <x v="1"/>
    <x v="0"/>
  </r>
  <r>
    <n v="40"/>
    <x v="0"/>
    <n v="13318"/>
    <s v="White"/>
    <x v="0"/>
    <x v="0"/>
  </r>
  <r>
    <n v="46"/>
    <x v="0"/>
    <n v="13840"/>
    <s v="White"/>
    <x v="0"/>
    <x v="0"/>
  </r>
  <r>
    <n v="40"/>
    <x v="0"/>
    <n v="15000"/>
    <s v="White"/>
    <x v="0"/>
    <x v="0"/>
  </r>
  <r>
    <n v="0"/>
    <x v="0"/>
    <n v="15000"/>
    <s v="AsianPI"/>
    <x v="0"/>
    <x v="0"/>
  </r>
  <r>
    <n v="50"/>
    <x v="0"/>
    <n v="15500"/>
    <s v="White"/>
    <x v="1"/>
    <x v="0"/>
  </r>
  <r>
    <n v="40"/>
    <x v="0"/>
    <n v="15916"/>
    <s v="White"/>
    <x v="1"/>
    <x v="0"/>
  </r>
  <r>
    <n v="45"/>
    <x v="0"/>
    <n v="16000"/>
    <s v="White"/>
    <x v="1"/>
    <x v="0"/>
  </r>
  <r>
    <n v="40"/>
    <x v="0"/>
    <n v="16000"/>
    <s v="AsianPI"/>
    <x v="1"/>
    <x v="0"/>
  </r>
  <r>
    <n v="38"/>
    <x v="0"/>
    <n v="17600"/>
    <s v="White"/>
    <x v="0"/>
    <x v="0"/>
  </r>
  <r>
    <n v="40"/>
    <x v="0"/>
    <n v="17603"/>
    <s v="White"/>
    <x v="1"/>
    <x v="0"/>
  </r>
  <r>
    <n v="40"/>
    <x v="0"/>
    <n v="18000"/>
    <s v="White"/>
    <x v="0"/>
    <x v="0"/>
  </r>
  <r>
    <n v="70"/>
    <x v="0"/>
    <n v="18000"/>
    <s v="White"/>
    <x v="0"/>
    <x v="0"/>
  </r>
  <r>
    <n v="40"/>
    <x v="0"/>
    <n v="18000"/>
    <s v="White"/>
    <x v="0"/>
    <x v="0"/>
  </r>
  <r>
    <n v="50"/>
    <x v="0"/>
    <n v="18000"/>
    <s v="White"/>
    <x v="0"/>
    <x v="0"/>
  </r>
  <r>
    <n v="40"/>
    <x v="0"/>
    <n v="18770"/>
    <s v="White"/>
    <x v="1"/>
    <x v="0"/>
  </r>
  <r>
    <n v="48"/>
    <x v="0"/>
    <n v="19963"/>
    <s v="White"/>
    <x v="1"/>
    <x v="0"/>
  </r>
  <r>
    <n v="40"/>
    <x v="0"/>
    <n v="20000"/>
    <s v="Black"/>
    <x v="1"/>
    <x v="0"/>
  </r>
  <r>
    <n v="40"/>
    <x v="0"/>
    <n v="20000"/>
    <s v="White"/>
    <x v="0"/>
    <x v="0"/>
  </r>
  <r>
    <n v="40"/>
    <x v="0"/>
    <n v="20000"/>
    <s v="White"/>
    <x v="0"/>
    <x v="0"/>
  </r>
  <r>
    <n v="80"/>
    <x v="0"/>
    <n v="20000"/>
    <s v="White"/>
    <x v="0"/>
    <x v="0"/>
  </r>
  <r>
    <n v="50"/>
    <x v="0"/>
    <n v="20700"/>
    <s v="White"/>
    <x v="0"/>
    <x v="0"/>
  </r>
  <r>
    <n v="60"/>
    <x v="0"/>
    <n v="21000"/>
    <s v="White"/>
    <x v="1"/>
    <x v="0"/>
  </r>
  <r>
    <n v="55"/>
    <x v="0"/>
    <n v="21253"/>
    <s v="White"/>
    <x v="1"/>
    <x v="0"/>
  </r>
  <r>
    <n v="48"/>
    <x v="0"/>
    <n v="22000"/>
    <s v="White"/>
    <x v="1"/>
    <x v="0"/>
  </r>
  <r>
    <n v="50"/>
    <x v="0"/>
    <n v="22000"/>
    <s v="White"/>
    <x v="0"/>
    <x v="0"/>
  </r>
  <r>
    <n v="40"/>
    <x v="0"/>
    <n v="22000"/>
    <s v="White"/>
    <x v="0"/>
    <x v="0"/>
  </r>
  <r>
    <n v="40"/>
    <x v="0"/>
    <n v="22713"/>
    <s v="White"/>
    <x v="0"/>
    <x v="0"/>
  </r>
  <r>
    <n v="40"/>
    <x v="0"/>
    <n v="23000"/>
    <s v="White"/>
    <x v="0"/>
    <x v="0"/>
  </r>
  <r>
    <n v="40"/>
    <x v="0"/>
    <n v="23000"/>
    <s v="White"/>
    <x v="0"/>
    <x v="0"/>
  </r>
  <r>
    <n v="45"/>
    <x v="0"/>
    <n v="23000"/>
    <s v="White"/>
    <x v="0"/>
    <x v="0"/>
  </r>
  <r>
    <n v="40"/>
    <x v="0"/>
    <n v="23000"/>
    <s v="White"/>
    <x v="0"/>
    <x v="0"/>
  </r>
  <r>
    <n v="55"/>
    <x v="0"/>
    <n v="24000"/>
    <s v="Black"/>
    <x v="1"/>
    <x v="0"/>
  </r>
  <r>
    <n v="55"/>
    <x v="0"/>
    <n v="25000"/>
    <s v="White"/>
    <x v="0"/>
    <x v="0"/>
  </r>
  <r>
    <n v="50"/>
    <x v="0"/>
    <n v="25000"/>
    <s v="White"/>
    <x v="0"/>
    <x v="0"/>
  </r>
  <r>
    <n v="40"/>
    <x v="0"/>
    <n v="25000"/>
    <s v="White"/>
    <x v="0"/>
    <x v="0"/>
  </r>
  <r>
    <n v="40"/>
    <x v="0"/>
    <n v="25000"/>
    <s v="White"/>
    <x v="0"/>
    <x v="0"/>
  </r>
  <r>
    <n v="50"/>
    <x v="0"/>
    <n v="25000"/>
    <s v="Black"/>
    <x v="0"/>
    <x v="0"/>
  </r>
  <r>
    <n v="40"/>
    <x v="0"/>
    <n v="25000"/>
    <s v="Black"/>
    <x v="0"/>
    <x v="0"/>
  </r>
  <r>
    <n v="40"/>
    <x v="0"/>
    <n v="26000"/>
    <s v="AsianPI"/>
    <x v="0"/>
    <x v="0"/>
  </r>
  <r>
    <n v="40"/>
    <x v="0"/>
    <n v="26000"/>
    <s v="White"/>
    <x v="0"/>
    <x v="0"/>
  </r>
  <r>
    <n v="50"/>
    <x v="0"/>
    <n v="26439"/>
    <s v="White"/>
    <x v="0"/>
    <x v="0"/>
  </r>
  <r>
    <n v="40"/>
    <x v="0"/>
    <n v="27000"/>
    <s v="White"/>
    <x v="0"/>
    <x v="0"/>
  </r>
  <r>
    <n v="40"/>
    <x v="0"/>
    <n v="27000"/>
    <s v="White"/>
    <x v="0"/>
    <x v="0"/>
  </r>
  <r>
    <n v="40"/>
    <x v="0"/>
    <n v="27000"/>
    <s v="White"/>
    <x v="0"/>
    <x v="0"/>
  </r>
  <r>
    <n v="40"/>
    <x v="0"/>
    <n v="27000"/>
    <s v="White"/>
    <x v="0"/>
    <x v="0"/>
  </r>
  <r>
    <n v="40"/>
    <x v="0"/>
    <n v="27085"/>
    <s v="White"/>
    <x v="1"/>
    <x v="0"/>
  </r>
  <r>
    <n v="40"/>
    <x v="0"/>
    <n v="27500"/>
    <s v="White"/>
    <x v="0"/>
    <x v="0"/>
  </r>
  <r>
    <n v="43"/>
    <x v="0"/>
    <n v="28000"/>
    <s v="White"/>
    <x v="1"/>
    <x v="0"/>
  </r>
  <r>
    <n v="40"/>
    <x v="0"/>
    <n v="28000"/>
    <s v="White"/>
    <x v="0"/>
    <x v="0"/>
  </r>
  <r>
    <n v="0"/>
    <x v="0"/>
    <n v="28000"/>
    <s v="White"/>
    <x v="0"/>
    <x v="0"/>
  </r>
  <r>
    <n v="40"/>
    <x v="0"/>
    <n v="28000"/>
    <s v="White"/>
    <x v="0"/>
    <x v="0"/>
  </r>
  <r>
    <n v="50"/>
    <x v="0"/>
    <n v="28800"/>
    <s v="White"/>
    <x v="0"/>
    <x v="0"/>
  </r>
  <r>
    <n v="40"/>
    <x v="0"/>
    <n v="28800"/>
    <s v="White"/>
    <x v="0"/>
    <x v="0"/>
  </r>
  <r>
    <n v="40"/>
    <x v="0"/>
    <n v="28800"/>
    <s v="White"/>
    <x v="0"/>
    <x v="0"/>
  </r>
  <r>
    <n v="40"/>
    <x v="0"/>
    <n v="29120"/>
    <s v="White"/>
    <x v="0"/>
    <x v="0"/>
  </r>
  <r>
    <n v="45"/>
    <x v="0"/>
    <n v="29190"/>
    <s v="White"/>
    <x v="1"/>
    <x v="0"/>
  </r>
  <r>
    <n v="40"/>
    <x v="0"/>
    <n v="29530"/>
    <s v="White"/>
    <x v="0"/>
    <x v="0"/>
  </r>
  <r>
    <n v="40"/>
    <x v="0"/>
    <n v="30000"/>
    <s v="White"/>
    <x v="0"/>
    <x v="0"/>
  </r>
  <r>
    <n v="40"/>
    <x v="0"/>
    <n v="30000"/>
    <s v="White"/>
    <x v="1"/>
    <x v="0"/>
  </r>
  <r>
    <n v="0"/>
    <x v="0"/>
    <n v="30000"/>
    <s v="White"/>
    <x v="1"/>
    <x v="0"/>
  </r>
  <r>
    <n v="40"/>
    <x v="0"/>
    <n v="30000"/>
    <s v="White"/>
    <x v="0"/>
    <x v="0"/>
  </r>
  <r>
    <n v="40"/>
    <x v="0"/>
    <n v="30000"/>
    <s v="White"/>
    <x v="1"/>
    <x v="0"/>
  </r>
  <r>
    <n v="0"/>
    <x v="0"/>
    <n v="30000"/>
    <s v="White"/>
    <x v="1"/>
    <x v="0"/>
  </r>
  <r>
    <n v="50"/>
    <x v="0"/>
    <n v="30000"/>
    <s v="White"/>
    <x v="1"/>
    <x v="0"/>
  </r>
  <r>
    <n v="40"/>
    <x v="0"/>
    <n v="30000"/>
    <s v="White"/>
    <x v="1"/>
    <x v="0"/>
  </r>
  <r>
    <n v="40"/>
    <x v="0"/>
    <n v="30000"/>
    <s v="White"/>
    <x v="1"/>
    <x v="0"/>
  </r>
  <r>
    <n v="40"/>
    <x v="0"/>
    <n v="30000"/>
    <s v="White"/>
    <x v="1"/>
    <x v="0"/>
  </r>
  <r>
    <n v="40"/>
    <x v="0"/>
    <n v="30000"/>
    <s v="Black"/>
    <x v="0"/>
    <x v="0"/>
  </r>
  <r>
    <n v="75"/>
    <x v="0"/>
    <n v="30000"/>
    <s v="White"/>
    <x v="0"/>
    <x v="0"/>
  </r>
  <r>
    <n v="40"/>
    <x v="0"/>
    <n v="30264"/>
    <s v="White"/>
    <x v="0"/>
    <x v="0"/>
  </r>
  <r>
    <n v="40"/>
    <x v="0"/>
    <n v="31000"/>
    <s v="AsianPI"/>
    <x v="0"/>
    <x v="0"/>
  </r>
  <r>
    <n v="40"/>
    <x v="0"/>
    <n v="31000"/>
    <s v="White"/>
    <x v="0"/>
    <x v="0"/>
  </r>
  <r>
    <n v="40"/>
    <x v="0"/>
    <n v="32000"/>
    <s v="White"/>
    <x v="0"/>
    <x v="0"/>
  </r>
  <r>
    <n v="48"/>
    <x v="0"/>
    <n v="32000"/>
    <s v="White"/>
    <x v="0"/>
    <x v="0"/>
  </r>
  <r>
    <n v="40"/>
    <x v="0"/>
    <n v="32000"/>
    <s v="White"/>
    <x v="1"/>
    <x v="0"/>
  </r>
  <r>
    <n v="70"/>
    <x v="0"/>
    <n v="32000"/>
    <s v="White"/>
    <x v="1"/>
    <x v="0"/>
  </r>
  <r>
    <n v="50"/>
    <x v="0"/>
    <n v="32000"/>
    <s v="White"/>
    <x v="1"/>
    <x v="0"/>
  </r>
  <r>
    <n v="50"/>
    <x v="0"/>
    <n v="33000"/>
    <s v="White"/>
    <x v="0"/>
    <x v="0"/>
  </r>
  <r>
    <n v="45"/>
    <x v="0"/>
    <n v="33000"/>
    <s v="White"/>
    <x v="0"/>
    <x v="0"/>
  </r>
  <r>
    <n v="60"/>
    <x v="0"/>
    <n v="33200"/>
    <s v="White"/>
    <x v="1"/>
    <x v="0"/>
  </r>
  <r>
    <n v="40"/>
    <x v="0"/>
    <n v="34000"/>
    <s v="White"/>
    <x v="1"/>
    <x v="0"/>
  </r>
  <r>
    <n v="40"/>
    <x v="0"/>
    <n v="34000"/>
    <s v="White"/>
    <x v="0"/>
    <x v="0"/>
  </r>
  <r>
    <n v="40"/>
    <x v="0"/>
    <n v="34000"/>
    <s v="White"/>
    <x v="1"/>
    <x v="0"/>
  </r>
  <r>
    <n v="45"/>
    <x v="0"/>
    <n v="34200"/>
    <s v="White"/>
    <x v="1"/>
    <x v="0"/>
  </r>
  <r>
    <n v="40"/>
    <x v="0"/>
    <n v="34373"/>
    <s v="White"/>
    <x v="1"/>
    <x v="0"/>
  </r>
  <r>
    <n v="40"/>
    <x v="0"/>
    <n v="34400"/>
    <s v="AsianPI"/>
    <x v="0"/>
    <x v="0"/>
  </r>
  <r>
    <n v="40"/>
    <x v="0"/>
    <n v="34400"/>
    <s v="Black"/>
    <x v="0"/>
    <x v="0"/>
  </r>
  <r>
    <n v="40"/>
    <x v="0"/>
    <n v="34500"/>
    <s v="White"/>
    <x v="1"/>
    <x v="0"/>
  </r>
  <r>
    <n v="40"/>
    <x v="0"/>
    <n v="35000"/>
    <s v="White"/>
    <x v="0"/>
    <x v="0"/>
  </r>
  <r>
    <n v="40"/>
    <x v="0"/>
    <n v="35000"/>
    <s v="White"/>
    <x v="0"/>
    <x v="0"/>
  </r>
  <r>
    <n v="35"/>
    <x v="0"/>
    <n v="35000"/>
    <s v="White"/>
    <x v="1"/>
    <x v="0"/>
  </r>
  <r>
    <n v="40"/>
    <x v="0"/>
    <n v="35000"/>
    <s v="White"/>
    <x v="0"/>
    <x v="0"/>
  </r>
  <r>
    <n v="35"/>
    <x v="0"/>
    <n v="35000"/>
    <s v="White"/>
    <x v="0"/>
    <x v="0"/>
  </r>
  <r>
    <n v="99"/>
    <x v="0"/>
    <n v="35000"/>
    <s v="AsianPI"/>
    <x v="1"/>
    <x v="0"/>
  </r>
  <r>
    <n v="40"/>
    <x v="0"/>
    <n v="35000"/>
    <s v="White"/>
    <x v="1"/>
    <x v="0"/>
  </r>
  <r>
    <n v="50"/>
    <x v="0"/>
    <n v="35000"/>
    <s v="White"/>
    <x v="1"/>
    <x v="0"/>
  </r>
  <r>
    <n v="48"/>
    <x v="0"/>
    <n v="35000"/>
    <s v="White"/>
    <x v="1"/>
    <x v="0"/>
  </r>
  <r>
    <n v="40"/>
    <x v="0"/>
    <n v="35000"/>
    <s v="White"/>
    <x v="0"/>
    <x v="0"/>
  </r>
  <r>
    <n v="40"/>
    <x v="0"/>
    <n v="35000"/>
    <s v="White"/>
    <x v="1"/>
    <x v="0"/>
  </r>
  <r>
    <n v="40"/>
    <x v="0"/>
    <n v="35000"/>
    <s v="Black"/>
    <x v="0"/>
    <x v="0"/>
  </r>
  <r>
    <n v="45"/>
    <x v="0"/>
    <n v="35000"/>
    <s v="White"/>
    <x v="0"/>
    <x v="0"/>
  </r>
  <r>
    <n v="40"/>
    <x v="0"/>
    <n v="35000"/>
    <s v="White"/>
    <x v="0"/>
    <x v="0"/>
  </r>
  <r>
    <n v="40"/>
    <x v="0"/>
    <n v="35000"/>
    <s v="White"/>
    <x v="0"/>
    <x v="0"/>
  </r>
  <r>
    <n v="40"/>
    <x v="0"/>
    <n v="35000"/>
    <s v="White"/>
    <x v="0"/>
    <x v="0"/>
  </r>
  <r>
    <n v="50"/>
    <x v="0"/>
    <n v="35750"/>
    <s v="Black"/>
    <x v="1"/>
    <x v="0"/>
  </r>
  <r>
    <n v="42"/>
    <x v="0"/>
    <n v="36000"/>
    <s v="Black"/>
    <x v="0"/>
    <x v="0"/>
  </r>
  <r>
    <n v="45"/>
    <x v="0"/>
    <n v="36000"/>
    <s v="White"/>
    <x v="1"/>
    <x v="0"/>
  </r>
  <r>
    <n v="70"/>
    <x v="0"/>
    <n v="36000"/>
    <s v="White"/>
    <x v="1"/>
    <x v="0"/>
  </r>
  <r>
    <n v="50"/>
    <x v="0"/>
    <n v="36000"/>
    <s v="White"/>
    <x v="0"/>
    <x v="0"/>
  </r>
  <r>
    <n v="40"/>
    <x v="0"/>
    <n v="36052"/>
    <s v="White"/>
    <x v="0"/>
    <x v="0"/>
  </r>
  <r>
    <n v="40"/>
    <x v="0"/>
    <n v="36184"/>
    <s v="White"/>
    <x v="0"/>
    <x v="0"/>
  </r>
  <r>
    <n v="52"/>
    <x v="0"/>
    <n v="36525"/>
    <s v="White"/>
    <x v="1"/>
    <x v="0"/>
  </r>
  <r>
    <n v="40"/>
    <x v="0"/>
    <n v="37000"/>
    <s v="White"/>
    <x v="0"/>
    <x v="0"/>
  </r>
  <r>
    <n v="37"/>
    <x v="0"/>
    <n v="37000"/>
    <s v="White"/>
    <x v="0"/>
    <x v="0"/>
  </r>
  <r>
    <n v="50"/>
    <x v="0"/>
    <n v="37000"/>
    <s v="White"/>
    <x v="1"/>
    <x v="0"/>
  </r>
  <r>
    <n v="40"/>
    <x v="0"/>
    <n v="37000"/>
    <s v="White"/>
    <x v="0"/>
    <x v="0"/>
  </r>
  <r>
    <n v="40"/>
    <x v="0"/>
    <n v="37000"/>
    <s v="White"/>
    <x v="0"/>
    <x v="0"/>
  </r>
  <r>
    <n v="40"/>
    <x v="0"/>
    <n v="37063"/>
    <s v="White"/>
    <x v="0"/>
    <x v="0"/>
  </r>
  <r>
    <n v="45"/>
    <x v="0"/>
    <n v="37600"/>
    <s v="White"/>
    <x v="0"/>
    <x v="0"/>
  </r>
  <r>
    <n v="60"/>
    <x v="0"/>
    <n v="38000"/>
    <s v="White"/>
    <x v="1"/>
    <x v="0"/>
  </r>
  <r>
    <n v="40"/>
    <x v="0"/>
    <n v="38000"/>
    <s v="White"/>
    <x v="1"/>
    <x v="0"/>
  </r>
  <r>
    <n v="38"/>
    <x v="0"/>
    <n v="38000"/>
    <s v="White"/>
    <x v="0"/>
    <x v="0"/>
  </r>
  <r>
    <n v="40"/>
    <x v="0"/>
    <n v="38000"/>
    <s v="White"/>
    <x v="1"/>
    <x v="0"/>
  </r>
  <r>
    <n v="65"/>
    <x v="0"/>
    <n v="38300"/>
    <s v="White"/>
    <x v="1"/>
    <x v="0"/>
  </r>
  <r>
    <n v="44"/>
    <x v="0"/>
    <n v="38702"/>
    <s v="White"/>
    <x v="0"/>
    <x v="0"/>
  </r>
  <r>
    <n v="50"/>
    <x v="0"/>
    <n v="39000"/>
    <s v="White"/>
    <x v="1"/>
    <x v="0"/>
  </r>
  <r>
    <n v="43"/>
    <x v="0"/>
    <n v="39000"/>
    <s v="Black"/>
    <x v="1"/>
    <x v="0"/>
  </r>
  <r>
    <n v="55"/>
    <x v="0"/>
    <n v="39398"/>
    <s v="White"/>
    <x v="1"/>
    <x v="0"/>
  </r>
  <r>
    <n v="40"/>
    <x v="0"/>
    <n v="39400"/>
    <s v="White"/>
    <x v="1"/>
    <x v="0"/>
  </r>
  <r>
    <n v="52"/>
    <x v="0"/>
    <n v="40000"/>
    <s v="White"/>
    <x v="0"/>
    <x v="0"/>
  </r>
  <r>
    <n v="40"/>
    <x v="0"/>
    <n v="40000"/>
    <s v="White"/>
    <x v="0"/>
    <x v="0"/>
  </r>
  <r>
    <n v="40"/>
    <x v="0"/>
    <n v="40000"/>
    <s v="White"/>
    <x v="0"/>
    <x v="0"/>
  </r>
  <r>
    <n v="40"/>
    <x v="0"/>
    <n v="40000"/>
    <s v="AsianPI"/>
    <x v="1"/>
    <x v="0"/>
  </r>
  <r>
    <n v="50"/>
    <x v="0"/>
    <n v="40000"/>
    <s v="White"/>
    <x v="0"/>
    <x v="0"/>
  </r>
  <r>
    <n v="50"/>
    <x v="0"/>
    <n v="40000"/>
    <s v="White"/>
    <x v="0"/>
    <x v="0"/>
  </r>
  <r>
    <n v="40"/>
    <x v="0"/>
    <n v="40000"/>
    <s v="Black"/>
    <x v="1"/>
    <x v="0"/>
  </r>
  <r>
    <n v="40"/>
    <x v="0"/>
    <n v="40000"/>
    <s v="White"/>
    <x v="1"/>
    <x v="0"/>
  </r>
  <r>
    <n v="0"/>
    <x v="0"/>
    <n v="40000"/>
    <s v="White"/>
    <x v="0"/>
    <x v="0"/>
  </r>
  <r>
    <n v="40"/>
    <x v="0"/>
    <n v="40000"/>
    <s v="White"/>
    <x v="1"/>
    <x v="0"/>
  </r>
  <r>
    <n v="40"/>
    <x v="0"/>
    <n v="40000"/>
    <s v="White"/>
    <x v="1"/>
    <x v="0"/>
  </r>
  <r>
    <n v="40"/>
    <x v="0"/>
    <n v="40000"/>
    <s v="Black"/>
    <x v="0"/>
    <x v="0"/>
  </r>
  <r>
    <n v="40"/>
    <x v="0"/>
    <n v="40000"/>
    <s v="Black"/>
    <x v="0"/>
    <x v="0"/>
  </r>
  <r>
    <n v="40"/>
    <x v="0"/>
    <n v="40000"/>
    <s v="Black"/>
    <x v="0"/>
    <x v="0"/>
  </r>
  <r>
    <n v="40"/>
    <x v="0"/>
    <n v="40000"/>
    <s v="White"/>
    <x v="1"/>
    <x v="0"/>
  </r>
  <r>
    <n v="40"/>
    <x v="0"/>
    <n v="40000"/>
    <s v="White"/>
    <x v="0"/>
    <x v="0"/>
  </r>
  <r>
    <n v="35"/>
    <x v="0"/>
    <n v="40000"/>
    <s v="White"/>
    <x v="1"/>
    <x v="0"/>
  </r>
  <r>
    <n v="70"/>
    <x v="0"/>
    <n v="41000"/>
    <s v="White"/>
    <x v="1"/>
    <x v="0"/>
  </r>
  <r>
    <n v="40"/>
    <x v="0"/>
    <n v="41000"/>
    <s v="White"/>
    <x v="0"/>
    <x v="0"/>
  </r>
  <r>
    <n v="40"/>
    <x v="0"/>
    <n v="41000"/>
    <s v="White"/>
    <x v="0"/>
    <x v="0"/>
  </r>
  <r>
    <n v="40"/>
    <x v="0"/>
    <n v="41000"/>
    <s v="White"/>
    <x v="1"/>
    <x v="0"/>
  </r>
  <r>
    <n v="44"/>
    <x v="0"/>
    <n v="41040"/>
    <s v="White"/>
    <x v="1"/>
    <x v="0"/>
  </r>
  <r>
    <n v="38"/>
    <x v="0"/>
    <n v="41300"/>
    <s v="White"/>
    <x v="1"/>
    <x v="0"/>
  </r>
  <r>
    <n v="40"/>
    <x v="0"/>
    <n v="41500"/>
    <s v="White"/>
    <x v="1"/>
    <x v="0"/>
  </r>
  <r>
    <n v="55"/>
    <x v="0"/>
    <n v="41800"/>
    <s v="White"/>
    <x v="0"/>
    <x v="0"/>
  </r>
  <r>
    <n v="35"/>
    <x v="0"/>
    <n v="42000"/>
    <s v="White"/>
    <x v="0"/>
    <x v="0"/>
  </r>
  <r>
    <n v="50"/>
    <x v="0"/>
    <n v="42000"/>
    <s v="White"/>
    <x v="0"/>
    <x v="0"/>
  </r>
  <r>
    <n v="40"/>
    <x v="0"/>
    <n v="42000"/>
    <s v="White"/>
    <x v="0"/>
    <x v="0"/>
  </r>
  <r>
    <n v="0"/>
    <x v="0"/>
    <n v="42000"/>
    <s v="AsianPI"/>
    <x v="1"/>
    <x v="0"/>
  </r>
  <r>
    <n v="40"/>
    <x v="0"/>
    <n v="42000"/>
    <s v="White"/>
    <x v="1"/>
    <x v="0"/>
  </r>
  <r>
    <n v="0"/>
    <x v="0"/>
    <n v="42200"/>
    <s v="White"/>
    <x v="1"/>
    <x v="0"/>
  </r>
  <r>
    <n v="40"/>
    <x v="0"/>
    <n v="42500"/>
    <s v="White"/>
    <x v="0"/>
    <x v="0"/>
  </r>
  <r>
    <n v="40"/>
    <x v="0"/>
    <n v="42526"/>
    <s v="White"/>
    <x v="1"/>
    <x v="0"/>
  </r>
  <r>
    <n v="50"/>
    <x v="0"/>
    <n v="42579"/>
    <s v="White"/>
    <x v="0"/>
    <x v="0"/>
  </r>
  <r>
    <n v="40"/>
    <x v="0"/>
    <n v="42900"/>
    <s v="White"/>
    <x v="0"/>
    <x v="0"/>
  </r>
  <r>
    <n v="50"/>
    <x v="0"/>
    <n v="43000"/>
    <s v="White"/>
    <x v="1"/>
    <x v="0"/>
  </r>
  <r>
    <n v="60"/>
    <x v="0"/>
    <n v="43000"/>
    <s v="White"/>
    <x v="0"/>
    <x v="0"/>
  </r>
  <r>
    <n v="40"/>
    <x v="0"/>
    <n v="43000"/>
    <s v="AsianPI"/>
    <x v="1"/>
    <x v="0"/>
  </r>
  <r>
    <n v="55"/>
    <x v="0"/>
    <n v="43000"/>
    <s v="White"/>
    <x v="1"/>
    <x v="0"/>
  </r>
  <r>
    <n v="40"/>
    <x v="0"/>
    <n v="43000"/>
    <s v="White"/>
    <x v="1"/>
    <x v="0"/>
  </r>
  <r>
    <n v="50"/>
    <x v="0"/>
    <n v="43240"/>
    <s v="White"/>
    <x v="0"/>
    <x v="0"/>
  </r>
  <r>
    <n v="60"/>
    <x v="0"/>
    <n v="44000"/>
    <s v="White"/>
    <x v="0"/>
    <x v="0"/>
  </r>
  <r>
    <n v="50"/>
    <x v="0"/>
    <n v="44000"/>
    <s v="White"/>
    <x v="0"/>
    <x v="0"/>
  </r>
  <r>
    <n v="40"/>
    <x v="0"/>
    <n v="44000"/>
    <s v="Black"/>
    <x v="0"/>
    <x v="0"/>
  </r>
  <r>
    <n v="45"/>
    <x v="0"/>
    <n v="44000"/>
    <s v="White"/>
    <x v="0"/>
    <x v="0"/>
  </r>
  <r>
    <n v="60"/>
    <x v="0"/>
    <n v="44000"/>
    <s v="White"/>
    <x v="1"/>
    <x v="0"/>
  </r>
  <r>
    <n v="50"/>
    <x v="0"/>
    <n v="44100"/>
    <s v="White"/>
    <x v="0"/>
    <x v="0"/>
  </r>
  <r>
    <n v="0"/>
    <x v="0"/>
    <n v="45000"/>
    <s v="White"/>
    <x v="0"/>
    <x v="0"/>
  </r>
  <r>
    <n v="40"/>
    <x v="0"/>
    <n v="45000"/>
    <s v="White"/>
    <x v="0"/>
    <x v="0"/>
  </r>
  <r>
    <n v="40"/>
    <x v="0"/>
    <n v="45000"/>
    <s v="White"/>
    <x v="0"/>
    <x v="0"/>
  </r>
  <r>
    <n v="40"/>
    <x v="0"/>
    <n v="45000"/>
    <s v="White"/>
    <x v="0"/>
    <x v="0"/>
  </r>
  <r>
    <n v="45"/>
    <x v="0"/>
    <n v="45000"/>
    <s v="White"/>
    <x v="1"/>
    <x v="0"/>
  </r>
  <r>
    <n v="0"/>
    <x v="0"/>
    <n v="45000"/>
    <s v="White"/>
    <x v="1"/>
    <x v="0"/>
  </r>
  <r>
    <n v="50"/>
    <x v="0"/>
    <n v="45000"/>
    <s v="White"/>
    <x v="1"/>
    <x v="0"/>
  </r>
  <r>
    <n v="40"/>
    <x v="0"/>
    <n v="45000"/>
    <s v="Black"/>
    <x v="1"/>
    <x v="0"/>
  </r>
  <r>
    <n v="50"/>
    <x v="0"/>
    <n v="45000"/>
    <s v="White"/>
    <x v="1"/>
    <x v="0"/>
  </r>
  <r>
    <n v="50"/>
    <x v="0"/>
    <n v="45000"/>
    <s v="White"/>
    <x v="0"/>
    <x v="0"/>
  </r>
  <r>
    <n v="40"/>
    <x v="0"/>
    <n v="45000"/>
    <s v="AsianPI"/>
    <x v="1"/>
    <x v="0"/>
  </r>
  <r>
    <n v="40"/>
    <x v="0"/>
    <n v="45000"/>
    <s v="White"/>
    <x v="0"/>
    <x v="0"/>
  </r>
  <r>
    <n v="0"/>
    <x v="0"/>
    <n v="45000"/>
    <s v="White"/>
    <x v="0"/>
    <x v="0"/>
  </r>
  <r>
    <n v="40"/>
    <x v="0"/>
    <n v="45000"/>
    <s v="White"/>
    <x v="0"/>
    <x v="0"/>
  </r>
  <r>
    <n v="50"/>
    <x v="0"/>
    <n v="45600"/>
    <s v="White"/>
    <x v="0"/>
    <x v="0"/>
  </r>
  <r>
    <n v="50"/>
    <x v="0"/>
    <n v="45600"/>
    <s v="White"/>
    <x v="0"/>
    <x v="0"/>
  </r>
  <r>
    <n v="0"/>
    <x v="0"/>
    <n v="46480"/>
    <s v="White"/>
    <x v="0"/>
    <x v="0"/>
  </r>
  <r>
    <n v="40"/>
    <x v="0"/>
    <n v="47000"/>
    <s v="White"/>
    <x v="0"/>
    <x v="0"/>
  </r>
  <r>
    <n v="0"/>
    <x v="0"/>
    <n v="47000"/>
    <s v="White"/>
    <x v="1"/>
    <x v="0"/>
  </r>
  <r>
    <n v="45"/>
    <x v="0"/>
    <n v="47000"/>
    <s v="White"/>
    <x v="0"/>
    <x v="0"/>
  </r>
  <r>
    <n v="45"/>
    <x v="0"/>
    <n v="47000"/>
    <s v="White"/>
    <x v="1"/>
    <x v="0"/>
  </r>
  <r>
    <n v="40"/>
    <x v="0"/>
    <n v="47000"/>
    <s v="White"/>
    <x v="1"/>
    <x v="0"/>
  </r>
  <r>
    <n v="44"/>
    <x v="0"/>
    <n v="47000"/>
    <s v="White"/>
    <x v="0"/>
    <x v="0"/>
  </r>
  <r>
    <n v="50"/>
    <x v="0"/>
    <n v="47500"/>
    <s v="White"/>
    <x v="1"/>
    <x v="0"/>
  </r>
  <r>
    <n v="75"/>
    <x v="0"/>
    <n v="47905"/>
    <s v="White"/>
    <x v="1"/>
    <x v="0"/>
  </r>
  <r>
    <n v="48"/>
    <x v="0"/>
    <n v="47905"/>
    <s v="White"/>
    <x v="1"/>
    <x v="0"/>
  </r>
  <r>
    <n v="60"/>
    <x v="0"/>
    <n v="48000"/>
    <s v="White"/>
    <x v="1"/>
    <x v="0"/>
  </r>
  <r>
    <n v="40"/>
    <x v="0"/>
    <n v="48000"/>
    <s v="White"/>
    <x v="1"/>
    <x v="0"/>
  </r>
  <r>
    <n v="50"/>
    <x v="0"/>
    <n v="48000"/>
    <s v="White"/>
    <x v="1"/>
    <x v="0"/>
  </r>
  <r>
    <n v="0"/>
    <x v="0"/>
    <n v="48000"/>
    <s v="White"/>
    <x v="0"/>
    <x v="0"/>
  </r>
  <r>
    <n v="50"/>
    <x v="0"/>
    <n v="48500"/>
    <s v="White"/>
    <x v="1"/>
    <x v="0"/>
  </r>
  <r>
    <n v="40"/>
    <x v="0"/>
    <n v="48500"/>
    <s v="White"/>
    <x v="0"/>
    <x v="0"/>
  </r>
  <r>
    <n v="47"/>
    <x v="0"/>
    <n v="48514"/>
    <s v="White"/>
    <x v="0"/>
    <x v="0"/>
  </r>
  <r>
    <n v="45"/>
    <x v="0"/>
    <n v="48802"/>
    <s v="White"/>
    <x v="0"/>
    <x v="0"/>
  </r>
  <r>
    <n v="40"/>
    <x v="0"/>
    <n v="49000"/>
    <s v="White"/>
    <x v="1"/>
    <x v="0"/>
  </r>
  <r>
    <n v="40"/>
    <x v="0"/>
    <n v="49000"/>
    <s v="White"/>
    <x v="0"/>
    <x v="0"/>
  </r>
  <r>
    <n v="40"/>
    <x v="0"/>
    <n v="49000"/>
    <s v="White"/>
    <x v="1"/>
    <x v="0"/>
  </r>
  <r>
    <n v="40"/>
    <x v="0"/>
    <n v="49000"/>
    <s v="White"/>
    <x v="1"/>
    <x v="0"/>
  </r>
  <r>
    <n v="60"/>
    <x v="0"/>
    <n v="49500"/>
    <s v="White"/>
    <x v="1"/>
    <x v="0"/>
  </r>
  <r>
    <n v="42"/>
    <x v="0"/>
    <n v="49580"/>
    <s v="White"/>
    <x v="0"/>
    <x v="0"/>
  </r>
  <r>
    <n v="40"/>
    <x v="0"/>
    <n v="50000"/>
    <s v="White"/>
    <x v="1"/>
    <x v="0"/>
  </r>
  <r>
    <n v="0"/>
    <x v="0"/>
    <n v="50000"/>
    <s v="White"/>
    <x v="1"/>
    <x v="0"/>
  </r>
  <r>
    <n v="0"/>
    <x v="0"/>
    <n v="50000"/>
    <s v="AsianPI"/>
    <x v="1"/>
    <x v="0"/>
  </r>
  <r>
    <n v="0"/>
    <x v="0"/>
    <n v="50000"/>
    <s v="White"/>
    <x v="1"/>
    <x v="0"/>
  </r>
  <r>
    <n v="35"/>
    <x v="0"/>
    <n v="50000"/>
    <s v="White"/>
    <x v="1"/>
    <x v="0"/>
  </r>
  <r>
    <n v="40"/>
    <x v="0"/>
    <n v="50000"/>
    <s v="White"/>
    <x v="1"/>
    <x v="0"/>
  </r>
  <r>
    <n v="60"/>
    <x v="0"/>
    <n v="50000"/>
    <s v="White"/>
    <x v="0"/>
    <x v="0"/>
  </r>
  <r>
    <n v="50"/>
    <x v="0"/>
    <n v="50000"/>
    <s v="White"/>
    <x v="0"/>
    <x v="0"/>
  </r>
  <r>
    <n v="60"/>
    <x v="0"/>
    <n v="50000"/>
    <s v="White"/>
    <x v="0"/>
    <x v="0"/>
  </r>
  <r>
    <n v="80"/>
    <x v="0"/>
    <n v="50000"/>
    <s v="White"/>
    <x v="1"/>
    <x v="0"/>
  </r>
  <r>
    <n v="40"/>
    <x v="0"/>
    <n v="50000"/>
    <s v="White"/>
    <x v="0"/>
    <x v="0"/>
  </r>
  <r>
    <n v="45"/>
    <x v="0"/>
    <n v="50000"/>
    <s v="White"/>
    <x v="1"/>
    <x v="0"/>
  </r>
  <r>
    <n v="50"/>
    <x v="0"/>
    <n v="50000"/>
    <s v="White"/>
    <x v="0"/>
    <x v="0"/>
  </r>
  <r>
    <n v="35"/>
    <x v="0"/>
    <n v="50000"/>
    <s v="Black"/>
    <x v="0"/>
    <x v="0"/>
  </r>
  <r>
    <n v="40"/>
    <x v="0"/>
    <n v="50000"/>
    <s v="White"/>
    <x v="0"/>
    <x v="0"/>
  </r>
  <r>
    <n v="45"/>
    <x v="0"/>
    <n v="50000"/>
    <s v="White"/>
    <x v="1"/>
    <x v="0"/>
  </r>
  <r>
    <n v="40"/>
    <x v="0"/>
    <n v="50000"/>
    <s v="White"/>
    <x v="0"/>
    <x v="0"/>
  </r>
  <r>
    <n v="40"/>
    <x v="0"/>
    <n v="50000"/>
    <s v="White"/>
    <x v="0"/>
    <x v="0"/>
  </r>
  <r>
    <n v="45"/>
    <x v="0"/>
    <n v="50000"/>
    <s v="White"/>
    <x v="0"/>
    <x v="0"/>
  </r>
  <r>
    <n v="40"/>
    <x v="0"/>
    <n v="50000"/>
    <s v="AsianPI"/>
    <x v="1"/>
    <x v="0"/>
  </r>
  <r>
    <n v="55"/>
    <x v="0"/>
    <n v="50000"/>
    <s v="White"/>
    <x v="1"/>
    <x v="0"/>
  </r>
  <r>
    <n v="40"/>
    <x v="0"/>
    <n v="50000"/>
    <s v="AsianPI"/>
    <x v="1"/>
    <x v="0"/>
  </r>
  <r>
    <n v="37"/>
    <x v="0"/>
    <n v="50000"/>
    <s v="White"/>
    <x v="0"/>
    <x v="0"/>
  </r>
  <r>
    <n v="40"/>
    <x v="0"/>
    <n v="50000"/>
    <s v="White"/>
    <x v="0"/>
    <x v="0"/>
  </r>
  <r>
    <n v="40"/>
    <x v="0"/>
    <n v="50000"/>
    <s v="White"/>
    <x v="0"/>
    <x v="0"/>
  </r>
  <r>
    <n v="40"/>
    <x v="0"/>
    <n v="50000"/>
    <s v="White"/>
    <x v="0"/>
    <x v="0"/>
  </r>
  <r>
    <n v="50"/>
    <x v="0"/>
    <n v="50000"/>
    <s v="White"/>
    <x v="1"/>
    <x v="0"/>
  </r>
  <r>
    <n v="40"/>
    <x v="0"/>
    <n v="50000"/>
    <s v="AsianPI"/>
    <x v="0"/>
    <x v="0"/>
  </r>
  <r>
    <n v="45"/>
    <x v="0"/>
    <n v="50000"/>
    <s v="White"/>
    <x v="0"/>
    <x v="0"/>
  </r>
  <r>
    <n v="40"/>
    <x v="0"/>
    <n v="50000"/>
    <s v="White"/>
    <x v="0"/>
    <x v="0"/>
  </r>
  <r>
    <n v="70"/>
    <x v="0"/>
    <n v="50000"/>
    <s v="White"/>
    <x v="0"/>
    <x v="0"/>
  </r>
  <r>
    <n v="35"/>
    <x v="0"/>
    <n v="51000"/>
    <s v="Black"/>
    <x v="0"/>
    <x v="0"/>
  </r>
  <r>
    <n v="40"/>
    <x v="0"/>
    <n v="51000"/>
    <s v="White"/>
    <x v="0"/>
    <x v="0"/>
  </r>
  <r>
    <n v="50"/>
    <x v="0"/>
    <n v="51200"/>
    <s v="White"/>
    <x v="0"/>
    <x v="0"/>
  </r>
  <r>
    <n v="38"/>
    <x v="0"/>
    <n v="51678"/>
    <s v="White"/>
    <x v="1"/>
    <x v="0"/>
  </r>
  <r>
    <n v="40"/>
    <x v="0"/>
    <n v="51705"/>
    <s v="White"/>
    <x v="1"/>
    <x v="0"/>
  </r>
  <r>
    <n v="40"/>
    <x v="0"/>
    <n v="52000"/>
    <s v="White"/>
    <x v="0"/>
    <x v="0"/>
  </r>
  <r>
    <n v="40"/>
    <x v="0"/>
    <n v="52000"/>
    <s v="White"/>
    <x v="0"/>
    <x v="0"/>
  </r>
  <r>
    <n v="45"/>
    <x v="0"/>
    <n v="52000"/>
    <s v="White"/>
    <x v="1"/>
    <x v="0"/>
  </r>
  <r>
    <n v="40"/>
    <x v="0"/>
    <n v="52000"/>
    <s v="AsianPI"/>
    <x v="0"/>
    <x v="0"/>
  </r>
  <r>
    <n v="60"/>
    <x v="0"/>
    <n v="52000"/>
    <s v="White"/>
    <x v="0"/>
    <x v="0"/>
  </r>
  <r>
    <n v="40"/>
    <x v="0"/>
    <n v="52000"/>
    <s v="White"/>
    <x v="1"/>
    <x v="0"/>
  </r>
  <r>
    <n v="40"/>
    <x v="0"/>
    <n v="52000"/>
    <s v="White"/>
    <x v="1"/>
    <x v="0"/>
  </r>
  <r>
    <n v="45"/>
    <x v="0"/>
    <n v="52000"/>
    <s v="White"/>
    <x v="1"/>
    <x v="0"/>
  </r>
  <r>
    <n v="40"/>
    <x v="0"/>
    <n v="52000"/>
    <s v="Black"/>
    <x v="0"/>
    <x v="0"/>
  </r>
  <r>
    <n v="52"/>
    <x v="0"/>
    <n v="52000"/>
    <s v="IndEsk"/>
    <x v="1"/>
    <x v="0"/>
  </r>
  <r>
    <n v="80"/>
    <x v="0"/>
    <n v="52500"/>
    <s v="Black"/>
    <x v="1"/>
    <x v="0"/>
  </r>
  <r>
    <n v="40"/>
    <x v="0"/>
    <n v="52500"/>
    <s v="AsianPI"/>
    <x v="0"/>
    <x v="0"/>
  </r>
  <r>
    <n v="45"/>
    <x v="0"/>
    <n v="53000"/>
    <s v="White"/>
    <x v="0"/>
    <x v="0"/>
  </r>
  <r>
    <n v="45"/>
    <x v="0"/>
    <n v="53000"/>
    <s v="Black"/>
    <x v="0"/>
    <x v="0"/>
  </r>
  <r>
    <n v="40"/>
    <x v="0"/>
    <n v="53000"/>
    <s v="White"/>
    <x v="0"/>
    <x v="0"/>
  </r>
  <r>
    <n v="40"/>
    <x v="0"/>
    <n v="53000"/>
    <s v="Black"/>
    <x v="0"/>
    <x v="0"/>
  </r>
  <r>
    <n v="50"/>
    <x v="0"/>
    <n v="53000"/>
    <s v="White"/>
    <x v="1"/>
    <x v="0"/>
  </r>
  <r>
    <n v="45"/>
    <x v="0"/>
    <n v="53000"/>
    <s v="White"/>
    <x v="1"/>
    <x v="0"/>
  </r>
  <r>
    <n v="40"/>
    <x v="0"/>
    <n v="54000"/>
    <s v="Black"/>
    <x v="0"/>
    <x v="0"/>
  </r>
  <r>
    <n v="40"/>
    <x v="0"/>
    <n v="54000"/>
    <s v="White"/>
    <x v="1"/>
    <x v="0"/>
  </r>
  <r>
    <n v="40"/>
    <x v="0"/>
    <n v="54000"/>
    <s v="White"/>
    <x v="1"/>
    <x v="0"/>
  </r>
  <r>
    <n v="70"/>
    <x v="0"/>
    <n v="54000"/>
    <s v="White"/>
    <x v="0"/>
    <x v="0"/>
  </r>
  <r>
    <n v="40"/>
    <x v="0"/>
    <n v="54044"/>
    <s v="White"/>
    <x v="0"/>
    <x v="0"/>
  </r>
  <r>
    <n v="50"/>
    <x v="0"/>
    <n v="54617"/>
    <s v="White"/>
    <x v="0"/>
    <x v="0"/>
  </r>
  <r>
    <n v="47"/>
    <x v="0"/>
    <n v="55000"/>
    <s v="White"/>
    <x v="0"/>
    <x v="0"/>
  </r>
  <r>
    <n v="40"/>
    <x v="0"/>
    <n v="55000"/>
    <s v="White"/>
    <x v="1"/>
    <x v="0"/>
  </r>
  <r>
    <n v="40"/>
    <x v="0"/>
    <n v="55000"/>
    <s v="White"/>
    <x v="1"/>
    <x v="0"/>
  </r>
  <r>
    <n v="40"/>
    <x v="0"/>
    <n v="55000"/>
    <s v="White"/>
    <x v="1"/>
    <x v="0"/>
  </r>
  <r>
    <n v="60"/>
    <x v="0"/>
    <n v="55000"/>
    <s v="White"/>
    <x v="0"/>
    <x v="0"/>
  </r>
  <r>
    <n v="40"/>
    <x v="0"/>
    <n v="55000"/>
    <s v="Black"/>
    <x v="1"/>
    <x v="0"/>
  </r>
  <r>
    <n v="40"/>
    <x v="0"/>
    <n v="55000"/>
    <s v="White"/>
    <x v="1"/>
    <x v="0"/>
  </r>
  <r>
    <n v="40"/>
    <x v="0"/>
    <n v="55000"/>
    <s v="White"/>
    <x v="0"/>
    <x v="0"/>
  </r>
  <r>
    <n v="50"/>
    <x v="0"/>
    <n v="55000"/>
    <s v="White"/>
    <x v="1"/>
    <x v="0"/>
  </r>
  <r>
    <n v="40"/>
    <x v="0"/>
    <n v="55000"/>
    <s v="White"/>
    <x v="1"/>
    <x v="0"/>
  </r>
  <r>
    <n v="50"/>
    <x v="0"/>
    <n v="55000"/>
    <s v="White"/>
    <x v="0"/>
    <x v="0"/>
  </r>
  <r>
    <n v="40"/>
    <x v="0"/>
    <n v="55000"/>
    <s v="AsianPI"/>
    <x v="1"/>
    <x v="0"/>
  </r>
  <r>
    <n v="80"/>
    <x v="0"/>
    <n v="55000"/>
    <s v="White"/>
    <x v="1"/>
    <x v="0"/>
  </r>
  <r>
    <n v="40"/>
    <x v="0"/>
    <n v="55000"/>
    <s v="White"/>
    <x v="1"/>
    <x v="0"/>
  </r>
  <r>
    <n v="40"/>
    <x v="0"/>
    <n v="55800"/>
    <s v="White"/>
    <x v="0"/>
    <x v="0"/>
  </r>
  <r>
    <n v="0"/>
    <x v="0"/>
    <n v="56000"/>
    <s v="White"/>
    <x v="0"/>
    <x v="0"/>
  </r>
  <r>
    <n v="40"/>
    <x v="0"/>
    <n v="56000"/>
    <s v="White"/>
    <x v="0"/>
    <x v="0"/>
  </r>
  <r>
    <n v="70"/>
    <x v="0"/>
    <n v="56000"/>
    <s v="White"/>
    <x v="1"/>
    <x v="0"/>
  </r>
  <r>
    <n v="40"/>
    <x v="0"/>
    <n v="56535"/>
    <s v="White"/>
    <x v="1"/>
    <x v="0"/>
  </r>
  <r>
    <n v="36"/>
    <x v="0"/>
    <n v="57000"/>
    <s v="White"/>
    <x v="1"/>
    <x v="0"/>
  </r>
  <r>
    <n v="50"/>
    <x v="0"/>
    <n v="57000"/>
    <s v="Black"/>
    <x v="1"/>
    <x v="0"/>
  </r>
  <r>
    <n v="50"/>
    <x v="0"/>
    <n v="57000"/>
    <s v="White"/>
    <x v="1"/>
    <x v="0"/>
  </r>
  <r>
    <n v="37"/>
    <x v="0"/>
    <n v="57000"/>
    <s v="White"/>
    <x v="0"/>
    <x v="0"/>
  </r>
  <r>
    <n v="40"/>
    <x v="0"/>
    <n v="57000"/>
    <s v="White"/>
    <x v="0"/>
    <x v="0"/>
  </r>
  <r>
    <n v="40"/>
    <x v="0"/>
    <n v="57000"/>
    <s v="White"/>
    <x v="1"/>
    <x v="0"/>
  </r>
  <r>
    <n v="40"/>
    <x v="0"/>
    <n v="57000"/>
    <s v="White"/>
    <x v="0"/>
    <x v="0"/>
  </r>
  <r>
    <n v="40"/>
    <x v="0"/>
    <n v="57240"/>
    <s v="White"/>
    <x v="0"/>
    <x v="0"/>
  </r>
  <r>
    <n v="40"/>
    <x v="0"/>
    <n v="57500"/>
    <s v="Black"/>
    <x v="1"/>
    <x v="0"/>
  </r>
  <r>
    <n v="40"/>
    <x v="0"/>
    <n v="57800"/>
    <s v="White"/>
    <x v="1"/>
    <x v="0"/>
  </r>
  <r>
    <n v="45"/>
    <x v="0"/>
    <n v="58000"/>
    <s v="White"/>
    <x v="0"/>
    <x v="0"/>
  </r>
  <r>
    <n v="40"/>
    <x v="0"/>
    <n v="58000"/>
    <s v="White"/>
    <x v="1"/>
    <x v="0"/>
  </r>
  <r>
    <n v="50"/>
    <x v="0"/>
    <n v="58000"/>
    <s v="White"/>
    <x v="1"/>
    <x v="0"/>
  </r>
  <r>
    <n v="40"/>
    <x v="0"/>
    <n v="58000"/>
    <s v="White"/>
    <x v="1"/>
    <x v="0"/>
  </r>
  <r>
    <n v="50"/>
    <x v="0"/>
    <n v="58000"/>
    <s v="Black"/>
    <x v="0"/>
    <x v="0"/>
  </r>
  <r>
    <n v="63"/>
    <x v="0"/>
    <n v="58700"/>
    <s v="White"/>
    <x v="1"/>
    <x v="0"/>
  </r>
  <r>
    <n v="40"/>
    <x v="0"/>
    <n v="59000"/>
    <s v="White"/>
    <x v="0"/>
    <x v="0"/>
  </r>
  <r>
    <n v="45"/>
    <x v="0"/>
    <n v="59000"/>
    <s v="White"/>
    <x v="0"/>
    <x v="0"/>
  </r>
  <r>
    <n v="40"/>
    <x v="0"/>
    <n v="59000"/>
    <s v="White"/>
    <x v="0"/>
    <x v="0"/>
  </r>
  <r>
    <n v="45"/>
    <x v="0"/>
    <n v="59500"/>
    <s v="White"/>
    <x v="1"/>
    <x v="0"/>
  </r>
  <r>
    <n v="40"/>
    <x v="0"/>
    <n v="59925"/>
    <s v="White"/>
    <x v="1"/>
    <x v="0"/>
  </r>
  <r>
    <n v="62"/>
    <x v="0"/>
    <n v="59925"/>
    <s v="White"/>
    <x v="1"/>
    <x v="0"/>
  </r>
  <r>
    <n v="40"/>
    <x v="0"/>
    <n v="60000"/>
    <s v="White"/>
    <x v="0"/>
    <x v="0"/>
  </r>
  <r>
    <n v="40"/>
    <x v="0"/>
    <n v="60000"/>
    <s v="White"/>
    <x v="1"/>
    <x v="0"/>
  </r>
  <r>
    <n v="40"/>
    <x v="0"/>
    <n v="60000"/>
    <s v="IndEsk"/>
    <x v="1"/>
    <x v="0"/>
  </r>
  <r>
    <n v="50"/>
    <x v="0"/>
    <n v="60000"/>
    <s v="White"/>
    <x v="1"/>
    <x v="0"/>
  </r>
  <r>
    <n v="40"/>
    <x v="0"/>
    <n v="60000"/>
    <s v="White"/>
    <x v="1"/>
    <x v="0"/>
  </r>
  <r>
    <n v="40"/>
    <x v="0"/>
    <n v="60000"/>
    <s v="White"/>
    <x v="1"/>
    <x v="0"/>
  </r>
  <r>
    <n v="40"/>
    <x v="0"/>
    <n v="60000"/>
    <s v="White"/>
    <x v="1"/>
    <x v="0"/>
  </r>
  <r>
    <n v="40"/>
    <x v="0"/>
    <n v="60000"/>
    <s v="White"/>
    <x v="1"/>
    <x v="0"/>
  </r>
  <r>
    <n v="40"/>
    <x v="0"/>
    <n v="60000"/>
    <s v="White"/>
    <x v="1"/>
    <x v="0"/>
  </r>
  <r>
    <n v="50"/>
    <x v="0"/>
    <n v="60000"/>
    <s v="Black"/>
    <x v="1"/>
    <x v="0"/>
  </r>
  <r>
    <n v="60"/>
    <x v="0"/>
    <n v="60000"/>
    <s v="Black"/>
    <x v="0"/>
    <x v="0"/>
  </r>
  <r>
    <n v="40"/>
    <x v="0"/>
    <n v="60000"/>
    <s v="White"/>
    <x v="0"/>
    <x v="0"/>
  </r>
  <r>
    <n v="50"/>
    <x v="0"/>
    <n v="60000"/>
    <s v="White"/>
    <x v="1"/>
    <x v="0"/>
  </r>
  <r>
    <n v="60"/>
    <x v="0"/>
    <n v="62000"/>
    <s v="White"/>
    <x v="0"/>
    <x v="0"/>
  </r>
  <r>
    <n v="45"/>
    <x v="0"/>
    <n v="62000"/>
    <s v="White"/>
    <x v="1"/>
    <x v="0"/>
  </r>
  <r>
    <n v="40"/>
    <x v="0"/>
    <n v="62000"/>
    <s v="White"/>
    <x v="1"/>
    <x v="0"/>
  </r>
  <r>
    <n v="50"/>
    <x v="0"/>
    <n v="62000"/>
    <s v="White"/>
    <x v="1"/>
    <x v="0"/>
  </r>
  <r>
    <n v="58"/>
    <x v="0"/>
    <n v="62000"/>
    <s v="White"/>
    <x v="1"/>
    <x v="0"/>
  </r>
  <r>
    <n v="60"/>
    <x v="0"/>
    <n v="62000"/>
    <s v="White"/>
    <x v="1"/>
    <x v="0"/>
  </r>
  <r>
    <n v="40"/>
    <x v="0"/>
    <n v="62200"/>
    <s v="White"/>
    <x v="1"/>
    <x v="0"/>
  </r>
  <r>
    <n v="45"/>
    <x v="0"/>
    <n v="63000"/>
    <s v="White"/>
    <x v="1"/>
    <x v="0"/>
  </r>
  <r>
    <n v="40"/>
    <x v="0"/>
    <n v="63000"/>
    <s v="White"/>
    <x v="1"/>
    <x v="0"/>
  </r>
  <r>
    <n v="40"/>
    <x v="0"/>
    <n v="63000"/>
    <s v="AsianPI"/>
    <x v="1"/>
    <x v="0"/>
  </r>
  <r>
    <n v="40"/>
    <x v="0"/>
    <n v="63826"/>
    <s v="Black"/>
    <x v="0"/>
    <x v="0"/>
  </r>
  <r>
    <n v="50"/>
    <x v="0"/>
    <n v="64000"/>
    <s v="White"/>
    <x v="1"/>
    <x v="0"/>
  </r>
  <r>
    <n v="40"/>
    <x v="0"/>
    <n v="64000"/>
    <s v="White"/>
    <x v="0"/>
    <x v="0"/>
  </r>
  <r>
    <n v="43"/>
    <x v="0"/>
    <n v="64000"/>
    <s v="White"/>
    <x v="1"/>
    <x v="0"/>
  </r>
  <r>
    <n v="40"/>
    <x v="0"/>
    <n v="64400"/>
    <s v="White"/>
    <x v="1"/>
    <x v="0"/>
  </r>
  <r>
    <n v="65"/>
    <x v="0"/>
    <n v="65000"/>
    <s v="White"/>
    <x v="1"/>
    <x v="0"/>
  </r>
  <r>
    <n v="42"/>
    <x v="0"/>
    <n v="65000"/>
    <s v="White"/>
    <x v="1"/>
    <x v="0"/>
  </r>
  <r>
    <n v="0"/>
    <x v="0"/>
    <n v="65000"/>
    <s v="White"/>
    <x v="0"/>
    <x v="0"/>
  </r>
  <r>
    <n v="40"/>
    <x v="0"/>
    <n v="65000"/>
    <s v="White"/>
    <x v="1"/>
    <x v="0"/>
  </r>
  <r>
    <n v="50"/>
    <x v="0"/>
    <n v="65000"/>
    <s v="White"/>
    <x v="1"/>
    <x v="0"/>
  </r>
  <r>
    <n v="72"/>
    <x v="0"/>
    <n v="65000"/>
    <s v="White"/>
    <x v="1"/>
    <x v="0"/>
  </r>
  <r>
    <n v="40"/>
    <x v="0"/>
    <n v="65000"/>
    <s v="White"/>
    <x v="0"/>
    <x v="0"/>
  </r>
  <r>
    <n v="60"/>
    <x v="0"/>
    <n v="65000"/>
    <s v="White"/>
    <x v="1"/>
    <x v="0"/>
  </r>
  <r>
    <n v="50"/>
    <x v="0"/>
    <n v="65000"/>
    <s v="White"/>
    <x v="1"/>
    <x v="0"/>
  </r>
  <r>
    <n v="50"/>
    <x v="0"/>
    <n v="65000"/>
    <s v="White"/>
    <x v="1"/>
    <x v="0"/>
  </r>
  <r>
    <n v="50"/>
    <x v="0"/>
    <n v="65000"/>
    <s v="White"/>
    <x v="0"/>
    <x v="0"/>
  </r>
  <r>
    <n v="50"/>
    <x v="0"/>
    <n v="65000"/>
    <s v="White"/>
    <x v="0"/>
    <x v="0"/>
  </r>
  <r>
    <n v="50"/>
    <x v="0"/>
    <n v="65000"/>
    <s v="White"/>
    <x v="0"/>
    <x v="0"/>
  </r>
  <r>
    <n v="60"/>
    <x v="0"/>
    <n v="65000"/>
    <s v="White"/>
    <x v="1"/>
    <x v="0"/>
  </r>
  <r>
    <n v="40"/>
    <x v="0"/>
    <n v="65000"/>
    <s v="White"/>
    <x v="0"/>
    <x v="0"/>
  </r>
  <r>
    <n v="60"/>
    <x v="0"/>
    <n v="65000"/>
    <s v="White"/>
    <x v="1"/>
    <x v="0"/>
  </r>
  <r>
    <n v="50"/>
    <x v="0"/>
    <n v="65000"/>
    <s v="White"/>
    <x v="1"/>
    <x v="0"/>
  </r>
  <r>
    <n v="40"/>
    <x v="0"/>
    <n v="65000"/>
    <s v="White"/>
    <x v="1"/>
    <x v="0"/>
  </r>
  <r>
    <n v="40"/>
    <x v="0"/>
    <n v="65045"/>
    <s v="White"/>
    <x v="1"/>
    <x v="0"/>
  </r>
  <r>
    <n v="47"/>
    <x v="0"/>
    <n v="65500"/>
    <s v="White"/>
    <x v="1"/>
    <x v="0"/>
  </r>
  <r>
    <n v="45"/>
    <x v="0"/>
    <n v="65583"/>
    <s v="White"/>
    <x v="0"/>
    <x v="0"/>
  </r>
  <r>
    <n v="60"/>
    <x v="0"/>
    <n v="65628"/>
    <s v="White"/>
    <x v="0"/>
    <x v="0"/>
  </r>
  <r>
    <n v="48"/>
    <x v="0"/>
    <n v="66000"/>
    <s v="White"/>
    <x v="0"/>
    <x v="0"/>
  </r>
  <r>
    <n v="40"/>
    <x v="0"/>
    <n v="67000"/>
    <s v="White"/>
    <x v="1"/>
    <x v="0"/>
  </r>
  <r>
    <n v="45"/>
    <x v="0"/>
    <n v="67000"/>
    <s v="White"/>
    <x v="1"/>
    <x v="0"/>
  </r>
  <r>
    <n v="45"/>
    <x v="0"/>
    <n v="67100"/>
    <s v="White"/>
    <x v="0"/>
    <x v="0"/>
  </r>
  <r>
    <n v="45"/>
    <x v="0"/>
    <n v="67600"/>
    <s v="Black"/>
    <x v="1"/>
    <x v="0"/>
  </r>
  <r>
    <n v="40"/>
    <x v="0"/>
    <n v="67600"/>
    <s v="Black"/>
    <x v="1"/>
    <x v="0"/>
  </r>
  <r>
    <n v="42"/>
    <x v="0"/>
    <n v="68000"/>
    <s v="White"/>
    <x v="1"/>
    <x v="0"/>
  </r>
  <r>
    <n v="45"/>
    <x v="0"/>
    <n v="68002"/>
    <s v="White"/>
    <x v="1"/>
    <x v="0"/>
  </r>
  <r>
    <n v="60"/>
    <x v="0"/>
    <n v="69000"/>
    <s v="White"/>
    <x v="1"/>
    <x v="0"/>
  </r>
  <r>
    <n v="50"/>
    <x v="0"/>
    <n v="69000"/>
    <s v="White"/>
    <x v="1"/>
    <x v="0"/>
  </r>
  <r>
    <n v="46"/>
    <x v="0"/>
    <n v="69000"/>
    <s v="White"/>
    <x v="1"/>
    <x v="0"/>
  </r>
  <r>
    <n v="55"/>
    <x v="0"/>
    <n v="69000"/>
    <s v="White"/>
    <x v="1"/>
    <x v="0"/>
  </r>
  <r>
    <n v="60"/>
    <x v="0"/>
    <n v="70000"/>
    <s v="White"/>
    <x v="0"/>
    <x v="0"/>
  </r>
  <r>
    <n v="40"/>
    <x v="0"/>
    <n v="70000"/>
    <s v="White"/>
    <x v="1"/>
    <x v="0"/>
  </r>
  <r>
    <n v="40"/>
    <x v="0"/>
    <n v="70000"/>
    <s v="White"/>
    <x v="0"/>
    <x v="0"/>
  </r>
  <r>
    <n v="40"/>
    <x v="0"/>
    <n v="70000"/>
    <s v="White"/>
    <x v="0"/>
    <x v="0"/>
  </r>
  <r>
    <n v="0"/>
    <x v="0"/>
    <n v="70000"/>
    <s v="White"/>
    <x v="1"/>
    <x v="0"/>
  </r>
  <r>
    <n v="40"/>
    <x v="0"/>
    <n v="70000"/>
    <s v="White"/>
    <x v="0"/>
    <x v="0"/>
  </r>
  <r>
    <n v="45"/>
    <x v="0"/>
    <n v="70000"/>
    <s v="White"/>
    <x v="1"/>
    <x v="0"/>
  </r>
  <r>
    <n v="40"/>
    <x v="0"/>
    <n v="70000"/>
    <s v="White"/>
    <x v="0"/>
    <x v="0"/>
  </r>
  <r>
    <n v="38"/>
    <x v="0"/>
    <n v="70000"/>
    <s v="Black"/>
    <x v="0"/>
    <x v="0"/>
  </r>
  <r>
    <n v="40"/>
    <x v="0"/>
    <n v="70000"/>
    <s v="White"/>
    <x v="1"/>
    <x v="0"/>
  </r>
  <r>
    <n v="55"/>
    <x v="0"/>
    <n v="70000"/>
    <s v="White"/>
    <x v="1"/>
    <x v="0"/>
  </r>
  <r>
    <n v="60"/>
    <x v="0"/>
    <n v="70000"/>
    <s v="White"/>
    <x v="0"/>
    <x v="0"/>
  </r>
  <r>
    <n v="40"/>
    <x v="0"/>
    <n v="70000"/>
    <s v="White"/>
    <x v="1"/>
    <x v="0"/>
  </r>
  <r>
    <n v="56"/>
    <x v="0"/>
    <n v="70000"/>
    <s v="White"/>
    <x v="1"/>
    <x v="0"/>
  </r>
  <r>
    <n v="40"/>
    <x v="0"/>
    <n v="70000"/>
    <s v="White"/>
    <x v="1"/>
    <x v="0"/>
  </r>
  <r>
    <n v="40"/>
    <x v="0"/>
    <n v="70000"/>
    <s v="AsianPI"/>
    <x v="1"/>
    <x v="0"/>
  </r>
  <r>
    <n v="40"/>
    <x v="0"/>
    <n v="70000"/>
    <s v="White"/>
    <x v="1"/>
    <x v="0"/>
  </r>
  <r>
    <n v="50"/>
    <x v="0"/>
    <n v="70261"/>
    <s v="White"/>
    <x v="0"/>
    <x v="0"/>
  </r>
  <r>
    <n v="50"/>
    <x v="0"/>
    <n v="70500"/>
    <s v="White"/>
    <x v="1"/>
    <x v="0"/>
  </r>
  <r>
    <n v="40"/>
    <x v="0"/>
    <n v="72000"/>
    <s v="White"/>
    <x v="1"/>
    <x v="0"/>
  </r>
  <r>
    <n v="40"/>
    <x v="0"/>
    <n v="72000"/>
    <s v="White"/>
    <x v="1"/>
    <x v="0"/>
  </r>
  <r>
    <n v="45"/>
    <x v="0"/>
    <n v="72000"/>
    <s v="White"/>
    <x v="1"/>
    <x v="0"/>
  </r>
  <r>
    <n v="60"/>
    <x v="0"/>
    <n v="72000"/>
    <s v="White"/>
    <x v="1"/>
    <x v="0"/>
  </r>
  <r>
    <n v="40"/>
    <x v="0"/>
    <n v="72000"/>
    <s v="Black"/>
    <x v="0"/>
    <x v="0"/>
  </r>
  <r>
    <n v="40"/>
    <x v="0"/>
    <n v="72000"/>
    <s v="White"/>
    <x v="1"/>
    <x v="0"/>
  </r>
  <r>
    <n v="40"/>
    <x v="0"/>
    <n v="72160"/>
    <s v="White"/>
    <x v="0"/>
    <x v="0"/>
  </r>
  <r>
    <n v="40"/>
    <x v="0"/>
    <n v="72200"/>
    <s v="White"/>
    <x v="1"/>
    <x v="0"/>
  </r>
  <r>
    <n v="45"/>
    <x v="0"/>
    <n v="72474"/>
    <s v="White"/>
    <x v="1"/>
    <x v="0"/>
  </r>
  <r>
    <n v="40"/>
    <x v="0"/>
    <n v="72539"/>
    <s v="White"/>
    <x v="0"/>
    <x v="0"/>
  </r>
  <r>
    <n v="60"/>
    <x v="0"/>
    <n v="73500"/>
    <s v="White"/>
    <x v="1"/>
    <x v="0"/>
  </r>
  <r>
    <n v="40"/>
    <x v="0"/>
    <n v="74800"/>
    <s v="White"/>
    <x v="1"/>
    <x v="0"/>
  </r>
  <r>
    <n v="45"/>
    <x v="0"/>
    <n v="74925"/>
    <s v="IndEsk"/>
    <x v="1"/>
    <x v="0"/>
  </r>
  <r>
    <n v="40"/>
    <x v="0"/>
    <n v="75000"/>
    <s v="White"/>
    <x v="1"/>
    <x v="0"/>
  </r>
  <r>
    <n v="40"/>
    <x v="0"/>
    <n v="75000"/>
    <s v="White"/>
    <x v="0"/>
    <x v="0"/>
  </r>
  <r>
    <n v="40"/>
    <x v="0"/>
    <n v="75000"/>
    <s v="White"/>
    <x v="1"/>
    <x v="0"/>
  </r>
  <r>
    <n v="40"/>
    <x v="0"/>
    <n v="75000"/>
    <s v="White"/>
    <x v="1"/>
    <x v="0"/>
  </r>
  <r>
    <n v="40"/>
    <x v="0"/>
    <n v="75000"/>
    <s v="Black"/>
    <x v="1"/>
    <x v="0"/>
  </r>
  <r>
    <n v="40"/>
    <x v="0"/>
    <n v="75000"/>
    <s v="Black"/>
    <x v="1"/>
    <x v="0"/>
  </r>
  <r>
    <n v="35"/>
    <x v="0"/>
    <n v="75000"/>
    <s v="White"/>
    <x v="1"/>
    <x v="0"/>
  </r>
  <r>
    <n v="50"/>
    <x v="0"/>
    <n v="75000"/>
    <s v="White"/>
    <x v="1"/>
    <x v="0"/>
  </r>
  <r>
    <n v="90"/>
    <x v="0"/>
    <n v="75000"/>
    <s v="White"/>
    <x v="1"/>
    <x v="0"/>
  </r>
  <r>
    <n v="40"/>
    <x v="0"/>
    <n v="75000"/>
    <s v="White"/>
    <x v="1"/>
    <x v="0"/>
  </r>
  <r>
    <n v="50"/>
    <x v="0"/>
    <n v="75000"/>
    <s v="AsianPI"/>
    <x v="1"/>
    <x v="0"/>
  </r>
  <r>
    <n v="40"/>
    <x v="0"/>
    <n v="75000"/>
    <s v="White"/>
    <x v="1"/>
    <x v="0"/>
  </r>
  <r>
    <n v="40"/>
    <x v="0"/>
    <n v="75000"/>
    <s v="White"/>
    <x v="1"/>
    <x v="0"/>
  </r>
  <r>
    <n v="60"/>
    <x v="0"/>
    <n v="76000"/>
    <s v="White"/>
    <x v="1"/>
    <x v="0"/>
  </r>
  <r>
    <n v="40"/>
    <x v="0"/>
    <n v="76300"/>
    <s v="White"/>
    <x v="0"/>
    <x v="0"/>
  </r>
  <r>
    <n v="40"/>
    <x v="0"/>
    <n v="76500"/>
    <s v="White"/>
    <x v="1"/>
    <x v="0"/>
  </r>
  <r>
    <n v="60"/>
    <x v="0"/>
    <n v="77000"/>
    <s v="White"/>
    <x v="1"/>
    <x v="0"/>
  </r>
  <r>
    <n v="40"/>
    <x v="0"/>
    <n v="77000"/>
    <s v="AsianPI"/>
    <x v="0"/>
    <x v="0"/>
  </r>
  <r>
    <n v="40"/>
    <x v="0"/>
    <n v="77500"/>
    <s v="White"/>
    <x v="0"/>
    <x v="0"/>
  </r>
  <r>
    <n v="50"/>
    <x v="0"/>
    <n v="77925"/>
    <s v="White"/>
    <x v="1"/>
    <x v="0"/>
  </r>
  <r>
    <n v="0"/>
    <x v="0"/>
    <n v="77925"/>
    <s v="White"/>
    <x v="1"/>
    <x v="0"/>
  </r>
  <r>
    <n v="42"/>
    <x v="0"/>
    <n v="78000"/>
    <s v="White"/>
    <x v="1"/>
    <x v="0"/>
  </r>
  <r>
    <n v="55"/>
    <x v="0"/>
    <n v="79000"/>
    <s v="White"/>
    <x v="1"/>
    <x v="0"/>
  </r>
  <r>
    <n v="40"/>
    <x v="0"/>
    <n v="80000"/>
    <s v="White"/>
    <x v="1"/>
    <x v="0"/>
  </r>
  <r>
    <n v="50"/>
    <x v="0"/>
    <n v="80000"/>
    <s v="White"/>
    <x v="0"/>
    <x v="0"/>
  </r>
  <r>
    <n v="40"/>
    <x v="0"/>
    <n v="80000"/>
    <s v="AsianPI"/>
    <x v="0"/>
    <x v="0"/>
  </r>
  <r>
    <n v="60"/>
    <x v="0"/>
    <n v="80000"/>
    <s v="White"/>
    <x v="1"/>
    <x v="0"/>
  </r>
  <r>
    <n v="50"/>
    <x v="0"/>
    <n v="80000"/>
    <s v="White"/>
    <x v="1"/>
    <x v="0"/>
  </r>
  <r>
    <n v="50"/>
    <x v="0"/>
    <n v="80000"/>
    <s v="White"/>
    <x v="1"/>
    <x v="0"/>
  </r>
  <r>
    <n v="0"/>
    <x v="0"/>
    <n v="80000"/>
    <s v="White"/>
    <x v="1"/>
    <x v="0"/>
  </r>
  <r>
    <n v="40"/>
    <x v="0"/>
    <n v="80000"/>
    <s v="White"/>
    <x v="1"/>
    <x v="0"/>
  </r>
  <r>
    <n v="50"/>
    <x v="0"/>
    <n v="80000"/>
    <s v="White"/>
    <x v="0"/>
    <x v="0"/>
  </r>
  <r>
    <n v="40"/>
    <x v="0"/>
    <n v="80000"/>
    <s v="AsianPI"/>
    <x v="1"/>
    <x v="0"/>
  </r>
  <r>
    <n v="45"/>
    <x v="0"/>
    <n v="80000"/>
    <s v="White"/>
    <x v="1"/>
    <x v="0"/>
  </r>
  <r>
    <n v="0"/>
    <x v="0"/>
    <n v="80000"/>
    <s v="White"/>
    <x v="0"/>
    <x v="0"/>
  </r>
  <r>
    <n v="40"/>
    <x v="0"/>
    <n v="81000"/>
    <s v="White"/>
    <x v="1"/>
    <x v="0"/>
  </r>
  <r>
    <n v="50"/>
    <x v="0"/>
    <n v="81000"/>
    <s v="White"/>
    <x v="1"/>
    <x v="0"/>
  </r>
  <r>
    <n v="40"/>
    <x v="0"/>
    <n v="81360"/>
    <s v="White"/>
    <x v="1"/>
    <x v="0"/>
  </r>
  <r>
    <n v="45"/>
    <x v="0"/>
    <n v="83000"/>
    <s v="White"/>
    <x v="1"/>
    <x v="0"/>
  </r>
  <r>
    <n v="60"/>
    <x v="0"/>
    <n v="83000"/>
    <s v="White"/>
    <x v="1"/>
    <x v="0"/>
  </r>
  <r>
    <n v="0"/>
    <x v="0"/>
    <n v="83000"/>
    <s v="White"/>
    <x v="1"/>
    <x v="0"/>
  </r>
  <r>
    <n v="98"/>
    <x v="0"/>
    <n v="83200"/>
    <s v="White"/>
    <x v="1"/>
    <x v="0"/>
  </r>
  <r>
    <n v="40"/>
    <x v="0"/>
    <n v="83500"/>
    <s v="Black"/>
    <x v="0"/>
    <x v="0"/>
  </r>
  <r>
    <n v="60"/>
    <x v="0"/>
    <n v="84849"/>
    <s v="White"/>
    <x v="0"/>
    <x v="0"/>
  </r>
  <r>
    <n v="60"/>
    <x v="0"/>
    <n v="85000"/>
    <s v="White"/>
    <x v="0"/>
    <x v="0"/>
  </r>
  <r>
    <n v="50"/>
    <x v="0"/>
    <n v="85000"/>
    <s v="White"/>
    <x v="0"/>
    <x v="0"/>
  </r>
  <r>
    <n v="50"/>
    <x v="0"/>
    <n v="85000"/>
    <s v="White"/>
    <x v="0"/>
    <x v="0"/>
  </r>
  <r>
    <n v="50"/>
    <x v="0"/>
    <n v="85000"/>
    <s v="Black"/>
    <x v="1"/>
    <x v="0"/>
  </r>
  <r>
    <n v="50"/>
    <x v="0"/>
    <n v="85000"/>
    <s v="White"/>
    <x v="1"/>
    <x v="0"/>
  </r>
  <r>
    <n v="50"/>
    <x v="0"/>
    <n v="86000"/>
    <s v="White"/>
    <x v="0"/>
    <x v="0"/>
  </r>
  <r>
    <n v="74"/>
    <x v="0"/>
    <n v="86000"/>
    <s v="White"/>
    <x v="1"/>
    <x v="0"/>
  </r>
  <r>
    <n v="60"/>
    <x v="0"/>
    <n v="88000"/>
    <s v="White"/>
    <x v="1"/>
    <x v="0"/>
  </r>
  <r>
    <n v="40"/>
    <x v="0"/>
    <n v="88000"/>
    <s v="White"/>
    <x v="1"/>
    <x v="0"/>
  </r>
  <r>
    <n v="50"/>
    <x v="0"/>
    <n v="88000"/>
    <s v="White"/>
    <x v="1"/>
    <x v="0"/>
  </r>
  <r>
    <n v="70"/>
    <x v="0"/>
    <n v="88000"/>
    <s v="White"/>
    <x v="1"/>
    <x v="0"/>
  </r>
  <r>
    <n v="45"/>
    <x v="0"/>
    <n v="88000"/>
    <s v="White"/>
    <x v="1"/>
    <x v="0"/>
  </r>
  <r>
    <n v="40"/>
    <x v="0"/>
    <n v="89925"/>
    <s v="White"/>
    <x v="1"/>
    <x v="0"/>
  </r>
  <r>
    <n v="60"/>
    <x v="0"/>
    <n v="90000"/>
    <s v="Black"/>
    <x v="1"/>
    <x v="0"/>
  </r>
  <r>
    <n v="70"/>
    <x v="0"/>
    <n v="90000"/>
    <s v="White"/>
    <x v="1"/>
    <x v="0"/>
  </r>
  <r>
    <n v="50"/>
    <x v="0"/>
    <n v="90000"/>
    <s v="White"/>
    <x v="1"/>
    <x v="0"/>
  </r>
  <r>
    <n v="40"/>
    <x v="0"/>
    <n v="90000"/>
    <s v="White"/>
    <x v="1"/>
    <x v="0"/>
  </r>
  <r>
    <n v="60"/>
    <x v="0"/>
    <n v="90000"/>
    <s v="White"/>
    <x v="1"/>
    <x v="0"/>
  </r>
  <r>
    <n v="55"/>
    <x v="0"/>
    <n v="90000"/>
    <s v="White"/>
    <x v="1"/>
    <x v="0"/>
  </r>
  <r>
    <n v="50"/>
    <x v="0"/>
    <n v="90002"/>
    <s v="White"/>
    <x v="1"/>
    <x v="0"/>
  </r>
  <r>
    <n v="40"/>
    <x v="0"/>
    <n v="90578"/>
    <s v="White"/>
    <x v="1"/>
    <x v="0"/>
  </r>
  <r>
    <n v="0"/>
    <x v="0"/>
    <n v="92000"/>
    <s v="White"/>
    <x v="1"/>
    <x v="0"/>
  </r>
  <r>
    <n v="60"/>
    <x v="0"/>
    <n v="92000"/>
    <s v="Black"/>
    <x v="1"/>
    <x v="0"/>
  </r>
  <r>
    <n v="40"/>
    <x v="0"/>
    <n v="92500"/>
    <s v="AsianPI"/>
    <x v="1"/>
    <x v="0"/>
  </r>
  <r>
    <n v="70"/>
    <x v="0"/>
    <n v="95000"/>
    <s v="White"/>
    <x v="1"/>
    <x v="0"/>
  </r>
  <r>
    <n v="40"/>
    <x v="0"/>
    <n v="95000"/>
    <s v="White"/>
    <x v="1"/>
    <x v="0"/>
  </r>
  <r>
    <n v="55"/>
    <x v="0"/>
    <n v="98000"/>
    <s v="White"/>
    <x v="0"/>
    <x v="0"/>
  </r>
  <r>
    <n v="40"/>
    <x v="0"/>
    <n v="98000"/>
    <s v="AsianPI"/>
    <x v="1"/>
    <x v="0"/>
  </r>
  <r>
    <n v="47"/>
    <x v="0"/>
    <n v="98453"/>
    <s v="White"/>
    <x v="1"/>
    <x v="0"/>
  </r>
  <r>
    <n v="40"/>
    <x v="0"/>
    <n v="98500"/>
    <s v="White"/>
    <x v="1"/>
    <x v="0"/>
  </r>
  <r>
    <n v="40"/>
    <x v="0"/>
    <n v="99000"/>
    <s v="White"/>
    <x v="1"/>
    <x v="0"/>
  </r>
  <r>
    <n v="50"/>
    <x v="0"/>
    <n v="99925"/>
    <s v="White"/>
    <x v="1"/>
    <x v="0"/>
  </r>
  <r>
    <n v="70"/>
    <x v="0"/>
    <n v="100000"/>
    <s v="White"/>
    <x v="1"/>
    <x v="0"/>
  </r>
  <r>
    <n v="60"/>
    <x v="0"/>
    <n v="100000"/>
    <s v="White"/>
    <x v="0"/>
    <x v="0"/>
  </r>
  <r>
    <n v="40"/>
    <x v="0"/>
    <n v="100000"/>
    <s v="White"/>
    <x v="1"/>
    <x v="0"/>
  </r>
  <r>
    <n v="60"/>
    <x v="0"/>
    <n v="100000"/>
    <s v="White"/>
    <x v="1"/>
    <x v="0"/>
  </r>
  <r>
    <n v="50"/>
    <x v="0"/>
    <n v="100000"/>
    <s v="White"/>
    <x v="1"/>
    <x v="0"/>
  </r>
  <r>
    <n v="40"/>
    <x v="0"/>
    <n v="100000"/>
    <s v="White"/>
    <x v="0"/>
    <x v="0"/>
  </r>
  <r>
    <n v="50"/>
    <x v="0"/>
    <n v="100000"/>
    <s v="Black"/>
    <x v="1"/>
    <x v="0"/>
  </r>
  <r>
    <n v="60"/>
    <x v="0"/>
    <n v="100000"/>
    <s v="White"/>
    <x v="1"/>
    <x v="0"/>
  </r>
  <r>
    <n v="50"/>
    <x v="0"/>
    <n v="100000"/>
    <s v="White"/>
    <x v="1"/>
    <x v="0"/>
  </r>
  <r>
    <n v="40"/>
    <x v="0"/>
    <n v="100000"/>
    <s v="White"/>
    <x v="1"/>
    <x v="0"/>
  </r>
  <r>
    <n v="56"/>
    <x v="0"/>
    <n v="100000"/>
    <s v="White"/>
    <x v="1"/>
    <x v="0"/>
  </r>
  <r>
    <n v="40"/>
    <x v="0"/>
    <n v="100000"/>
    <s v="White"/>
    <x v="0"/>
    <x v="0"/>
  </r>
  <r>
    <n v="50"/>
    <x v="0"/>
    <n v="100000"/>
    <s v="White"/>
    <x v="1"/>
    <x v="0"/>
  </r>
  <r>
    <n v="40"/>
    <x v="0"/>
    <n v="100000"/>
    <s v="White"/>
    <x v="1"/>
    <x v="0"/>
  </r>
  <r>
    <n v="65"/>
    <x v="0"/>
    <n v="100000"/>
    <s v="White"/>
    <x v="1"/>
    <x v="0"/>
  </r>
  <r>
    <n v="0"/>
    <x v="0"/>
    <n v="100000"/>
    <s v="White"/>
    <x v="1"/>
    <x v="0"/>
  </r>
  <r>
    <n v="60"/>
    <x v="0"/>
    <n v="100231"/>
    <s v="White"/>
    <x v="1"/>
    <x v="0"/>
  </r>
  <r>
    <n v="60"/>
    <x v="0"/>
    <n v="103000"/>
    <s v="White"/>
    <x v="1"/>
    <x v="0"/>
  </r>
  <r>
    <n v="50"/>
    <x v="0"/>
    <n v="103000"/>
    <s v="White"/>
    <x v="1"/>
    <x v="0"/>
  </r>
  <r>
    <n v="40"/>
    <x v="0"/>
    <n v="103000"/>
    <s v="White"/>
    <x v="1"/>
    <x v="0"/>
  </r>
  <r>
    <n v="50"/>
    <x v="0"/>
    <n v="103500"/>
    <s v="White"/>
    <x v="0"/>
    <x v="0"/>
  </r>
  <r>
    <n v="53"/>
    <x v="0"/>
    <n v="103925"/>
    <s v="White"/>
    <x v="1"/>
    <x v="0"/>
  </r>
  <r>
    <n v="50"/>
    <x v="0"/>
    <n v="108000"/>
    <s v="White"/>
    <x v="1"/>
    <x v="0"/>
  </r>
  <r>
    <n v="40"/>
    <x v="0"/>
    <n v="110000"/>
    <s v="White"/>
    <x v="0"/>
    <x v="0"/>
  </r>
  <r>
    <n v="0"/>
    <x v="0"/>
    <n v="110000"/>
    <s v="White"/>
    <x v="1"/>
    <x v="0"/>
  </r>
  <r>
    <n v="55"/>
    <x v="0"/>
    <n v="110000"/>
    <s v="White"/>
    <x v="1"/>
    <x v="0"/>
  </r>
  <r>
    <n v="50"/>
    <x v="0"/>
    <n v="110000"/>
    <s v="White"/>
    <x v="0"/>
    <x v="0"/>
  </r>
  <r>
    <n v="38"/>
    <x v="0"/>
    <n v="110000"/>
    <s v="White"/>
    <x v="1"/>
    <x v="0"/>
  </r>
  <r>
    <n v="40"/>
    <x v="0"/>
    <n v="110000"/>
    <s v="White"/>
    <x v="1"/>
    <x v="0"/>
  </r>
  <r>
    <n v="40"/>
    <x v="0"/>
    <n v="110000"/>
    <s v="White"/>
    <x v="1"/>
    <x v="0"/>
  </r>
  <r>
    <n v="55"/>
    <x v="0"/>
    <n v="110000"/>
    <s v="White"/>
    <x v="1"/>
    <x v="0"/>
  </r>
  <r>
    <n v="40"/>
    <x v="0"/>
    <n v="110000"/>
    <s v="White"/>
    <x v="1"/>
    <x v="0"/>
  </r>
  <r>
    <n v="60"/>
    <x v="0"/>
    <n v="111000"/>
    <s v="Black"/>
    <x v="1"/>
    <x v="0"/>
  </r>
  <r>
    <n v="40"/>
    <x v="0"/>
    <n v="113925"/>
    <s v="White"/>
    <x v="1"/>
    <x v="0"/>
  </r>
  <r>
    <n v="45"/>
    <x v="0"/>
    <n v="115000"/>
    <s v="AsianPI"/>
    <x v="1"/>
    <x v="0"/>
  </r>
  <r>
    <n v="40"/>
    <x v="0"/>
    <n v="115000"/>
    <s v="White"/>
    <x v="1"/>
    <x v="0"/>
  </r>
  <r>
    <n v="60"/>
    <x v="0"/>
    <n v="117136"/>
    <s v="White"/>
    <x v="1"/>
    <x v="0"/>
  </r>
  <r>
    <n v="65"/>
    <x v="0"/>
    <n v="119925"/>
    <s v="White"/>
    <x v="1"/>
    <x v="0"/>
  </r>
  <r>
    <n v="0"/>
    <x v="0"/>
    <n v="120000"/>
    <s v="White"/>
    <x v="1"/>
    <x v="0"/>
  </r>
  <r>
    <n v="55"/>
    <x v="0"/>
    <n v="120000"/>
    <s v="White"/>
    <x v="1"/>
    <x v="0"/>
  </r>
  <r>
    <n v="0"/>
    <x v="0"/>
    <n v="120000"/>
    <s v="White"/>
    <x v="1"/>
    <x v="0"/>
  </r>
  <r>
    <n v="50"/>
    <x v="0"/>
    <n v="120000"/>
    <s v="White"/>
    <x v="1"/>
    <x v="0"/>
  </r>
  <r>
    <n v="50"/>
    <x v="0"/>
    <n v="120000"/>
    <s v="White"/>
    <x v="0"/>
    <x v="0"/>
  </r>
  <r>
    <n v="48"/>
    <x v="0"/>
    <n v="120000"/>
    <s v="White"/>
    <x v="1"/>
    <x v="0"/>
  </r>
  <r>
    <n v="40"/>
    <x v="0"/>
    <n v="120000"/>
    <s v="White"/>
    <x v="1"/>
    <x v="0"/>
  </r>
  <r>
    <n v="50"/>
    <x v="0"/>
    <n v="125000"/>
    <s v="White"/>
    <x v="1"/>
    <x v="0"/>
  </r>
  <r>
    <n v="40"/>
    <x v="0"/>
    <n v="128000"/>
    <s v="White"/>
    <x v="0"/>
    <x v="0"/>
  </r>
  <r>
    <n v="50"/>
    <x v="0"/>
    <n v="128000"/>
    <s v="White"/>
    <x v="1"/>
    <x v="0"/>
  </r>
  <r>
    <n v="45"/>
    <x v="0"/>
    <n v="129500"/>
    <s v="White"/>
    <x v="1"/>
    <x v="0"/>
  </r>
  <r>
    <n v="50"/>
    <x v="0"/>
    <n v="130000"/>
    <s v="White"/>
    <x v="1"/>
    <x v="0"/>
  </r>
  <r>
    <n v="60"/>
    <x v="0"/>
    <n v="131925"/>
    <s v="White"/>
    <x v="1"/>
    <x v="0"/>
  </r>
  <r>
    <n v="60"/>
    <x v="0"/>
    <n v="132000"/>
    <s v="White"/>
    <x v="1"/>
    <x v="0"/>
  </r>
  <r>
    <n v="98"/>
    <x v="0"/>
    <n v="134400"/>
    <s v="White"/>
    <x v="0"/>
    <x v="0"/>
  </r>
  <r>
    <n v="40"/>
    <x v="0"/>
    <n v="135000"/>
    <s v="White"/>
    <x v="0"/>
    <x v="0"/>
  </r>
  <r>
    <n v="60"/>
    <x v="0"/>
    <n v="135000"/>
    <s v="White"/>
    <x v="1"/>
    <x v="0"/>
  </r>
  <r>
    <n v="40"/>
    <x v="0"/>
    <n v="140000"/>
    <s v="White"/>
    <x v="1"/>
    <x v="0"/>
  </r>
  <r>
    <n v="70"/>
    <x v="0"/>
    <n v="140000"/>
    <s v="Black"/>
    <x v="1"/>
    <x v="0"/>
  </r>
  <r>
    <n v="40"/>
    <x v="0"/>
    <n v="150000"/>
    <s v="White"/>
    <x v="1"/>
    <x v="0"/>
  </r>
  <r>
    <n v="55"/>
    <x v="0"/>
    <n v="150000"/>
    <s v="Black"/>
    <x v="1"/>
    <x v="0"/>
  </r>
  <r>
    <n v="60"/>
    <x v="0"/>
    <n v="150000"/>
    <s v="White"/>
    <x v="1"/>
    <x v="0"/>
  </r>
  <r>
    <n v="55"/>
    <x v="0"/>
    <n v="150000"/>
    <s v="White"/>
    <x v="1"/>
    <x v="0"/>
  </r>
  <r>
    <n v="0"/>
    <x v="0"/>
    <n v="150000"/>
    <s v="White"/>
    <x v="1"/>
    <x v="0"/>
  </r>
  <r>
    <n v="0"/>
    <x v="0"/>
    <n v="150000"/>
    <s v="White"/>
    <x v="0"/>
    <x v="0"/>
  </r>
  <r>
    <n v="35"/>
    <x v="0"/>
    <n v="150000"/>
    <s v="White"/>
    <x v="1"/>
    <x v="0"/>
  </r>
  <r>
    <n v="50"/>
    <x v="0"/>
    <n v="155000"/>
    <s v="White"/>
    <x v="0"/>
    <x v="0"/>
  </r>
  <r>
    <n v="0"/>
    <x v="0"/>
    <n v="160000"/>
    <s v="Black"/>
    <x v="1"/>
    <x v="0"/>
  </r>
  <r>
    <n v="50"/>
    <x v="0"/>
    <n v="209925"/>
    <s v="White"/>
    <x v="1"/>
    <x v="0"/>
  </r>
  <r>
    <n v="40"/>
    <x v="0"/>
    <n v="306731"/>
    <s v="White"/>
    <x v="1"/>
    <x v="0"/>
  </r>
  <r>
    <n v="70"/>
    <x v="0"/>
    <n v="306731"/>
    <s v="White"/>
    <x v="1"/>
    <x v="0"/>
  </r>
  <r>
    <n v="60"/>
    <x v="0"/>
    <n v="306731"/>
    <s v="White"/>
    <x v="1"/>
    <x v="0"/>
  </r>
  <r>
    <n v="60"/>
    <x v="0"/>
    <n v="306731"/>
    <s v="White"/>
    <x v="1"/>
    <x v="0"/>
  </r>
  <r>
    <n v="60"/>
    <x v="0"/>
    <n v="306731"/>
    <s v="AsianPI"/>
    <x v="1"/>
    <x v="0"/>
  </r>
  <r>
    <n v="70"/>
    <x v="0"/>
    <n v="306731"/>
    <s v="White"/>
    <x v="1"/>
    <x v="0"/>
  </r>
  <r>
    <n v="55"/>
    <x v="0"/>
    <n v="306731"/>
    <s v="White"/>
    <x v="1"/>
    <x v="0"/>
  </r>
  <r>
    <n v="47"/>
    <x v="0"/>
    <n v="306731"/>
    <s v="White"/>
    <x v="1"/>
    <x v="0"/>
  </r>
  <r>
    <n v="0"/>
    <x v="0"/>
    <n v="306731"/>
    <s v="White"/>
    <x v="1"/>
    <x v="0"/>
  </r>
  <r>
    <n v="50"/>
    <x v="0"/>
    <n v="306731"/>
    <s v="White"/>
    <x v="1"/>
    <x v="0"/>
  </r>
  <r>
    <n v="40"/>
    <x v="0"/>
    <n v="306731"/>
    <s v="White"/>
    <x v="1"/>
    <x v="0"/>
  </r>
  <r>
    <n v="99"/>
    <x v="0"/>
    <n v="306731"/>
    <s v="White"/>
    <x v="1"/>
    <x v="0"/>
  </r>
  <r>
    <n v="45"/>
    <x v="0"/>
    <n v="306731"/>
    <s v="White"/>
    <x v="1"/>
    <x v="0"/>
  </r>
  <r>
    <n v="50"/>
    <x v="0"/>
    <n v="306731"/>
    <s v="White"/>
    <x v="1"/>
    <x v="0"/>
  </r>
  <r>
    <n v="40"/>
    <x v="0"/>
    <n v="306731"/>
    <s v="White"/>
    <x v="1"/>
    <x v="0"/>
  </r>
  <r>
    <n v="40"/>
    <x v="0"/>
    <n v="306731"/>
    <s v="White"/>
    <x v="1"/>
    <x v="0"/>
  </r>
  <r>
    <n v="40"/>
    <x v="0"/>
    <n v="306731"/>
    <s v="White"/>
    <x v="1"/>
    <x v="0"/>
  </r>
  <r>
    <n v="0"/>
    <x v="0"/>
    <n v="306731"/>
    <s v="White"/>
    <x v="1"/>
    <x v="0"/>
  </r>
  <r>
    <n v="50"/>
    <x v="0"/>
    <n v="306731"/>
    <s v="White"/>
    <x v="1"/>
    <x v="0"/>
  </r>
  <r>
    <n v="55"/>
    <x v="0"/>
    <n v="306731"/>
    <s v="White"/>
    <x v="1"/>
    <x v="0"/>
  </r>
  <r>
    <n v="65"/>
    <x v="0"/>
    <n v="306731"/>
    <s v="White"/>
    <x v="1"/>
    <x v="0"/>
  </r>
  <r>
    <n v="50"/>
    <x v="0"/>
    <n v="306731"/>
    <s v="White"/>
    <x v="1"/>
    <x v="0"/>
  </r>
  <r>
    <n v="40"/>
    <x v="0"/>
    <n v="306731"/>
    <s v="White"/>
    <x v="1"/>
    <x v="0"/>
  </r>
  <r>
    <n v="50"/>
    <x v="0"/>
    <n v="306731"/>
    <s v="White"/>
    <x v="1"/>
    <x v="0"/>
  </r>
  <r>
    <n v="50"/>
    <x v="0"/>
    <n v="306731"/>
    <s v="White"/>
    <x v="1"/>
    <x v="0"/>
  </r>
  <r>
    <n v="60"/>
    <x v="0"/>
    <n v="306731"/>
    <s v="White"/>
    <x v="1"/>
    <x v="0"/>
  </r>
  <r>
    <n v="80"/>
    <x v="0"/>
    <n v="306731"/>
    <s v="White"/>
    <x v="1"/>
    <x v="0"/>
  </r>
  <r>
    <n v="50"/>
    <x v="0"/>
    <n v="306731"/>
    <s v="White"/>
    <x v="1"/>
    <x v="0"/>
  </r>
  <r>
    <n v="0"/>
    <x v="0"/>
    <n v="306731"/>
    <s v="White"/>
    <x v="1"/>
    <x v="0"/>
  </r>
  <r>
    <n v="60"/>
    <x v="0"/>
    <n v="306731"/>
    <s v="White"/>
    <x v="1"/>
    <x v="0"/>
  </r>
  <r>
    <n v="65"/>
    <x v="0"/>
    <n v="306731"/>
    <s v="White"/>
    <x v="1"/>
    <x v="0"/>
  </r>
  <r>
    <n v="47"/>
    <x v="0"/>
    <n v="306731"/>
    <s v="White"/>
    <x v="1"/>
    <x v="0"/>
  </r>
  <r>
    <n v="45"/>
    <x v="0"/>
    <n v="306731"/>
    <s v="White"/>
    <x v="1"/>
    <x v="0"/>
  </r>
  <r>
    <n v="50"/>
    <x v="0"/>
    <n v="306731"/>
    <s v="White"/>
    <x v="1"/>
    <x v="0"/>
  </r>
  <r>
    <n v="60"/>
    <x v="0"/>
    <n v="306731"/>
    <s v="White"/>
    <x v="1"/>
    <x v="0"/>
  </r>
  <r>
    <n v="60"/>
    <x v="0"/>
    <n v="306731"/>
    <s v="White"/>
    <x v="1"/>
    <x v="0"/>
  </r>
  <r>
    <n v="0"/>
    <x v="0"/>
    <n v="306731"/>
    <s v="White"/>
    <x v="1"/>
    <x v="0"/>
  </r>
  <r>
    <n v="50"/>
    <x v="0"/>
    <n v="314731"/>
    <s v="White"/>
    <x v="1"/>
    <x v="0"/>
  </r>
  <r>
    <n v="70"/>
    <x v="0"/>
    <n v="327731"/>
    <s v="White"/>
    <x v="1"/>
    <x v="0"/>
  </r>
  <r>
    <n v="50"/>
    <x v="0"/>
    <n v="327731"/>
    <s v="White"/>
    <x v="1"/>
    <x v="0"/>
  </r>
  <r>
    <n v="58"/>
    <x v="0"/>
    <n v="331731"/>
    <s v="White"/>
    <x v="1"/>
    <x v="0"/>
  </r>
  <r>
    <n v="40"/>
    <x v="0"/>
    <n v="348516"/>
    <s v="White"/>
    <x v="1"/>
    <x v="0"/>
  </r>
  <r>
    <n v="55"/>
    <x v="0"/>
    <n v="366656"/>
    <s v="AsianPI"/>
    <x v="1"/>
    <x v="0"/>
  </r>
  <r>
    <n v="65"/>
    <x v="0"/>
    <n v="366656"/>
    <s v="White"/>
    <x v="1"/>
    <x v="0"/>
  </r>
  <r>
    <n v="60"/>
    <x v="0"/>
    <n v="402204"/>
    <s v="White"/>
    <x v="0"/>
    <x v="0"/>
  </r>
  <r>
    <n v="75"/>
    <x v="0"/>
    <n v="402204"/>
    <s v="White"/>
    <x v="0"/>
    <x v="0"/>
  </r>
  <r>
    <n v="48"/>
    <x v="0"/>
    <n v="422204"/>
    <s v="White"/>
    <x v="0"/>
    <x v="0"/>
  </r>
  <r>
    <n v="40"/>
    <x v="1"/>
    <n v="412"/>
    <s v="White"/>
    <x v="0"/>
    <x v="1"/>
  </r>
  <r>
    <n v="0"/>
    <x v="1"/>
    <n v="1000"/>
    <s v="White"/>
    <x v="1"/>
    <x v="1"/>
  </r>
  <r>
    <n v="0"/>
    <x v="1"/>
    <n v="1200"/>
    <s v="White"/>
    <x v="0"/>
    <x v="1"/>
  </r>
  <r>
    <n v="50"/>
    <x v="1"/>
    <n v="2600"/>
    <s v="White"/>
    <x v="1"/>
    <x v="1"/>
  </r>
  <r>
    <n v="40"/>
    <x v="1"/>
    <n v="3000"/>
    <s v="White"/>
    <x v="0"/>
    <x v="1"/>
  </r>
  <r>
    <n v="36"/>
    <x v="1"/>
    <n v="3400"/>
    <s v="White"/>
    <x v="0"/>
    <x v="1"/>
  </r>
  <r>
    <n v="65"/>
    <x v="1"/>
    <n v="3500"/>
    <s v="White"/>
    <x v="1"/>
    <x v="1"/>
  </r>
  <r>
    <n v="50"/>
    <x v="1"/>
    <n v="3600"/>
    <s v="White"/>
    <x v="1"/>
    <x v="1"/>
  </r>
  <r>
    <n v="48"/>
    <x v="1"/>
    <n v="4000"/>
    <s v="White"/>
    <x v="1"/>
    <x v="1"/>
  </r>
  <r>
    <n v="40"/>
    <x v="1"/>
    <n v="4000"/>
    <s v="White"/>
    <x v="1"/>
    <x v="1"/>
  </r>
  <r>
    <n v="45"/>
    <x v="1"/>
    <n v="4472"/>
    <s v="White"/>
    <x v="1"/>
    <x v="1"/>
  </r>
  <r>
    <n v="40"/>
    <x v="1"/>
    <n v="5000"/>
    <s v="White"/>
    <x v="0"/>
    <x v="1"/>
  </r>
  <r>
    <n v="65"/>
    <x v="1"/>
    <n v="5000"/>
    <s v="White"/>
    <x v="0"/>
    <x v="1"/>
  </r>
  <r>
    <n v="60"/>
    <x v="1"/>
    <n v="5000"/>
    <s v="White"/>
    <x v="0"/>
    <x v="1"/>
  </r>
  <r>
    <n v="37"/>
    <x v="1"/>
    <n v="5000"/>
    <s v="White"/>
    <x v="0"/>
    <x v="1"/>
  </r>
  <r>
    <n v="40"/>
    <x v="1"/>
    <n v="5160"/>
    <s v="White"/>
    <x v="0"/>
    <x v="1"/>
  </r>
  <r>
    <n v="35"/>
    <x v="1"/>
    <n v="5300"/>
    <s v="White"/>
    <x v="0"/>
    <x v="1"/>
  </r>
  <r>
    <n v="35"/>
    <x v="1"/>
    <n v="5300"/>
    <s v="Black"/>
    <x v="0"/>
    <x v="1"/>
  </r>
  <r>
    <n v="0"/>
    <x v="1"/>
    <n v="6000"/>
    <s v="White"/>
    <x v="0"/>
    <x v="1"/>
  </r>
  <r>
    <n v="40"/>
    <x v="1"/>
    <n v="6400"/>
    <s v="White"/>
    <x v="1"/>
    <x v="1"/>
  </r>
  <r>
    <n v="40"/>
    <x v="1"/>
    <n v="6400"/>
    <s v="White"/>
    <x v="0"/>
    <x v="1"/>
  </r>
  <r>
    <n v="39"/>
    <x v="1"/>
    <n v="7000"/>
    <s v="White"/>
    <x v="0"/>
    <x v="1"/>
  </r>
  <r>
    <n v="40"/>
    <x v="1"/>
    <n v="7000"/>
    <s v="White"/>
    <x v="0"/>
    <x v="1"/>
  </r>
  <r>
    <n v="38"/>
    <x v="1"/>
    <n v="7035"/>
    <s v="White"/>
    <x v="1"/>
    <x v="1"/>
  </r>
  <r>
    <n v="40"/>
    <x v="1"/>
    <n v="7491"/>
    <s v="White"/>
    <x v="0"/>
    <x v="1"/>
  </r>
  <r>
    <n v="80"/>
    <x v="1"/>
    <n v="8000"/>
    <s v="White"/>
    <x v="0"/>
    <x v="1"/>
  </r>
  <r>
    <n v="40"/>
    <x v="1"/>
    <n v="8000"/>
    <s v="White"/>
    <x v="1"/>
    <x v="1"/>
  </r>
  <r>
    <n v="48"/>
    <x v="1"/>
    <n v="8000"/>
    <s v="White"/>
    <x v="0"/>
    <x v="1"/>
  </r>
  <r>
    <n v="40"/>
    <x v="1"/>
    <n v="8000"/>
    <s v="White"/>
    <x v="0"/>
    <x v="1"/>
  </r>
  <r>
    <n v="40"/>
    <x v="1"/>
    <n v="8000"/>
    <s v="White"/>
    <x v="0"/>
    <x v="1"/>
  </r>
  <r>
    <n v="59"/>
    <x v="1"/>
    <n v="8000"/>
    <s v="White"/>
    <x v="0"/>
    <x v="1"/>
  </r>
  <r>
    <n v="45"/>
    <x v="1"/>
    <n v="8000"/>
    <s v="White"/>
    <x v="0"/>
    <x v="1"/>
  </r>
  <r>
    <n v="50"/>
    <x v="1"/>
    <n v="8195"/>
    <s v="White"/>
    <x v="1"/>
    <x v="1"/>
  </r>
  <r>
    <n v="40"/>
    <x v="1"/>
    <n v="8700"/>
    <s v="White"/>
    <x v="0"/>
    <x v="1"/>
  </r>
  <r>
    <n v="40"/>
    <x v="1"/>
    <n v="9600"/>
    <s v="White"/>
    <x v="1"/>
    <x v="1"/>
  </r>
  <r>
    <n v="50"/>
    <x v="1"/>
    <n v="9600"/>
    <s v="White"/>
    <x v="1"/>
    <x v="1"/>
  </r>
  <r>
    <n v="55"/>
    <x v="1"/>
    <n v="10000"/>
    <s v="White"/>
    <x v="1"/>
    <x v="1"/>
  </r>
  <r>
    <n v="50"/>
    <x v="1"/>
    <n v="10000"/>
    <s v="White"/>
    <x v="0"/>
    <x v="1"/>
  </r>
  <r>
    <n v="40"/>
    <x v="1"/>
    <n v="10000"/>
    <s v="White"/>
    <x v="0"/>
    <x v="1"/>
  </r>
  <r>
    <n v="44"/>
    <x v="1"/>
    <n v="10000"/>
    <s v="White"/>
    <x v="1"/>
    <x v="1"/>
  </r>
  <r>
    <n v="50"/>
    <x v="1"/>
    <n v="10000"/>
    <s v="White"/>
    <x v="0"/>
    <x v="1"/>
  </r>
  <r>
    <n v="40"/>
    <x v="1"/>
    <n v="10000"/>
    <s v="White"/>
    <x v="0"/>
    <x v="1"/>
  </r>
  <r>
    <n v="40"/>
    <x v="1"/>
    <n v="10000"/>
    <s v="White"/>
    <x v="1"/>
    <x v="1"/>
  </r>
  <r>
    <n v="42"/>
    <x v="1"/>
    <n v="10400"/>
    <s v="White"/>
    <x v="0"/>
    <x v="1"/>
  </r>
  <r>
    <n v="44"/>
    <x v="1"/>
    <n v="10800"/>
    <s v="White"/>
    <x v="0"/>
    <x v="1"/>
  </r>
  <r>
    <n v="40"/>
    <x v="1"/>
    <n v="11000"/>
    <s v="White"/>
    <x v="1"/>
    <x v="1"/>
  </r>
  <r>
    <n v="40"/>
    <x v="1"/>
    <n v="11000"/>
    <s v="White"/>
    <x v="0"/>
    <x v="1"/>
  </r>
  <r>
    <n v="40"/>
    <x v="1"/>
    <n v="11000"/>
    <s v="White"/>
    <x v="0"/>
    <x v="1"/>
  </r>
  <r>
    <n v="0"/>
    <x v="1"/>
    <n v="11000"/>
    <s v="White"/>
    <x v="0"/>
    <x v="1"/>
  </r>
  <r>
    <n v="40"/>
    <x v="1"/>
    <n v="11000"/>
    <s v="Black"/>
    <x v="0"/>
    <x v="1"/>
  </r>
  <r>
    <n v="35"/>
    <x v="1"/>
    <n v="11870"/>
    <s v="White"/>
    <x v="0"/>
    <x v="1"/>
  </r>
  <r>
    <n v="50"/>
    <x v="1"/>
    <n v="12000"/>
    <s v="White"/>
    <x v="0"/>
    <x v="1"/>
  </r>
  <r>
    <n v="50"/>
    <x v="1"/>
    <n v="12000"/>
    <s v="Black"/>
    <x v="0"/>
    <x v="1"/>
  </r>
  <r>
    <n v="0"/>
    <x v="1"/>
    <n v="12000"/>
    <s v="Black"/>
    <x v="0"/>
    <x v="1"/>
  </r>
  <r>
    <n v="38"/>
    <x v="1"/>
    <n v="12000"/>
    <s v="White"/>
    <x v="0"/>
    <x v="1"/>
  </r>
  <r>
    <n v="40"/>
    <x v="1"/>
    <n v="12000"/>
    <s v="White"/>
    <x v="0"/>
    <x v="1"/>
  </r>
  <r>
    <n v="45"/>
    <x v="1"/>
    <n v="12000"/>
    <s v="AsianPI"/>
    <x v="1"/>
    <x v="1"/>
  </r>
  <r>
    <n v="36"/>
    <x v="1"/>
    <n v="12000"/>
    <s v="White"/>
    <x v="0"/>
    <x v="1"/>
  </r>
  <r>
    <n v="41"/>
    <x v="1"/>
    <n v="12200"/>
    <s v="White"/>
    <x v="0"/>
    <x v="1"/>
  </r>
  <r>
    <n v="40"/>
    <x v="1"/>
    <n v="12340"/>
    <s v="White"/>
    <x v="0"/>
    <x v="1"/>
  </r>
  <r>
    <n v="50"/>
    <x v="1"/>
    <n v="12700"/>
    <s v="White"/>
    <x v="0"/>
    <x v="1"/>
  </r>
  <r>
    <n v="40"/>
    <x v="1"/>
    <n v="13000"/>
    <s v="White"/>
    <x v="0"/>
    <x v="1"/>
  </r>
  <r>
    <n v="40"/>
    <x v="1"/>
    <n v="13000"/>
    <s v="White"/>
    <x v="1"/>
    <x v="1"/>
  </r>
  <r>
    <n v="45"/>
    <x v="1"/>
    <n v="13000"/>
    <s v="White"/>
    <x v="0"/>
    <x v="1"/>
  </r>
  <r>
    <n v="40"/>
    <x v="1"/>
    <n v="13000"/>
    <s v="Black"/>
    <x v="0"/>
    <x v="1"/>
  </r>
  <r>
    <n v="40"/>
    <x v="1"/>
    <n v="13600"/>
    <s v="White"/>
    <x v="1"/>
    <x v="1"/>
  </r>
  <r>
    <n v="40"/>
    <x v="1"/>
    <n v="14000"/>
    <s v="White"/>
    <x v="0"/>
    <x v="1"/>
  </r>
  <r>
    <n v="40"/>
    <x v="1"/>
    <n v="14000"/>
    <s v="White"/>
    <x v="0"/>
    <x v="1"/>
  </r>
  <r>
    <n v="40"/>
    <x v="1"/>
    <n v="14000"/>
    <s v="White"/>
    <x v="0"/>
    <x v="1"/>
  </r>
  <r>
    <n v="40"/>
    <x v="1"/>
    <n v="14601"/>
    <s v="White"/>
    <x v="1"/>
    <x v="1"/>
  </r>
  <r>
    <n v="0"/>
    <x v="1"/>
    <n v="15000"/>
    <s v="White"/>
    <x v="0"/>
    <x v="1"/>
  </r>
  <r>
    <n v="50"/>
    <x v="1"/>
    <n v="15000"/>
    <s v="White"/>
    <x v="1"/>
    <x v="1"/>
  </r>
  <r>
    <n v="50"/>
    <x v="1"/>
    <n v="15000"/>
    <s v="White"/>
    <x v="0"/>
    <x v="1"/>
  </r>
  <r>
    <n v="40"/>
    <x v="1"/>
    <n v="15000"/>
    <s v="White"/>
    <x v="0"/>
    <x v="1"/>
  </r>
  <r>
    <n v="40"/>
    <x v="1"/>
    <n v="15000"/>
    <s v="White"/>
    <x v="0"/>
    <x v="1"/>
  </r>
  <r>
    <n v="40"/>
    <x v="1"/>
    <n v="15000"/>
    <s v="White"/>
    <x v="0"/>
    <x v="1"/>
  </r>
  <r>
    <n v="40"/>
    <x v="1"/>
    <n v="15600"/>
    <s v="Black"/>
    <x v="1"/>
    <x v="1"/>
  </r>
  <r>
    <n v="40"/>
    <x v="1"/>
    <n v="16000"/>
    <s v="White"/>
    <x v="1"/>
    <x v="1"/>
  </r>
  <r>
    <n v="55"/>
    <x v="1"/>
    <n v="16000"/>
    <s v="White"/>
    <x v="1"/>
    <x v="1"/>
  </r>
  <r>
    <n v="40"/>
    <x v="1"/>
    <n v="16000"/>
    <s v="White"/>
    <x v="0"/>
    <x v="1"/>
  </r>
  <r>
    <n v="45"/>
    <x v="1"/>
    <n v="16000"/>
    <s v="White"/>
    <x v="1"/>
    <x v="1"/>
  </r>
  <r>
    <n v="54"/>
    <x v="1"/>
    <n v="16000"/>
    <s v="White"/>
    <x v="0"/>
    <x v="1"/>
  </r>
  <r>
    <n v="38"/>
    <x v="1"/>
    <n v="16380"/>
    <s v="White"/>
    <x v="0"/>
    <x v="1"/>
  </r>
  <r>
    <n v="40"/>
    <x v="1"/>
    <n v="16476"/>
    <s v="White"/>
    <x v="0"/>
    <x v="1"/>
  </r>
  <r>
    <n v="0"/>
    <x v="1"/>
    <n v="16765"/>
    <s v="White"/>
    <x v="0"/>
    <x v="1"/>
  </r>
  <r>
    <n v="55"/>
    <x v="1"/>
    <n v="16800"/>
    <s v="White"/>
    <x v="1"/>
    <x v="1"/>
  </r>
  <r>
    <n v="90"/>
    <x v="1"/>
    <n v="16800"/>
    <s v="White"/>
    <x v="1"/>
    <x v="1"/>
  </r>
  <r>
    <n v="42"/>
    <x v="1"/>
    <n v="16888"/>
    <s v="White"/>
    <x v="1"/>
    <x v="1"/>
  </r>
  <r>
    <n v="44"/>
    <x v="1"/>
    <n v="17000"/>
    <s v="White"/>
    <x v="0"/>
    <x v="1"/>
  </r>
  <r>
    <n v="40"/>
    <x v="1"/>
    <n v="17000"/>
    <s v="White"/>
    <x v="0"/>
    <x v="1"/>
  </r>
  <r>
    <n v="60"/>
    <x v="1"/>
    <n v="17000"/>
    <s v="White"/>
    <x v="1"/>
    <x v="1"/>
  </r>
  <r>
    <n v="0"/>
    <x v="1"/>
    <n v="17000"/>
    <s v="White"/>
    <x v="1"/>
    <x v="1"/>
  </r>
  <r>
    <n v="0"/>
    <x v="1"/>
    <n v="17000"/>
    <s v="White"/>
    <x v="1"/>
    <x v="1"/>
  </r>
  <r>
    <n v="40"/>
    <x v="1"/>
    <n v="17100"/>
    <s v="White"/>
    <x v="0"/>
    <x v="1"/>
  </r>
  <r>
    <n v="60"/>
    <x v="1"/>
    <n v="17500"/>
    <s v="White"/>
    <x v="1"/>
    <x v="1"/>
  </r>
  <r>
    <n v="40"/>
    <x v="1"/>
    <n v="17571"/>
    <s v="White"/>
    <x v="0"/>
    <x v="1"/>
  </r>
  <r>
    <n v="40"/>
    <x v="1"/>
    <n v="17600"/>
    <s v="Black"/>
    <x v="1"/>
    <x v="1"/>
  </r>
  <r>
    <n v="40"/>
    <x v="1"/>
    <n v="17603"/>
    <s v="White"/>
    <x v="1"/>
    <x v="1"/>
  </r>
  <r>
    <n v="55"/>
    <x v="1"/>
    <n v="18000"/>
    <s v="White"/>
    <x v="1"/>
    <x v="1"/>
  </r>
  <r>
    <n v="45"/>
    <x v="1"/>
    <n v="18000"/>
    <s v="White"/>
    <x v="0"/>
    <x v="1"/>
  </r>
  <r>
    <n v="80"/>
    <x v="1"/>
    <n v="18000"/>
    <s v="Black"/>
    <x v="0"/>
    <x v="1"/>
  </r>
  <r>
    <n v="70"/>
    <x v="1"/>
    <n v="18000"/>
    <s v="White"/>
    <x v="0"/>
    <x v="1"/>
  </r>
  <r>
    <n v="40"/>
    <x v="1"/>
    <n v="19000"/>
    <s v="White"/>
    <x v="0"/>
    <x v="1"/>
  </r>
  <r>
    <n v="40"/>
    <x v="1"/>
    <n v="19000"/>
    <s v="White"/>
    <x v="0"/>
    <x v="1"/>
  </r>
  <r>
    <n v="40"/>
    <x v="1"/>
    <n v="19000"/>
    <s v="White"/>
    <x v="0"/>
    <x v="1"/>
  </r>
  <r>
    <n v="40"/>
    <x v="1"/>
    <n v="19000"/>
    <s v="White"/>
    <x v="0"/>
    <x v="1"/>
  </r>
  <r>
    <n v="40"/>
    <x v="1"/>
    <n v="19200"/>
    <s v="White"/>
    <x v="1"/>
    <x v="1"/>
  </r>
  <r>
    <n v="65"/>
    <x v="1"/>
    <n v="19305"/>
    <s v="White"/>
    <x v="1"/>
    <x v="1"/>
  </r>
  <r>
    <n v="50"/>
    <x v="1"/>
    <n v="19400"/>
    <s v="White"/>
    <x v="0"/>
    <x v="1"/>
  </r>
  <r>
    <n v="40"/>
    <x v="1"/>
    <n v="20000"/>
    <s v="Black"/>
    <x v="0"/>
    <x v="1"/>
  </r>
  <r>
    <n v="40"/>
    <x v="1"/>
    <n v="20000"/>
    <s v="White"/>
    <x v="1"/>
    <x v="1"/>
  </r>
  <r>
    <n v="46"/>
    <x v="1"/>
    <n v="20000"/>
    <s v="White"/>
    <x v="0"/>
    <x v="1"/>
  </r>
  <r>
    <n v="62"/>
    <x v="1"/>
    <n v="20000"/>
    <s v="Black"/>
    <x v="0"/>
    <x v="1"/>
  </r>
  <r>
    <n v="40"/>
    <x v="1"/>
    <n v="20000"/>
    <s v="White"/>
    <x v="0"/>
    <x v="1"/>
  </r>
  <r>
    <n v="60"/>
    <x v="1"/>
    <n v="20000"/>
    <s v="White"/>
    <x v="1"/>
    <x v="1"/>
  </r>
  <r>
    <n v="40"/>
    <x v="1"/>
    <n v="20000"/>
    <s v="White"/>
    <x v="0"/>
    <x v="1"/>
  </r>
  <r>
    <n v="40"/>
    <x v="1"/>
    <n v="20000"/>
    <s v="White"/>
    <x v="1"/>
    <x v="1"/>
  </r>
  <r>
    <n v="40"/>
    <x v="1"/>
    <n v="20000"/>
    <s v="White"/>
    <x v="1"/>
    <x v="1"/>
  </r>
  <r>
    <n v="40"/>
    <x v="1"/>
    <n v="20000"/>
    <s v="White"/>
    <x v="0"/>
    <x v="1"/>
  </r>
  <r>
    <n v="45"/>
    <x v="1"/>
    <n v="20000"/>
    <s v="White"/>
    <x v="1"/>
    <x v="1"/>
  </r>
  <r>
    <n v="40"/>
    <x v="1"/>
    <n v="20000"/>
    <s v="White"/>
    <x v="0"/>
    <x v="1"/>
  </r>
  <r>
    <n v="35"/>
    <x v="1"/>
    <n v="20000"/>
    <s v="White"/>
    <x v="0"/>
    <x v="1"/>
  </r>
  <r>
    <n v="40"/>
    <x v="1"/>
    <n v="20000"/>
    <s v="White"/>
    <x v="1"/>
    <x v="1"/>
  </r>
  <r>
    <n v="39"/>
    <x v="1"/>
    <n v="20000"/>
    <s v="White"/>
    <x v="0"/>
    <x v="1"/>
  </r>
  <r>
    <n v="38"/>
    <x v="1"/>
    <n v="20000"/>
    <s v="White"/>
    <x v="0"/>
    <x v="1"/>
  </r>
  <r>
    <n v="60"/>
    <x v="1"/>
    <n v="20000"/>
    <s v="White"/>
    <x v="1"/>
    <x v="1"/>
  </r>
  <r>
    <n v="50"/>
    <x v="1"/>
    <n v="20000"/>
    <s v="AsianPI"/>
    <x v="1"/>
    <x v="1"/>
  </r>
  <r>
    <n v="40"/>
    <x v="1"/>
    <n v="20000"/>
    <s v="White"/>
    <x v="0"/>
    <x v="1"/>
  </r>
  <r>
    <n v="43"/>
    <x v="1"/>
    <n v="20000"/>
    <s v="White"/>
    <x v="0"/>
    <x v="1"/>
  </r>
  <r>
    <n v="40"/>
    <x v="1"/>
    <n v="20000"/>
    <s v="White"/>
    <x v="0"/>
    <x v="1"/>
  </r>
  <r>
    <n v="40"/>
    <x v="1"/>
    <n v="20000"/>
    <s v="IndEsk"/>
    <x v="1"/>
    <x v="1"/>
  </r>
  <r>
    <n v="40"/>
    <x v="1"/>
    <n v="20000"/>
    <s v="IndEsk"/>
    <x v="0"/>
    <x v="1"/>
  </r>
  <r>
    <n v="40"/>
    <x v="1"/>
    <n v="20000"/>
    <s v="White"/>
    <x v="0"/>
    <x v="1"/>
  </r>
  <r>
    <n v="40"/>
    <x v="1"/>
    <n v="20000"/>
    <s v="White"/>
    <x v="0"/>
    <x v="1"/>
  </r>
  <r>
    <n v="40"/>
    <x v="1"/>
    <n v="20000"/>
    <s v="White"/>
    <x v="1"/>
    <x v="1"/>
  </r>
  <r>
    <n v="35"/>
    <x v="1"/>
    <n v="20000"/>
    <s v="AsianPI"/>
    <x v="0"/>
    <x v="1"/>
  </r>
  <r>
    <n v="40"/>
    <x v="1"/>
    <n v="20000"/>
    <s v="White"/>
    <x v="0"/>
    <x v="1"/>
  </r>
  <r>
    <n v="0"/>
    <x v="1"/>
    <n v="20000"/>
    <s v="White"/>
    <x v="1"/>
    <x v="1"/>
  </r>
  <r>
    <n v="45"/>
    <x v="1"/>
    <n v="20000"/>
    <s v="White"/>
    <x v="1"/>
    <x v="1"/>
  </r>
  <r>
    <n v="40"/>
    <x v="1"/>
    <n v="20000"/>
    <s v="White"/>
    <x v="0"/>
    <x v="1"/>
  </r>
  <r>
    <n v="40"/>
    <x v="1"/>
    <n v="20000"/>
    <s v="White"/>
    <x v="0"/>
    <x v="1"/>
  </r>
  <r>
    <n v="40"/>
    <x v="1"/>
    <n v="20050"/>
    <s v="White"/>
    <x v="0"/>
    <x v="1"/>
  </r>
  <r>
    <n v="40"/>
    <x v="1"/>
    <n v="20600"/>
    <s v="White"/>
    <x v="1"/>
    <x v="1"/>
  </r>
  <r>
    <n v="40"/>
    <x v="1"/>
    <n v="20800"/>
    <s v="White"/>
    <x v="1"/>
    <x v="1"/>
  </r>
  <r>
    <n v="40"/>
    <x v="1"/>
    <n v="20800"/>
    <s v="White"/>
    <x v="0"/>
    <x v="1"/>
  </r>
  <r>
    <n v="39"/>
    <x v="1"/>
    <n v="21000"/>
    <s v="White"/>
    <x v="1"/>
    <x v="1"/>
  </r>
  <r>
    <n v="40"/>
    <x v="1"/>
    <n v="21000"/>
    <s v="White"/>
    <x v="0"/>
    <x v="1"/>
  </r>
  <r>
    <n v="55"/>
    <x v="1"/>
    <n v="21000"/>
    <s v="White"/>
    <x v="1"/>
    <x v="1"/>
  </r>
  <r>
    <n v="60"/>
    <x v="1"/>
    <n v="21000"/>
    <s v="White"/>
    <x v="0"/>
    <x v="1"/>
  </r>
  <r>
    <n v="0"/>
    <x v="1"/>
    <n v="21000"/>
    <s v="White"/>
    <x v="1"/>
    <x v="1"/>
  </r>
  <r>
    <n v="40"/>
    <x v="1"/>
    <n v="21000"/>
    <s v="White"/>
    <x v="0"/>
    <x v="1"/>
  </r>
  <r>
    <n v="35"/>
    <x v="1"/>
    <n v="21000"/>
    <s v="White"/>
    <x v="0"/>
    <x v="1"/>
  </r>
  <r>
    <n v="40"/>
    <x v="1"/>
    <n v="21000"/>
    <s v="Black"/>
    <x v="0"/>
    <x v="1"/>
  </r>
  <r>
    <n v="40"/>
    <x v="1"/>
    <n v="21000"/>
    <s v="White"/>
    <x v="1"/>
    <x v="1"/>
  </r>
  <r>
    <n v="40"/>
    <x v="1"/>
    <n v="21000"/>
    <s v="White"/>
    <x v="1"/>
    <x v="1"/>
  </r>
  <r>
    <n v="40"/>
    <x v="1"/>
    <n v="21400"/>
    <s v="White"/>
    <x v="1"/>
    <x v="1"/>
  </r>
  <r>
    <n v="40"/>
    <x v="1"/>
    <n v="21502"/>
    <s v="White"/>
    <x v="0"/>
    <x v="1"/>
  </r>
  <r>
    <n v="50"/>
    <x v="1"/>
    <n v="22000"/>
    <s v="White"/>
    <x v="1"/>
    <x v="1"/>
  </r>
  <r>
    <n v="40"/>
    <x v="1"/>
    <n v="22000"/>
    <s v="White"/>
    <x v="1"/>
    <x v="1"/>
  </r>
  <r>
    <n v="40"/>
    <x v="1"/>
    <n v="22000"/>
    <s v="White"/>
    <x v="1"/>
    <x v="1"/>
  </r>
  <r>
    <n v="55"/>
    <x v="1"/>
    <n v="22000"/>
    <s v="White"/>
    <x v="1"/>
    <x v="1"/>
  </r>
  <r>
    <n v="50"/>
    <x v="1"/>
    <n v="22000"/>
    <s v="White"/>
    <x v="0"/>
    <x v="1"/>
  </r>
  <r>
    <n v="40"/>
    <x v="1"/>
    <n v="22000"/>
    <s v="White"/>
    <x v="0"/>
    <x v="1"/>
  </r>
  <r>
    <n v="47"/>
    <x v="1"/>
    <n v="22200"/>
    <s v="White"/>
    <x v="0"/>
    <x v="1"/>
  </r>
  <r>
    <n v="60"/>
    <x v="1"/>
    <n v="22500"/>
    <s v="White"/>
    <x v="1"/>
    <x v="1"/>
  </r>
  <r>
    <n v="36"/>
    <x v="1"/>
    <n v="22500"/>
    <s v="White"/>
    <x v="0"/>
    <x v="1"/>
  </r>
  <r>
    <n v="40"/>
    <x v="1"/>
    <n v="23000"/>
    <s v="White"/>
    <x v="1"/>
    <x v="1"/>
  </r>
  <r>
    <n v="40"/>
    <x v="1"/>
    <n v="23000"/>
    <s v="White"/>
    <x v="1"/>
    <x v="1"/>
  </r>
  <r>
    <n v="45"/>
    <x v="1"/>
    <n v="23000"/>
    <s v="White"/>
    <x v="1"/>
    <x v="1"/>
  </r>
  <r>
    <n v="40"/>
    <x v="1"/>
    <n v="23000"/>
    <s v="Black"/>
    <x v="1"/>
    <x v="1"/>
  </r>
  <r>
    <n v="40"/>
    <x v="1"/>
    <n v="23000"/>
    <s v="White"/>
    <x v="0"/>
    <x v="1"/>
  </r>
  <r>
    <n v="50"/>
    <x v="1"/>
    <n v="23000"/>
    <s v="White"/>
    <x v="0"/>
    <x v="1"/>
  </r>
  <r>
    <n v="40"/>
    <x v="1"/>
    <n v="23000"/>
    <s v="White"/>
    <x v="1"/>
    <x v="1"/>
  </r>
  <r>
    <n v="35"/>
    <x v="1"/>
    <n v="23000"/>
    <s v="White"/>
    <x v="0"/>
    <x v="1"/>
  </r>
  <r>
    <n v="40"/>
    <x v="1"/>
    <n v="23999"/>
    <s v="AsianPI"/>
    <x v="0"/>
    <x v="1"/>
  </r>
  <r>
    <n v="40"/>
    <x v="1"/>
    <n v="24000"/>
    <s v="Black"/>
    <x v="0"/>
    <x v="1"/>
  </r>
  <r>
    <n v="40"/>
    <x v="1"/>
    <n v="24000"/>
    <s v="White"/>
    <x v="0"/>
    <x v="1"/>
  </r>
  <r>
    <n v="45"/>
    <x v="1"/>
    <n v="24000"/>
    <s v="White"/>
    <x v="1"/>
    <x v="1"/>
  </r>
  <r>
    <n v="40"/>
    <x v="1"/>
    <n v="24000"/>
    <s v="White"/>
    <x v="0"/>
    <x v="1"/>
  </r>
  <r>
    <n v="43"/>
    <x v="1"/>
    <n v="24000"/>
    <s v="White"/>
    <x v="0"/>
    <x v="1"/>
  </r>
  <r>
    <n v="45"/>
    <x v="1"/>
    <n v="24000"/>
    <s v="White"/>
    <x v="1"/>
    <x v="1"/>
  </r>
  <r>
    <n v="50"/>
    <x v="1"/>
    <n v="24000"/>
    <s v="White"/>
    <x v="0"/>
    <x v="1"/>
  </r>
  <r>
    <n v="40"/>
    <x v="1"/>
    <n v="24000"/>
    <s v="Black"/>
    <x v="1"/>
    <x v="1"/>
  </r>
  <r>
    <n v="45"/>
    <x v="1"/>
    <n v="24000"/>
    <s v="White"/>
    <x v="0"/>
    <x v="1"/>
  </r>
  <r>
    <n v="40"/>
    <x v="1"/>
    <n v="24000"/>
    <s v="White"/>
    <x v="0"/>
    <x v="1"/>
  </r>
  <r>
    <n v="55"/>
    <x v="1"/>
    <n v="24000"/>
    <s v="White"/>
    <x v="1"/>
    <x v="1"/>
  </r>
  <r>
    <n v="40"/>
    <x v="1"/>
    <n v="24000"/>
    <s v="Black"/>
    <x v="0"/>
    <x v="1"/>
  </r>
  <r>
    <n v="40"/>
    <x v="1"/>
    <n v="24000"/>
    <s v="White"/>
    <x v="1"/>
    <x v="1"/>
  </r>
  <r>
    <n v="40"/>
    <x v="1"/>
    <n v="24000"/>
    <s v="White"/>
    <x v="0"/>
    <x v="1"/>
  </r>
  <r>
    <n v="40"/>
    <x v="1"/>
    <n v="24000"/>
    <s v="White"/>
    <x v="1"/>
    <x v="1"/>
  </r>
  <r>
    <n v="40"/>
    <x v="1"/>
    <n v="24200"/>
    <s v="White"/>
    <x v="0"/>
    <x v="1"/>
  </r>
  <r>
    <n v="42"/>
    <x v="1"/>
    <n v="24400"/>
    <s v="White"/>
    <x v="1"/>
    <x v="1"/>
  </r>
  <r>
    <n v="40"/>
    <x v="1"/>
    <n v="24400"/>
    <s v="White"/>
    <x v="0"/>
    <x v="1"/>
  </r>
  <r>
    <n v="40"/>
    <x v="1"/>
    <n v="24700"/>
    <s v="AsianPI"/>
    <x v="1"/>
    <x v="1"/>
  </r>
  <r>
    <n v="40"/>
    <x v="1"/>
    <n v="24960"/>
    <s v="Black"/>
    <x v="0"/>
    <x v="1"/>
  </r>
  <r>
    <n v="40"/>
    <x v="1"/>
    <n v="25000"/>
    <s v="White"/>
    <x v="1"/>
    <x v="1"/>
  </r>
  <r>
    <n v="40"/>
    <x v="1"/>
    <n v="25000"/>
    <s v="White"/>
    <x v="0"/>
    <x v="1"/>
  </r>
  <r>
    <n v="60"/>
    <x v="1"/>
    <n v="25000"/>
    <s v="White"/>
    <x v="1"/>
    <x v="1"/>
  </r>
  <r>
    <n v="40"/>
    <x v="1"/>
    <n v="25000"/>
    <s v="White"/>
    <x v="0"/>
    <x v="1"/>
  </r>
  <r>
    <n v="35"/>
    <x v="1"/>
    <n v="25000"/>
    <s v="White"/>
    <x v="1"/>
    <x v="1"/>
  </r>
  <r>
    <n v="40"/>
    <x v="1"/>
    <n v="25000"/>
    <s v="Black"/>
    <x v="1"/>
    <x v="1"/>
  </r>
  <r>
    <n v="40"/>
    <x v="1"/>
    <n v="25000"/>
    <s v="White"/>
    <x v="1"/>
    <x v="1"/>
  </r>
  <r>
    <n v="40"/>
    <x v="1"/>
    <n v="25000"/>
    <s v="Black"/>
    <x v="1"/>
    <x v="1"/>
  </r>
  <r>
    <n v="40"/>
    <x v="1"/>
    <n v="25000"/>
    <s v="White"/>
    <x v="0"/>
    <x v="1"/>
  </r>
  <r>
    <n v="40"/>
    <x v="1"/>
    <n v="25000"/>
    <s v="White"/>
    <x v="0"/>
    <x v="1"/>
  </r>
  <r>
    <n v="0"/>
    <x v="1"/>
    <n v="25000"/>
    <s v="White"/>
    <x v="0"/>
    <x v="1"/>
  </r>
  <r>
    <n v="40"/>
    <x v="1"/>
    <n v="25000"/>
    <s v="White"/>
    <x v="1"/>
    <x v="1"/>
  </r>
  <r>
    <n v="40"/>
    <x v="1"/>
    <n v="25000"/>
    <s v="AsianPI"/>
    <x v="0"/>
    <x v="1"/>
  </r>
  <r>
    <n v="40"/>
    <x v="1"/>
    <n v="25000"/>
    <s v="AsianPI"/>
    <x v="1"/>
    <x v="1"/>
  </r>
  <r>
    <n v="40"/>
    <x v="1"/>
    <n v="25000"/>
    <s v="AsianPI"/>
    <x v="1"/>
    <x v="1"/>
  </r>
  <r>
    <n v="40"/>
    <x v="1"/>
    <n v="25000"/>
    <s v="White"/>
    <x v="1"/>
    <x v="1"/>
  </r>
  <r>
    <n v="0"/>
    <x v="1"/>
    <n v="25000"/>
    <s v="Black"/>
    <x v="1"/>
    <x v="1"/>
  </r>
  <r>
    <n v="40"/>
    <x v="1"/>
    <n v="25000"/>
    <s v="Black"/>
    <x v="0"/>
    <x v="1"/>
  </r>
  <r>
    <n v="45"/>
    <x v="1"/>
    <n v="25000"/>
    <s v="White"/>
    <x v="1"/>
    <x v="1"/>
  </r>
  <r>
    <n v="0"/>
    <x v="1"/>
    <n v="25000"/>
    <s v="White"/>
    <x v="0"/>
    <x v="1"/>
  </r>
  <r>
    <n v="40"/>
    <x v="1"/>
    <n v="25000"/>
    <s v="White"/>
    <x v="0"/>
    <x v="1"/>
  </r>
  <r>
    <n v="0"/>
    <x v="1"/>
    <n v="25000"/>
    <s v="White"/>
    <x v="1"/>
    <x v="1"/>
  </r>
  <r>
    <n v="40"/>
    <x v="1"/>
    <n v="25000"/>
    <s v="White"/>
    <x v="0"/>
    <x v="1"/>
  </r>
  <r>
    <n v="40"/>
    <x v="1"/>
    <n v="25000"/>
    <s v="White"/>
    <x v="0"/>
    <x v="1"/>
  </r>
  <r>
    <n v="40"/>
    <x v="1"/>
    <n v="25000"/>
    <s v="White"/>
    <x v="0"/>
    <x v="1"/>
  </r>
  <r>
    <n v="40"/>
    <x v="1"/>
    <n v="25000"/>
    <s v="White"/>
    <x v="1"/>
    <x v="1"/>
  </r>
  <r>
    <n v="0"/>
    <x v="1"/>
    <n v="25000"/>
    <s v="White"/>
    <x v="0"/>
    <x v="1"/>
  </r>
  <r>
    <n v="40"/>
    <x v="1"/>
    <n v="25000"/>
    <s v="Black"/>
    <x v="1"/>
    <x v="1"/>
  </r>
  <r>
    <n v="40"/>
    <x v="1"/>
    <n v="25000"/>
    <s v="Black"/>
    <x v="0"/>
    <x v="1"/>
  </r>
  <r>
    <n v="50"/>
    <x v="1"/>
    <n v="25000"/>
    <s v="White"/>
    <x v="0"/>
    <x v="1"/>
  </r>
  <r>
    <n v="45"/>
    <x v="1"/>
    <n v="25000"/>
    <s v="White"/>
    <x v="1"/>
    <x v="1"/>
  </r>
  <r>
    <n v="40"/>
    <x v="1"/>
    <n v="25376"/>
    <s v="White"/>
    <x v="0"/>
    <x v="1"/>
  </r>
  <r>
    <n v="35"/>
    <x v="1"/>
    <n v="25500"/>
    <s v="White"/>
    <x v="0"/>
    <x v="1"/>
  </r>
  <r>
    <n v="40"/>
    <x v="1"/>
    <n v="25500"/>
    <s v="White"/>
    <x v="0"/>
    <x v="1"/>
  </r>
  <r>
    <n v="50"/>
    <x v="1"/>
    <n v="26000"/>
    <s v="Black"/>
    <x v="1"/>
    <x v="1"/>
  </r>
  <r>
    <n v="40"/>
    <x v="1"/>
    <n v="26000"/>
    <s v="White"/>
    <x v="0"/>
    <x v="1"/>
  </r>
  <r>
    <n v="40"/>
    <x v="1"/>
    <n v="26000"/>
    <s v="White"/>
    <x v="1"/>
    <x v="1"/>
  </r>
  <r>
    <n v="45"/>
    <x v="1"/>
    <n v="26000"/>
    <s v="Black"/>
    <x v="0"/>
    <x v="1"/>
  </r>
  <r>
    <n v="40"/>
    <x v="1"/>
    <n v="26000"/>
    <s v="White"/>
    <x v="0"/>
    <x v="1"/>
  </r>
  <r>
    <n v="38"/>
    <x v="1"/>
    <n v="26000"/>
    <s v="White"/>
    <x v="0"/>
    <x v="1"/>
  </r>
  <r>
    <n v="50"/>
    <x v="1"/>
    <n v="26000"/>
    <s v="White"/>
    <x v="1"/>
    <x v="1"/>
  </r>
  <r>
    <n v="40"/>
    <x v="1"/>
    <n v="26000"/>
    <s v="White"/>
    <x v="1"/>
    <x v="1"/>
  </r>
  <r>
    <n v="65"/>
    <x v="1"/>
    <n v="26000"/>
    <s v="White"/>
    <x v="1"/>
    <x v="1"/>
  </r>
  <r>
    <n v="40"/>
    <x v="1"/>
    <n v="26000"/>
    <s v="White"/>
    <x v="0"/>
    <x v="1"/>
  </r>
  <r>
    <n v="0"/>
    <x v="1"/>
    <n v="26000"/>
    <s v="White"/>
    <x v="1"/>
    <x v="1"/>
  </r>
  <r>
    <n v="63"/>
    <x v="1"/>
    <n v="26000"/>
    <s v="White"/>
    <x v="1"/>
    <x v="1"/>
  </r>
  <r>
    <n v="45"/>
    <x v="1"/>
    <n v="26000"/>
    <s v="White"/>
    <x v="1"/>
    <x v="1"/>
  </r>
  <r>
    <n v="50"/>
    <x v="1"/>
    <n v="26000"/>
    <s v="White"/>
    <x v="0"/>
    <x v="1"/>
  </r>
  <r>
    <n v="45"/>
    <x v="1"/>
    <n v="26000"/>
    <s v="White"/>
    <x v="1"/>
    <x v="1"/>
  </r>
  <r>
    <n v="40"/>
    <x v="1"/>
    <n v="26500"/>
    <s v="White"/>
    <x v="1"/>
    <x v="1"/>
  </r>
  <r>
    <n v="40"/>
    <x v="1"/>
    <n v="26700"/>
    <s v="White"/>
    <x v="0"/>
    <x v="1"/>
  </r>
  <r>
    <n v="40"/>
    <x v="1"/>
    <n v="26800"/>
    <s v="White"/>
    <x v="0"/>
    <x v="1"/>
  </r>
  <r>
    <n v="40"/>
    <x v="1"/>
    <n v="27000"/>
    <s v="White"/>
    <x v="0"/>
    <x v="1"/>
  </r>
  <r>
    <n v="40"/>
    <x v="1"/>
    <n v="27000"/>
    <s v="White"/>
    <x v="1"/>
    <x v="1"/>
  </r>
  <r>
    <n v="0"/>
    <x v="1"/>
    <n v="27000"/>
    <s v="White"/>
    <x v="1"/>
    <x v="1"/>
  </r>
  <r>
    <n v="0"/>
    <x v="1"/>
    <n v="27000"/>
    <s v="White"/>
    <x v="1"/>
    <x v="1"/>
  </r>
  <r>
    <n v="0"/>
    <x v="1"/>
    <n v="27000"/>
    <s v="Black"/>
    <x v="0"/>
    <x v="1"/>
  </r>
  <r>
    <n v="40"/>
    <x v="1"/>
    <n v="27000"/>
    <s v="White"/>
    <x v="1"/>
    <x v="1"/>
  </r>
  <r>
    <n v="40"/>
    <x v="1"/>
    <n v="27000"/>
    <s v="White"/>
    <x v="0"/>
    <x v="1"/>
  </r>
  <r>
    <n v="40"/>
    <x v="1"/>
    <n v="27000"/>
    <s v="White"/>
    <x v="0"/>
    <x v="1"/>
  </r>
  <r>
    <n v="40"/>
    <x v="1"/>
    <n v="27000"/>
    <s v="White"/>
    <x v="0"/>
    <x v="1"/>
  </r>
  <r>
    <n v="40"/>
    <x v="1"/>
    <n v="27000"/>
    <s v="White"/>
    <x v="1"/>
    <x v="1"/>
  </r>
  <r>
    <n v="40"/>
    <x v="1"/>
    <n v="27040"/>
    <s v="White"/>
    <x v="0"/>
    <x v="1"/>
  </r>
  <r>
    <n v="40"/>
    <x v="1"/>
    <n v="27085"/>
    <s v="White"/>
    <x v="1"/>
    <x v="1"/>
  </r>
  <r>
    <n v="45"/>
    <x v="1"/>
    <n v="27500"/>
    <s v="White"/>
    <x v="0"/>
    <x v="1"/>
  </r>
  <r>
    <n v="50"/>
    <x v="1"/>
    <n v="28000"/>
    <s v="White"/>
    <x v="0"/>
    <x v="1"/>
  </r>
  <r>
    <n v="45"/>
    <x v="1"/>
    <n v="28000"/>
    <s v="White"/>
    <x v="0"/>
    <x v="1"/>
  </r>
  <r>
    <n v="45"/>
    <x v="1"/>
    <n v="28000"/>
    <s v="White"/>
    <x v="1"/>
    <x v="1"/>
  </r>
  <r>
    <n v="40"/>
    <x v="1"/>
    <n v="28000"/>
    <s v="White"/>
    <x v="0"/>
    <x v="1"/>
  </r>
  <r>
    <n v="0"/>
    <x v="1"/>
    <n v="28000"/>
    <s v="White"/>
    <x v="0"/>
    <x v="1"/>
  </r>
  <r>
    <n v="40"/>
    <x v="1"/>
    <n v="28000"/>
    <s v="White"/>
    <x v="0"/>
    <x v="1"/>
  </r>
  <r>
    <n v="40"/>
    <x v="1"/>
    <n v="28000"/>
    <s v="White"/>
    <x v="0"/>
    <x v="1"/>
  </r>
  <r>
    <n v="40"/>
    <x v="1"/>
    <n v="28000"/>
    <s v="AsianPI"/>
    <x v="1"/>
    <x v="1"/>
  </r>
  <r>
    <n v="40"/>
    <x v="1"/>
    <n v="28000"/>
    <s v="White"/>
    <x v="0"/>
    <x v="1"/>
  </r>
  <r>
    <n v="70"/>
    <x v="1"/>
    <n v="28000"/>
    <s v="White"/>
    <x v="1"/>
    <x v="1"/>
  </r>
  <r>
    <n v="40"/>
    <x v="1"/>
    <n v="28000"/>
    <s v="White"/>
    <x v="0"/>
    <x v="1"/>
  </r>
  <r>
    <n v="0"/>
    <x v="1"/>
    <n v="28000"/>
    <s v="White"/>
    <x v="1"/>
    <x v="1"/>
  </r>
  <r>
    <n v="40"/>
    <x v="1"/>
    <n v="28000"/>
    <s v="White"/>
    <x v="0"/>
    <x v="1"/>
  </r>
  <r>
    <n v="40"/>
    <x v="1"/>
    <n v="28000"/>
    <s v="Black"/>
    <x v="0"/>
    <x v="1"/>
  </r>
  <r>
    <n v="40"/>
    <x v="1"/>
    <n v="28000"/>
    <s v="White"/>
    <x v="0"/>
    <x v="1"/>
  </r>
  <r>
    <n v="45"/>
    <x v="1"/>
    <n v="28000"/>
    <s v="White"/>
    <x v="0"/>
    <x v="1"/>
  </r>
  <r>
    <n v="70"/>
    <x v="1"/>
    <n v="28000"/>
    <s v="White"/>
    <x v="1"/>
    <x v="1"/>
  </r>
  <r>
    <n v="55"/>
    <x v="1"/>
    <n v="28000"/>
    <s v="AsianPI"/>
    <x v="1"/>
    <x v="1"/>
  </r>
  <r>
    <n v="40"/>
    <x v="1"/>
    <n v="28000"/>
    <s v="White"/>
    <x v="1"/>
    <x v="1"/>
  </r>
  <r>
    <n v="40"/>
    <x v="1"/>
    <n v="28000"/>
    <s v="White"/>
    <x v="1"/>
    <x v="1"/>
  </r>
  <r>
    <n v="62"/>
    <x v="1"/>
    <n v="28000"/>
    <s v="White"/>
    <x v="0"/>
    <x v="1"/>
  </r>
  <r>
    <n v="50"/>
    <x v="1"/>
    <n v="28500"/>
    <s v="White"/>
    <x v="0"/>
    <x v="1"/>
  </r>
  <r>
    <n v="45"/>
    <x v="1"/>
    <n v="28500"/>
    <s v="White"/>
    <x v="0"/>
    <x v="1"/>
  </r>
  <r>
    <n v="40"/>
    <x v="1"/>
    <n v="28500"/>
    <s v="AsianPI"/>
    <x v="0"/>
    <x v="1"/>
  </r>
  <r>
    <n v="40"/>
    <x v="1"/>
    <n v="28650"/>
    <s v="White"/>
    <x v="1"/>
    <x v="1"/>
  </r>
  <r>
    <n v="45"/>
    <x v="1"/>
    <n v="28674"/>
    <s v="White"/>
    <x v="0"/>
    <x v="1"/>
  </r>
  <r>
    <n v="38"/>
    <x v="1"/>
    <n v="28900"/>
    <s v="White"/>
    <x v="0"/>
    <x v="1"/>
  </r>
  <r>
    <n v="65"/>
    <x v="1"/>
    <n v="28990"/>
    <s v="White"/>
    <x v="1"/>
    <x v="1"/>
  </r>
  <r>
    <n v="50"/>
    <x v="1"/>
    <n v="29000"/>
    <s v="White"/>
    <x v="0"/>
    <x v="1"/>
  </r>
  <r>
    <n v="59"/>
    <x v="1"/>
    <n v="29000"/>
    <s v="White"/>
    <x v="0"/>
    <x v="1"/>
  </r>
  <r>
    <n v="45"/>
    <x v="1"/>
    <n v="29000"/>
    <s v="White"/>
    <x v="0"/>
    <x v="1"/>
  </r>
  <r>
    <n v="40"/>
    <x v="1"/>
    <n v="29000"/>
    <s v="White"/>
    <x v="0"/>
    <x v="1"/>
  </r>
  <r>
    <n v="40"/>
    <x v="1"/>
    <n v="29000"/>
    <s v="White"/>
    <x v="0"/>
    <x v="1"/>
  </r>
  <r>
    <n v="40"/>
    <x v="1"/>
    <n v="29000"/>
    <s v="White"/>
    <x v="0"/>
    <x v="1"/>
  </r>
  <r>
    <n v="42"/>
    <x v="1"/>
    <n v="29000"/>
    <s v="White"/>
    <x v="0"/>
    <x v="1"/>
  </r>
  <r>
    <n v="48"/>
    <x v="1"/>
    <n v="29000"/>
    <s v="White"/>
    <x v="1"/>
    <x v="1"/>
  </r>
  <r>
    <n v="40"/>
    <x v="1"/>
    <n v="29000"/>
    <s v="White"/>
    <x v="1"/>
    <x v="1"/>
  </r>
  <r>
    <n v="45"/>
    <x v="1"/>
    <n v="29000"/>
    <s v="White"/>
    <x v="0"/>
    <x v="1"/>
  </r>
  <r>
    <n v="57"/>
    <x v="1"/>
    <n v="29100"/>
    <s v="White"/>
    <x v="1"/>
    <x v="1"/>
  </r>
  <r>
    <n v="40"/>
    <x v="1"/>
    <n v="29200"/>
    <s v="White"/>
    <x v="1"/>
    <x v="1"/>
  </r>
  <r>
    <n v="45"/>
    <x v="1"/>
    <n v="29213"/>
    <s v="White"/>
    <x v="1"/>
    <x v="1"/>
  </r>
  <r>
    <n v="50"/>
    <x v="1"/>
    <n v="29580"/>
    <s v="White"/>
    <x v="0"/>
    <x v="1"/>
  </r>
  <r>
    <n v="40"/>
    <x v="1"/>
    <n v="30000"/>
    <s v="White"/>
    <x v="0"/>
    <x v="1"/>
  </r>
  <r>
    <n v="40"/>
    <x v="1"/>
    <n v="30000"/>
    <s v="White"/>
    <x v="1"/>
    <x v="1"/>
  </r>
  <r>
    <n v="40"/>
    <x v="1"/>
    <n v="30000"/>
    <s v="White"/>
    <x v="0"/>
    <x v="1"/>
  </r>
  <r>
    <n v="60"/>
    <x v="1"/>
    <n v="30000"/>
    <s v="White"/>
    <x v="1"/>
    <x v="1"/>
  </r>
  <r>
    <n v="40"/>
    <x v="1"/>
    <n v="30000"/>
    <s v="AsianPI"/>
    <x v="1"/>
    <x v="1"/>
  </r>
  <r>
    <n v="40"/>
    <x v="1"/>
    <n v="30000"/>
    <s v="AsianPI"/>
    <x v="0"/>
    <x v="1"/>
  </r>
  <r>
    <n v="40"/>
    <x v="1"/>
    <n v="30000"/>
    <s v="White"/>
    <x v="0"/>
    <x v="1"/>
  </r>
  <r>
    <n v="40"/>
    <x v="1"/>
    <n v="30000"/>
    <s v="White"/>
    <x v="1"/>
    <x v="1"/>
  </r>
  <r>
    <n v="40"/>
    <x v="1"/>
    <n v="30000"/>
    <s v="White"/>
    <x v="1"/>
    <x v="1"/>
  </r>
  <r>
    <n v="40"/>
    <x v="1"/>
    <n v="30000"/>
    <s v="White"/>
    <x v="0"/>
    <x v="1"/>
  </r>
  <r>
    <n v="40"/>
    <x v="1"/>
    <n v="30000"/>
    <s v="White"/>
    <x v="1"/>
    <x v="1"/>
  </r>
  <r>
    <n v="40"/>
    <x v="1"/>
    <n v="30000"/>
    <s v="White"/>
    <x v="0"/>
    <x v="1"/>
  </r>
  <r>
    <n v="60"/>
    <x v="1"/>
    <n v="30000"/>
    <s v="White"/>
    <x v="1"/>
    <x v="1"/>
  </r>
  <r>
    <n v="40"/>
    <x v="1"/>
    <n v="30000"/>
    <s v="White"/>
    <x v="1"/>
    <x v="1"/>
  </r>
  <r>
    <n v="90"/>
    <x v="1"/>
    <n v="30000"/>
    <s v="White"/>
    <x v="0"/>
    <x v="1"/>
  </r>
  <r>
    <n v="45"/>
    <x v="1"/>
    <n v="30000"/>
    <s v="Black"/>
    <x v="0"/>
    <x v="1"/>
  </r>
  <r>
    <n v="60"/>
    <x v="1"/>
    <n v="30000"/>
    <s v="White"/>
    <x v="1"/>
    <x v="1"/>
  </r>
  <r>
    <n v="40"/>
    <x v="1"/>
    <n v="30000"/>
    <s v="White"/>
    <x v="0"/>
    <x v="1"/>
  </r>
  <r>
    <n v="40"/>
    <x v="1"/>
    <n v="30000"/>
    <s v="White"/>
    <x v="0"/>
    <x v="1"/>
  </r>
  <r>
    <n v="55"/>
    <x v="1"/>
    <n v="30000"/>
    <s v="White"/>
    <x v="1"/>
    <x v="1"/>
  </r>
  <r>
    <n v="50"/>
    <x v="1"/>
    <n v="30000"/>
    <s v="White"/>
    <x v="0"/>
    <x v="1"/>
  </r>
  <r>
    <n v="55"/>
    <x v="1"/>
    <n v="30000"/>
    <s v="White"/>
    <x v="1"/>
    <x v="1"/>
  </r>
  <r>
    <n v="50"/>
    <x v="1"/>
    <n v="30000"/>
    <s v="White"/>
    <x v="1"/>
    <x v="1"/>
  </r>
  <r>
    <n v="50"/>
    <x v="1"/>
    <n v="30000"/>
    <s v="Black"/>
    <x v="0"/>
    <x v="1"/>
  </r>
  <r>
    <n v="40"/>
    <x v="1"/>
    <n v="30000"/>
    <s v="White"/>
    <x v="0"/>
    <x v="1"/>
  </r>
  <r>
    <n v="45"/>
    <x v="1"/>
    <n v="30000"/>
    <s v="White"/>
    <x v="1"/>
    <x v="1"/>
  </r>
  <r>
    <n v="40"/>
    <x v="1"/>
    <n v="30000"/>
    <s v="White"/>
    <x v="1"/>
    <x v="1"/>
  </r>
  <r>
    <n v="45"/>
    <x v="1"/>
    <n v="30000"/>
    <s v="White"/>
    <x v="1"/>
    <x v="1"/>
  </r>
  <r>
    <n v="65"/>
    <x v="1"/>
    <n v="30000"/>
    <s v="White"/>
    <x v="1"/>
    <x v="1"/>
  </r>
  <r>
    <n v="40"/>
    <x v="1"/>
    <n v="30000"/>
    <s v="White"/>
    <x v="0"/>
    <x v="1"/>
  </r>
  <r>
    <n v="40"/>
    <x v="1"/>
    <n v="30000"/>
    <s v="White"/>
    <x v="0"/>
    <x v="1"/>
  </r>
  <r>
    <n v="40"/>
    <x v="1"/>
    <n v="30000"/>
    <s v="White"/>
    <x v="0"/>
    <x v="1"/>
  </r>
  <r>
    <n v="40"/>
    <x v="1"/>
    <n v="30000"/>
    <s v="White"/>
    <x v="0"/>
    <x v="1"/>
  </r>
  <r>
    <n v="80"/>
    <x v="1"/>
    <n v="30000"/>
    <s v="Black"/>
    <x v="1"/>
    <x v="1"/>
  </r>
  <r>
    <n v="40"/>
    <x v="1"/>
    <n v="30000"/>
    <s v="AsianPI"/>
    <x v="0"/>
    <x v="1"/>
  </r>
  <r>
    <n v="40"/>
    <x v="1"/>
    <n v="30000"/>
    <s v="White"/>
    <x v="1"/>
    <x v="1"/>
  </r>
  <r>
    <n v="42"/>
    <x v="1"/>
    <n v="30000"/>
    <s v="White"/>
    <x v="0"/>
    <x v="1"/>
  </r>
  <r>
    <n v="40"/>
    <x v="1"/>
    <n v="30000"/>
    <s v="White"/>
    <x v="1"/>
    <x v="1"/>
  </r>
  <r>
    <n v="40"/>
    <x v="1"/>
    <n v="30000"/>
    <s v="White"/>
    <x v="1"/>
    <x v="1"/>
  </r>
  <r>
    <n v="40"/>
    <x v="1"/>
    <n v="30000"/>
    <s v="Black"/>
    <x v="0"/>
    <x v="1"/>
  </r>
  <r>
    <n v="50"/>
    <x v="1"/>
    <n v="30000"/>
    <s v="White"/>
    <x v="1"/>
    <x v="1"/>
  </r>
  <r>
    <n v="40"/>
    <x v="1"/>
    <n v="30000"/>
    <s v="White"/>
    <x v="1"/>
    <x v="1"/>
  </r>
  <r>
    <n v="40"/>
    <x v="1"/>
    <n v="30000"/>
    <s v="White"/>
    <x v="1"/>
    <x v="1"/>
  </r>
  <r>
    <n v="46"/>
    <x v="1"/>
    <n v="30000"/>
    <s v="White"/>
    <x v="1"/>
    <x v="1"/>
  </r>
  <r>
    <n v="40"/>
    <x v="1"/>
    <n v="30000"/>
    <s v="White"/>
    <x v="0"/>
    <x v="1"/>
  </r>
  <r>
    <n v="40"/>
    <x v="1"/>
    <n v="30000"/>
    <s v="White"/>
    <x v="0"/>
    <x v="1"/>
  </r>
  <r>
    <n v="40"/>
    <x v="1"/>
    <n v="30000"/>
    <s v="White"/>
    <x v="0"/>
    <x v="1"/>
  </r>
  <r>
    <n v="40"/>
    <x v="1"/>
    <n v="30000"/>
    <s v="White"/>
    <x v="1"/>
    <x v="1"/>
  </r>
  <r>
    <n v="40"/>
    <x v="1"/>
    <n v="30000"/>
    <s v="White"/>
    <x v="0"/>
    <x v="1"/>
  </r>
  <r>
    <n v="40"/>
    <x v="1"/>
    <n v="30000"/>
    <s v="White"/>
    <x v="0"/>
    <x v="1"/>
  </r>
  <r>
    <n v="60"/>
    <x v="1"/>
    <n v="30000"/>
    <s v="Black"/>
    <x v="0"/>
    <x v="1"/>
  </r>
  <r>
    <n v="40"/>
    <x v="1"/>
    <n v="30000"/>
    <s v="White"/>
    <x v="1"/>
    <x v="1"/>
  </r>
  <r>
    <n v="50"/>
    <x v="1"/>
    <n v="30000"/>
    <s v="White"/>
    <x v="0"/>
    <x v="1"/>
  </r>
  <r>
    <n v="0"/>
    <x v="1"/>
    <n v="30500"/>
    <s v="White"/>
    <x v="0"/>
    <x v="1"/>
  </r>
  <r>
    <n v="0"/>
    <x v="1"/>
    <n v="30870"/>
    <s v="White"/>
    <x v="1"/>
    <x v="1"/>
  </r>
  <r>
    <n v="40"/>
    <x v="1"/>
    <n v="31000"/>
    <s v="White"/>
    <x v="0"/>
    <x v="1"/>
  </r>
  <r>
    <n v="40"/>
    <x v="1"/>
    <n v="31000"/>
    <s v="White"/>
    <x v="0"/>
    <x v="1"/>
  </r>
  <r>
    <n v="65"/>
    <x v="1"/>
    <n v="31000"/>
    <s v="White"/>
    <x v="1"/>
    <x v="1"/>
  </r>
  <r>
    <n v="40"/>
    <x v="1"/>
    <n v="31000"/>
    <s v="White"/>
    <x v="0"/>
    <x v="1"/>
  </r>
  <r>
    <n v="40"/>
    <x v="1"/>
    <n v="31000"/>
    <s v="White"/>
    <x v="1"/>
    <x v="1"/>
  </r>
  <r>
    <n v="70"/>
    <x v="1"/>
    <n v="31000"/>
    <s v="White"/>
    <x v="1"/>
    <x v="1"/>
  </r>
  <r>
    <n v="50"/>
    <x v="1"/>
    <n v="31200"/>
    <s v="White"/>
    <x v="0"/>
    <x v="1"/>
  </r>
  <r>
    <n v="40"/>
    <x v="1"/>
    <n v="31200"/>
    <s v="AsianPI"/>
    <x v="1"/>
    <x v="1"/>
  </r>
  <r>
    <n v="40"/>
    <x v="1"/>
    <n v="31200"/>
    <s v="AsianPI"/>
    <x v="0"/>
    <x v="1"/>
  </r>
  <r>
    <n v="60"/>
    <x v="1"/>
    <n v="31500"/>
    <s v="White"/>
    <x v="0"/>
    <x v="1"/>
  </r>
  <r>
    <n v="60"/>
    <x v="1"/>
    <n v="31579"/>
    <s v="White"/>
    <x v="1"/>
    <x v="1"/>
  </r>
  <r>
    <n v="40"/>
    <x v="1"/>
    <n v="31600"/>
    <s v="White"/>
    <x v="0"/>
    <x v="1"/>
  </r>
  <r>
    <n v="40"/>
    <x v="1"/>
    <n v="32000"/>
    <s v="White"/>
    <x v="0"/>
    <x v="1"/>
  </r>
  <r>
    <n v="40"/>
    <x v="1"/>
    <n v="32000"/>
    <s v="White"/>
    <x v="0"/>
    <x v="1"/>
  </r>
  <r>
    <n v="40"/>
    <x v="1"/>
    <n v="32000"/>
    <s v="White"/>
    <x v="0"/>
    <x v="1"/>
  </r>
  <r>
    <n v="40"/>
    <x v="1"/>
    <n v="32000"/>
    <s v="White"/>
    <x v="0"/>
    <x v="1"/>
  </r>
  <r>
    <n v="0"/>
    <x v="1"/>
    <n v="32000"/>
    <s v="White"/>
    <x v="1"/>
    <x v="1"/>
  </r>
  <r>
    <n v="40"/>
    <x v="1"/>
    <n v="32000"/>
    <s v="White"/>
    <x v="0"/>
    <x v="1"/>
  </r>
  <r>
    <n v="58"/>
    <x v="1"/>
    <n v="32000"/>
    <s v="White"/>
    <x v="1"/>
    <x v="1"/>
  </r>
  <r>
    <n v="60"/>
    <x v="1"/>
    <n v="32000"/>
    <s v="White"/>
    <x v="0"/>
    <x v="1"/>
  </r>
  <r>
    <n v="37"/>
    <x v="1"/>
    <n v="32000"/>
    <s v="Black"/>
    <x v="0"/>
    <x v="1"/>
  </r>
  <r>
    <n v="40"/>
    <x v="1"/>
    <n v="32000"/>
    <s v="White"/>
    <x v="0"/>
    <x v="1"/>
  </r>
  <r>
    <n v="40"/>
    <x v="1"/>
    <n v="32000"/>
    <s v="Black"/>
    <x v="0"/>
    <x v="1"/>
  </r>
  <r>
    <n v="50"/>
    <x v="1"/>
    <n v="32000"/>
    <s v="White"/>
    <x v="0"/>
    <x v="1"/>
  </r>
  <r>
    <n v="40"/>
    <x v="1"/>
    <n v="32000"/>
    <s v="White"/>
    <x v="0"/>
    <x v="1"/>
  </r>
  <r>
    <n v="40"/>
    <x v="1"/>
    <n v="32000"/>
    <s v="White"/>
    <x v="1"/>
    <x v="1"/>
  </r>
  <r>
    <n v="40"/>
    <x v="1"/>
    <n v="32000"/>
    <s v="White"/>
    <x v="0"/>
    <x v="1"/>
  </r>
  <r>
    <n v="40"/>
    <x v="1"/>
    <n v="32000"/>
    <s v="White"/>
    <x v="0"/>
    <x v="1"/>
  </r>
  <r>
    <n v="40"/>
    <x v="1"/>
    <n v="32000"/>
    <s v="White"/>
    <x v="0"/>
    <x v="1"/>
  </r>
  <r>
    <n v="36"/>
    <x v="1"/>
    <n v="32000"/>
    <s v="White"/>
    <x v="0"/>
    <x v="1"/>
  </r>
  <r>
    <n v="40"/>
    <x v="1"/>
    <n v="32000"/>
    <s v="White"/>
    <x v="0"/>
    <x v="1"/>
  </r>
  <r>
    <n v="45"/>
    <x v="1"/>
    <n v="32000"/>
    <s v="White"/>
    <x v="0"/>
    <x v="1"/>
  </r>
  <r>
    <n v="40"/>
    <x v="1"/>
    <n v="32000"/>
    <s v="White"/>
    <x v="0"/>
    <x v="1"/>
  </r>
  <r>
    <n v="40"/>
    <x v="1"/>
    <n v="32000"/>
    <s v="White"/>
    <x v="0"/>
    <x v="1"/>
  </r>
  <r>
    <n v="40"/>
    <x v="1"/>
    <n v="32305"/>
    <s v="White"/>
    <x v="1"/>
    <x v="1"/>
  </r>
  <r>
    <n v="45"/>
    <x v="1"/>
    <n v="32444"/>
    <s v="White"/>
    <x v="1"/>
    <x v="1"/>
  </r>
  <r>
    <n v="45"/>
    <x v="1"/>
    <n v="32500"/>
    <s v="White"/>
    <x v="0"/>
    <x v="1"/>
  </r>
  <r>
    <n v="38"/>
    <x v="1"/>
    <n v="32545"/>
    <s v="White"/>
    <x v="1"/>
    <x v="1"/>
  </r>
  <r>
    <n v="58"/>
    <x v="1"/>
    <n v="32547"/>
    <s v="White"/>
    <x v="1"/>
    <x v="1"/>
  </r>
  <r>
    <n v="48"/>
    <x v="1"/>
    <n v="32600"/>
    <s v="White"/>
    <x v="1"/>
    <x v="1"/>
  </r>
  <r>
    <n v="40"/>
    <x v="1"/>
    <n v="33000"/>
    <s v="White"/>
    <x v="0"/>
    <x v="1"/>
  </r>
  <r>
    <n v="50"/>
    <x v="1"/>
    <n v="33000"/>
    <s v="White"/>
    <x v="0"/>
    <x v="1"/>
  </r>
  <r>
    <n v="40"/>
    <x v="1"/>
    <n v="33000"/>
    <s v="Black"/>
    <x v="0"/>
    <x v="1"/>
  </r>
  <r>
    <n v="45"/>
    <x v="1"/>
    <n v="33000"/>
    <s v="White"/>
    <x v="1"/>
    <x v="1"/>
  </r>
  <r>
    <n v="48"/>
    <x v="1"/>
    <n v="33000"/>
    <s v="White"/>
    <x v="0"/>
    <x v="1"/>
  </r>
  <r>
    <n v="52"/>
    <x v="1"/>
    <n v="33000"/>
    <s v="White"/>
    <x v="0"/>
    <x v="1"/>
  </r>
  <r>
    <n v="50"/>
    <x v="1"/>
    <n v="33000"/>
    <s v="Black"/>
    <x v="0"/>
    <x v="1"/>
  </r>
  <r>
    <n v="60"/>
    <x v="1"/>
    <n v="33000"/>
    <s v="White"/>
    <x v="1"/>
    <x v="1"/>
  </r>
  <r>
    <n v="60"/>
    <x v="1"/>
    <n v="33000"/>
    <s v="White"/>
    <x v="0"/>
    <x v="1"/>
  </r>
  <r>
    <n v="40"/>
    <x v="1"/>
    <n v="33000"/>
    <s v="White"/>
    <x v="0"/>
    <x v="1"/>
  </r>
  <r>
    <n v="45"/>
    <x v="1"/>
    <n v="33000"/>
    <s v="White"/>
    <x v="1"/>
    <x v="1"/>
  </r>
  <r>
    <n v="45"/>
    <x v="1"/>
    <n v="33125"/>
    <s v="White"/>
    <x v="0"/>
    <x v="1"/>
  </r>
  <r>
    <n v="40"/>
    <x v="1"/>
    <n v="33200"/>
    <s v="IndEsk"/>
    <x v="0"/>
    <x v="1"/>
  </r>
  <r>
    <n v="0"/>
    <x v="1"/>
    <n v="33464"/>
    <s v="White"/>
    <x v="1"/>
    <x v="1"/>
  </r>
  <r>
    <n v="40"/>
    <x v="1"/>
    <n v="33500"/>
    <s v="White"/>
    <x v="0"/>
    <x v="1"/>
  </r>
  <r>
    <n v="44"/>
    <x v="1"/>
    <n v="34000"/>
    <s v="White"/>
    <x v="1"/>
    <x v="1"/>
  </r>
  <r>
    <n v="40"/>
    <x v="1"/>
    <n v="34000"/>
    <s v="White"/>
    <x v="1"/>
    <x v="1"/>
  </r>
  <r>
    <n v="40"/>
    <x v="1"/>
    <n v="34000"/>
    <s v="White"/>
    <x v="1"/>
    <x v="1"/>
  </r>
  <r>
    <n v="40"/>
    <x v="1"/>
    <n v="34000"/>
    <s v="White"/>
    <x v="1"/>
    <x v="1"/>
  </r>
  <r>
    <n v="40"/>
    <x v="1"/>
    <n v="34000"/>
    <s v="White"/>
    <x v="0"/>
    <x v="1"/>
  </r>
  <r>
    <n v="38"/>
    <x v="1"/>
    <n v="34000"/>
    <s v="White"/>
    <x v="0"/>
    <x v="1"/>
  </r>
  <r>
    <n v="40"/>
    <x v="1"/>
    <n v="34000"/>
    <s v="White"/>
    <x v="1"/>
    <x v="1"/>
  </r>
  <r>
    <n v="0"/>
    <x v="1"/>
    <n v="34000"/>
    <s v="White"/>
    <x v="1"/>
    <x v="1"/>
  </r>
  <r>
    <n v="68"/>
    <x v="1"/>
    <n v="34000"/>
    <s v="Black"/>
    <x v="1"/>
    <x v="1"/>
  </r>
  <r>
    <n v="40"/>
    <x v="1"/>
    <n v="34000"/>
    <s v="White"/>
    <x v="0"/>
    <x v="1"/>
  </r>
  <r>
    <n v="40"/>
    <x v="1"/>
    <n v="34000"/>
    <s v="White"/>
    <x v="1"/>
    <x v="1"/>
  </r>
  <r>
    <n v="40"/>
    <x v="1"/>
    <n v="34000"/>
    <s v="Black"/>
    <x v="0"/>
    <x v="1"/>
  </r>
  <r>
    <n v="40"/>
    <x v="1"/>
    <n v="34000"/>
    <s v="White"/>
    <x v="0"/>
    <x v="1"/>
  </r>
  <r>
    <n v="40"/>
    <x v="1"/>
    <n v="34000"/>
    <s v="White"/>
    <x v="1"/>
    <x v="1"/>
  </r>
  <r>
    <n v="40"/>
    <x v="1"/>
    <n v="34500"/>
    <s v="White"/>
    <x v="1"/>
    <x v="1"/>
  </r>
  <r>
    <n v="45"/>
    <x v="1"/>
    <n v="35000"/>
    <s v="White"/>
    <x v="1"/>
    <x v="1"/>
  </r>
  <r>
    <n v="60"/>
    <x v="1"/>
    <n v="35000"/>
    <s v="White"/>
    <x v="0"/>
    <x v="1"/>
  </r>
  <r>
    <n v="40"/>
    <x v="1"/>
    <n v="35000"/>
    <s v="Black"/>
    <x v="0"/>
    <x v="1"/>
  </r>
  <r>
    <n v="60"/>
    <x v="1"/>
    <n v="35000"/>
    <s v="White"/>
    <x v="0"/>
    <x v="1"/>
  </r>
  <r>
    <n v="40"/>
    <x v="1"/>
    <n v="35000"/>
    <s v="White"/>
    <x v="0"/>
    <x v="1"/>
  </r>
  <r>
    <n v="55"/>
    <x v="1"/>
    <n v="35000"/>
    <s v="White"/>
    <x v="0"/>
    <x v="1"/>
  </r>
  <r>
    <n v="40"/>
    <x v="1"/>
    <n v="35000"/>
    <s v="White"/>
    <x v="1"/>
    <x v="1"/>
  </r>
  <r>
    <n v="45"/>
    <x v="1"/>
    <n v="35000"/>
    <s v="White"/>
    <x v="1"/>
    <x v="1"/>
  </r>
  <r>
    <n v="60"/>
    <x v="1"/>
    <n v="35000"/>
    <s v="White"/>
    <x v="1"/>
    <x v="1"/>
  </r>
  <r>
    <n v="50"/>
    <x v="1"/>
    <n v="35000"/>
    <s v="White"/>
    <x v="1"/>
    <x v="1"/>
  </r>
  <r>
    <n v="45"/>
    <x v="1"/>
    <n v="35000"/>
    <s v="White"/>
    <x v="1"/>
    <x v="1"/>
  </r>
  <r>
    <n v="40"/>
    <x v="1"/>
    <n v="35000"/>
    <s v="Black"/>
    <x v="0"/>
    <x v="1"/>
  </r>
  <r>
    <n v="40"/>
    <x v="1"/>
    <n v="35000"/>
    <s v="White"/>
    <x v="0"/>
    <x v="1"/>
  </r>
  <r>
    <n v="50"/>
    <x v="1"/>
    <n v="35000"/>
    <s v="White"/>
    <x v="1"/>
    <x v="1"/>
  </r>
  <r>
    <n v="40"/>
    <x v="1"/>
    <n v="35000"/>
    <s v="White"/>
    <x v="1"/>
    <x v="1"/>
  </r>
  <r>
    <n v="38"/>
    <x v="1"/>
    <n v="35000"/>
    <s v="White"/>
    <x v="0"/>
    <x v="1"/>
  </r>
  <r>
    <n v="38"/>
    <x v="1"/>
    <n v="35000"/>
    <s v="White"/>
    <x v="1"/>
    <x v="1"/>
  </r>
  <r>
    <n v="50"/>
    <x v="1"/>
    <n v="35000"/>
    <s v="White"/>
    <x v="1"/>
    <x v="1"/>
  </r>
  <r>
    <n v="45"/>
    <x v="1"/>
    <n v="35000"/>
    <s v="White"/>
    <x v="0"/>
    <x v="1"/>
  </r>
  <r>
    <n v="40"/>
    <x v="1"/>
    <n v="35000"/>
    <s v="White"/>
    <x v="0"/>
    <x v="1"/>
  </r>
  <r>
    <n v="0"/>
    <x v="1"/>
    <n v="35000"/>
    <s v="White"/>
    <x v="0"/>
    <x v="1"/>
  </r>
  <r>
    <n v="43"/>
    <x v="1"/>
    <n v="35000"/>
    <s v="White"/>
    <x v="1"/>
    <x v="1"/>
  </r>
  <r>
    <n v="40"/>
    <x v="1"/>
    <n v="35000"/>
    <s v="White"/>
    <x v="1"/>
    <x v="1"/>
  </r>
  <r>
    <n v="50"/>
    <x v="1"/>
    <n v="35000"/>
    <s v="Black"/>
    <x v="1"/>
    <x v="1"/>
  </r>
  <r>
    <n v="40"/>
    <x v="1"/>
    <n v="35000"/>
    <s v="White"/>
    <x v="0"/>
    <x v="1"/>
  </r>
  <r>
    <n v="0"/>
    <x v="1"/>
    <n v="35000"/>
    <s v="White"/>
    <x v="0"/>
    <x v="1"/>
  </r>
  <r>
    <n v="80"/>
    <x v="1"/>
    <n v="35000"/>
    <s v="White"/>
    <x v="1"/>
    <x v="1"/>
  </r>
  <r>
    <n v="45"/>
    <x v="1"/>
    <n v="35000"/>
    <s v="White"/>
    <x v="1"/>
    <x v="1"/>
  </r>
  <r>
    <n v="45"/>
    <x v="1"/>
    <n v="35000"/>
    <s v="White"/>
    <x v="1"/>
    <x v="1"/>
  </r>
  <r>
    <n v="50"/>
    <x v="1"/>
    <n v="35000"/>
    <s v="White"/>
    <x v="0"/>
    <x v="1"/>
  </r>
  <r>
    <n v="42"/>
    <x v="1"/>
    <n v="35000"/>
    <s v="White"/>
    <x v="0"/>
    <x v="1"/>
  </r>
  <r>
    <n v="40"/>
    <x v="1"/>
    <n v="35000"/>
    <s v="White"/>
    <x v="0"/>
    <x v="1"/>
  </r>
  <r>
    <n v="60"/>
    <x v="1"/>
    <n v="35000"/>
    <s v="White"/>
    <x v="1"/>
    <x v="1"/>
  </r>
  <r>
    <n v="40"/>
    <x v="1"/>
    <n v="35300"/>
    <s v="White"/>
    <x v="1"/>
    <x v="1"/>
  </r>
  <r>
    <n v="46"/>
    <x v="1"/>
    <n v="35583"/>
    <s v="White"/>
    <x v="0"/>
    <x v="1"/>
  </r>
  <r>
    <n v="40"/>
    <x v="1"/>
    <n v="35600"/>
    <s v="White"/>
    <x v="1"/>
    <x v="1"/>
  </r>
  <r>
    <n v="50"/>
    <x v="1"/>
    <n v="35932"/>
    <s v="White"/>
    <x v="1"/>
    <x v="1"/>
  </r>
  <r>
    <n v="40"/>
    <x v="1"/>
    <n v="35999"/>
    <s v="White"/>
    <x v="0"/>
    <x v="1"/>
  </r>
  <r>
    <n v="40"/>
    <x v="1"/>
    <n v="36000"/>
    <s v="White"/>
    <x v="0"/>
    <x v="1"/>
  </r>
  <r>
    <n v="40"/>
    <x v="1"/>
    <n v="36000"/>
    <s v="AsianPI"/>
    <x v="1"/>
    <x v="1"/>
  </r>
  <r>
    <n v="45"/>
    <x v="1"/>
    <n v="36000"/>
    <s v="White"/>
    <x v="0"/>
    <x v="1"/>
  </r>
  <r>
    <n v="38"/>
    <x v="1"/>
    <n v="36000"/>
    <s v="White"/>
    <x v="0"/>
    <x v="1"/>
  </r>
  <r>
    <n v="40"/>
    <x v="1"/>
    <n v="36000"/>
    <s v="White"/>
    <x v="0"/>
    <x v="1"/>
  </r>
  <r>
    <n v="40"/>
    <x v="1"/>
    <n v="36000"/>
    <s v="White"/>
    <x v="0"/>
    <x v="1"/>
  </r>
  <r>
    <n v="45"/>
    <x v="1"/>
    <n v="36000"/>
    <s v="White"/>
    <x v="0"/>
    <x v="1"/>
  </r>
  <r>
    <n v="80"/>
    <x v="1"/>
    <n v="36000"/>
    <s v="White"/>
    <x v="1"/>
    <x v="1"/>
  </r>
  <r>
    <n v="40"/>
    <x v="1"/>
    <n v="36000"/>
    <s v="White"/>
    <x v="1"/>
    <x v="1"/>
  </r>
  <r>
    <n v="40"/>
    <x v="1"/>
    <n v="36000"/>
    <s v="White"/>
    <x v="0"/>
    <x v="1"/>
  </r>
  <r>
    <n v="50"/>
    <x v="1"/>
    <n v="36000"/>
    <s v="White"/>
    <x v="1"/>
    <x v="1"/>
  </r>
  <r>
    <n v="40"/>
    <x v="1"/>
    <n v="36000"/>
    <s v="White"/>
    <x v="1"/>
    <x v="1"/>
  </r>
  <r>
    <n v="45"/>
    <x v="1"/>
    <n v="36000"/>
    <s v="White"/>
    <x v="0"/>
    <x v="1"/>
  </r>
  <r>
    <n v="40"/>
    <x v="1"/>
    <n v="36000"/>
    <s v="White"/>
    <x v="0"/>
    <x v="1"/>
  </r>
  <r>
    <n v="45"/>
    <x v="1"/>
    <n v="36000"/>
    <s v="White"/>
    <x v="1"/>
    <x v="1"/>
  </r>
  <r>
    <n v="40"/>
    <x v="1"/>
    <n v="36400"/>
    <s v="White"/>
    <x v="1"/>
    <x v="1"/>
  </r>
  <r>
    <n v="60"/>
    <x v="1"/>
    <n v="36400"/>
    <s v="White"/>
    <x v="1"/>
    <x v="1"/>
  </r>
  <r>
    <n v="70"/>
    <x v="1"/>
    <n v="36500"/>
    <s v="White"/>
    <x v="1"/>
    <x v="1"/>
  </r>
  <r>
    <n v="38"/>
    <x v="1"/>
    <n v="36525"/>
    <s v="White"/>
    <x v="1"/>
    <x v="1"/>
  </r>
  <r>
    <n v="40"/>
    <x v="1"/>
    <n v="36800"/>
    <s v="White"/>
    <x v="0"/>
    <x v="1"/>
  </r>
  <r>
    <n v="40"/>
    <x v="1"/>
    <n v="37000"/>
    <s v="White"/>
    <x v="1"/>
    <x v="1"/>
  </r>
  <r>
    <n v="40"/>
    <x v="1"/>
    <n v="37000"/>
    <s v="White"/>
    <x v="1"/>
    <x v="1"/>
  </r>
  <r>
    <n v="50"/>
    <x v="1"/>
    <n v="37000"/>
    <s v="White"/>
    <x v="0"/>
    <x v="1"/>
  </r>
  <r>
    <n v="40"/>
    <x v="1"/>
    <n v="37000"/>
    <s v="White"/>
    <x v="0"/>
    <x v="1"/>
  </r>
  <r>
    <n v="40"/>
    <x v="1"/>
    <n v="37000"/>
    <s v="White"/>
    <x v="0"/>
    <x v="1"/>
  </r>
  <r>
    <n v="40"/>
    <x v="1"/>
    <n v="37000"/>
    <s v="White"/>
    <x v="0"/>
    <x v="1"/>
  </r>
  <r>
    <n v="50"/>
    <x v="1"/>
    <n v="37000"/>
    <s v="White"/>
    <x v="1"/>
    <x v="1"/>
  </r>
  <r>
    <n v="40"/>
    <x v="1"/>
    <n v="37000"/>
    <s v="White"/>
    <x v="1"/>
    <x v="1"/>
  </r>
  <r>
    <n v="40"/>
    <x v="1"/>
    <n v="37000"/>
    <s v="White"/>
    <x v="1"/>
    <x v="1"/>
  </r>
  <r>
    <n v="40"/>
    <x v="1"/>
    <n v="37000"/>
    <s v="White"/>
    <x v="0"/>
    <x v="1"/>
  </r>
  <r>
    <n v="50"/>
    <x v="1"/>
    <n v="37000"/>
    <s v="White"/>
    <x v="0"/>
    <x v="1"/>
  </r>
  <r>
    <n v="38"/>
    <x v="1"/>
    <n v="37000"/>
    <s v="White"/>
    <x v="0"/>
    <x v="1"/>
  </r>
  <r>
    <n v="40"/>
    <x v="1"/>
    <n v="37000"/>
    <s v="White"/>
    <x v="1"/>
    <x v="1"/>
  </r>
  <r>
    <n v="40"/>
    <x v="1"/>
    <n v="37200"/>
    <s v="White"/>
    <x v="1"/>
    <x v="1"/>
  </r>
  <r>
    <n v="50"/>
    <x v="1"/>
    <n v="37223"/>
    <s v="White"/>
    <x v="1"/>
    <x v="1"/>
  </r>
  <r>
    <n v="60"/>
    <x v="1"/>
    <n v="37500"/>
    <s v="White"/>
    <x v="0"/>
    <x v="1"/>
  </r>
  <r>
    <n v="55"/>
    <x v="1"/>
    <n v="37500"/>
    <s v="White"/>
    <x v="0"/>
    <x v="1"/>
  </r>
  <r>
    <n v="40"/>
    <x v="1"/>
    <n v="38000"/>
    <s v="White"/>
    <x v="0"/>
    <x v="1"/>
  </r>
  <r>
    <n v="42"/>
    <x v="1"/>
    <n v="38000"/>
    <s v="White"/>
    <x v="0"/>
    <x v="1"/>
  </r>
  <r>
    <n v="40"/>
    <x v="1"/>
    <n v="38000"/>
    <s v="Black"/>
    <x v="0"/>
    <x v="1"/>
  </r>
  <r>
    <n v="40"/>
    <x v="1"/>
    <n v="38000"/>
    <s v="White"/>
    <x v="0"/>
    <x v="1"/>
  </r>
  <r>
    <n v="40"/>
    <x v="1"/>
    <n v="38000"/>
    <s v="White"/>
    <x v="1"/>
    <x v="1"/>
  </r>
  <r>
    <n v="64"/>
    <x v="1"/>
    <n v="38000"/>
    <s v="White"/>
    <x v="1"/>
    <x v="1"/>
  </r>
  <r>
    <n v="65"/>
    <x v="1"/>
    <n v="38000"/>
    <s v="Black"/>
    <x v="0"/>
    <x v="1"/>
  </r>
  <r>
    <n v="40"/>
    <x v="1"/>
    <n v="38000"/>
    <s v="White"/>
    <x v="1"/>
    <x v="1"/>
  </r>
  <r>
    <n v="50"/>
    <x v="1"/>
    <n v="38000"/>
    <s v="White"/>
    <x v="0"/>
    <x v="1"/>
  </r>
  <r>
    <n v="40"/>
    <x v="1"/>
    <n v="38000"/>
    <s v="White"/>
    <x v="1"/>
    <x v="1"/>
  </r>
  <r>
    <n v="0"/>
    <x v="1"/>
    <n v="38000"/>
    <s v="Black"/>
    <x v="0"/>
    <x v="1"/>
  </r>
  <r>
    <n v="0"/>
    <x v="1"/>
    <n v="38000"/>
    <s v="White"/>
    <x v="1"/>
    <x v="1"/>
  </r>
  <r>
    <n v="35"/>
    <x v="1"/>
    <n v="38000"/>
    <s v="Black"/>
    <x v="0"/>
    <x v="1"/>
  </r>
  <r>
    <n v="45"/>
    <x v="1"/>
    <n v="38000"/>
    <s v="White"/>
    <x v="1"/>
    <x v="1"/>
  </r>
  <r>
    <n v="40"/>
    <x v="1"/>
    <n v="38041"/>
    <s v="White"/>
    <x v="1"/>
    <x v="1"/>
  </r>
  <r>
    <n v="45"/>
    <x v="1"/>
    <n v="38402"/>
    <s v="White"/>
    <x v="1"/>
    <x v="1"/>
  </r>
  <r>
    <n v="40"/>
    <x v="1"/>
    <n v="38500"/>
    <s v="White"/>
    <x v="0"/>
    <x v="1"/>
  </r>
  <r>
    <n v="43"/>
    <x v="1"/>
    <n v="38560"/>
    <s v="White"/>
    <x v="1"/>
    <x v="1"/>
  </r>
  <r>
    <n v="40"/>
    <x v="1"/>
    <n v="38587"/>
    <s v="White"/>
    <x v="0"/>
    <x v="1"/>
  </r>
  <r>
    <n v="50"/>
    <x v="1"/>
    <n v="39000"/>
    <s v="White"/>
    <x v="1"/>
    <x v="1"/>
  </r>
  <r>
    <n v="40"/>
    <x v="1"/>
    <n v="39000"/>
    <s v="White"/>
    <x v="1"/>
    <x v="1"/>
  </r>
  <r>
    <n v="40"/>
    <x v="1"/>
    <n v="39000"/>
    <s v="White"/>
    <x v="0"/>
    <x v="1"/>
  </r>
  <r>
    <n v="50"/>
    <x v="1"/>
    <n v="39000"/>
    <s v="White"/>
    <x v="0"/>
    <x v="1"/>
  </r>
  <r>
    <n v="40"/>
    <x v="1"/>
    <n v="39000"/>
    <s v="IndEsk"/>
    <x v="1"/>
    <x v="1"/>
  </r>
  <r>
    <n v="58"/>
    <x v="1"/>
    <n v="39000"/>
    <s v="White"/>
    <x v="0"/>
    <x v="1"/>
  </r>
  <r>
    <n v="60"/>
    <x v="1"/>
    <n v="39000"/>
    <s v="White"/>
    <x v="1"/>
    <x v="1"/>
  </r>
  <r>
    <n v="35"/>
    <x v="1"/>
    <n v="39500"/>
    <s v="White"/>
    <x v="0"/>
    <x v="1"/>
  </r>
  <r>
    <n v="40"/>
    <x v="1"/>
    <n v="40000"/>
    <s v="White"/>
    <x v="1"/>
    <x v="1"/>
  </r>
  <r>
    <n v="40"/>
    <x v="1"/>
    <n v="40000"/>
    <s v="White"/>
    <x v="1"/>
    <x v="1"/>
  </r>
  <r>
    <n v="40"/>
    <x v="1"/>
    <n v="40000"/>
    <s v="White"/>
    <x v="1"/>
    <x v="1"/>
  </r>
  <r>
    <n v="40"/>
    <x v="1"/>
    <n v="40000"/>
    <s v="White"/>
    <x v="1"/>
    <x v="1"/>
  </r>
  <r>
    <n v="40"/>
    <x v="1"/>
    <n v="40000"/>
    <s v="White"/>
    <x v="1"/>
    <x v="1"/>
  </r>
  <r>
    <n v="40"/>
    <x v="1"/>
    <n v="40000"/>
    <s v="Black"/>
    <x v="0"/>
    <x v="1"/>
  </r>
  <r>
    <n v="40"/>
    <x v="1"/>
    <n v="40000"/>
    <s v="White"/>
    <x v="0"/>
    <x v="1"/>
  </r>
  <r>
    <n v="43"/>
    <x v="1"/>
    <n v="40000"/>
    <s v="White"/>
    <x v="0"/>
    <x v="1"/>
  </r>
  <r>
    <n v="40"/>
    <x v="1"/>
    <n v="40000"/>
    <s v="White"/>
    <x v="0"/>
    <x v="1"/>
  </r>
  <r>
    <n v="55"/>
    <x v="1"/>
    <n v="40000"/>
    <s v="White"/>
    <x v="1"/>
    <x v="1"/>
  </r>
  <r>
    <n v="60"/>
    <x v="1"/>
    <n v="40000"/>
    <s v="White"/>
    <x v="1"/>
    <x v="1"/>
  </r>
  <r>
    <n v="0"/>
    <x v="1"/>
    <n v="40000"/>
    <s v="White"/>
    <x v="1"/>
    <x v="1"/>
  </r>
  <r>
    <n v="50"/>
    <x v="1"/>
    <n v="40000"/>
    <s v="White"/>
    <x v="1"/>
    <x v="1"/>
  </r>
  <r>
    <n v="40"/>
    <x v="1"/>
    <n v="40000"/>
    <s v="AsianPI"/>
    <x v="0"/>
    <x v="1"/>
  </r>
  <r>
    <n v="40"/>
    <x v="1"/>
    <n v="40000"/>
    <s v="White"/>
    <x v="1"/>
    <x v="1"/>
  </r>
  <r>
    <n v="40"/>
    <x v="1"/>
    <n v="40000"/>
    <s v="White"/>
    <x v="0"/>
    <x v="1"/>
  </r>
  <r>
    <n v="40"/>
    <x v="1"/>
    <n v="40000"/>
    <s v="Black"/>
    <x v="1"/>
    <x v="1"/>
  </r>
  <r>
    <n v="40"/>
    <x v="1"/>
    <n v="40000"/>
    <s v="White"/>
    <x v="0"/>
    <x v="1"/>
  </r>
  <r>
    <n v="50"/>
    <x v="1"/>
    <n v="40000"/>
    <s v="White"/>
    <x v="1"/>
    <x v="1"/>
  </r>
  <r>
    <n v="40"/>
    <x v="1"/>
    <n v="40000"/>
    <s v="White"/>
    <x v="0"/>
    <x v="1"/>
  </r>
  <r>
    <n v="40"/>
    <x v="1"/>
    <n v="40000"/>
    <s v="Black"/>
    <x v="1"/>
    <x v="1"/>
  </r>
  <r>
    <n v="40"/>
    <x v="1"/>
    <n v="40000"/>
    <s v="AsianPI"/>
    <x v="1"/>
    <x v="1"/>
  </r>
  <r>
    <n v="37"/>
    <x v="1"/>
    <n v="40000"/>
    <s v="White"/>
    <x v="0"/>
    <x v="1"/>
  </r>
  <r>
    <n v="40"/>
    <x v="1"/>
    <n v="40000"/>
    <s v="White"/>
    <x v="1"/>
    <x v="1"/>
  </r>
  <r>
    <n v="40"/>
    <x v="1"/>
    <n v="40000"/>
    <s v="White"/>
    <x v="0"/>
    <x v="1"/>
  </r>
  <r>
    <n v="40"/>
    <x v="1"/>
    <n v="40000"/>
    <s v="White"/>
    <x v="0"/>
    <x v="1"/>
  </r>
  <r>
    <n v="40"/>
    <x v="1"/>
    <n v="40000"/>
    <s v="White"/>
    <x v="0"/>
    <x v="1"/>
  </r>
  <r>
    <n v="40"/>
    <x v="1"/>
    <n v="40000"/>
    <s v="White"/>
    <x v="0"/>
    <x v="1"/>
  </r>
  <r>
    <n v="40"/>
    <x v="1"/>
    <n v="40000"/>
    <s v="White"/>
    <x v="1"/>
    <x v="1"/>
  </r>
  <r>
    <n v="40"/>
    <x v="1"/>
    <n v="40000"/>
    <s v="White"/>
    <x v="0"/>
    <x v="1"/>
  </r>
  <r>
    <n v="35"/>
    <x v="1"/>
    <n v="40000"/>
    <s v="White"/>
    <x v="0"/>
    <x v="1"/>
  </r>
  <r>
    <n v="40"/>
    <x v="1"/>
    <n v="40000"/>
    <s v="White"/>
    <x v="1"/>
    <x v="1"/>
  </r>
  <r>
    <n v="0"/>
    <x v="1"/>
    <n v="40000"/>
    <s v="White"/>
    <x v="1"/>
    <x v="1"/>
  </r>
  <r>
    <n v="40"/>
    <x v="1"/>
    <n v="40000"/>
    <s v="White"/>
    <x v="0"/>
    <x v="1"/>
  </r>
  <r>
    <n v="40"/>
    <x v="1"/>
    <n v="40000"/>
    <s v="White"/>
    <x v="0"/>
    <x v="1"/>
  </r>
  <r>
    <n v="40"/>
    <x v="1"/>
    <n v="40000"/>
    <s v="Black"/>
    <x v="0"/>
    <x v="1"/>
  </r>
  <r>
    <n v="40"/>
    <x v="1"/>
    <n v="40000"/>
    <s v="White"/>
    <x v="0"/>
    <x v="1"/>
  </r>
  <r>
    <n v="40"/>
    <x v="1"/>
    <n v="40000"/>
    <s v="White"/>
    <x v="0"/>
    <x v="1"/>
  </r>
  <r>
    <n v="55"/>
    <x v="1"/>
    <n v="40000"/>
    <s v="White"/>
    <x v="1"/>
    <x v="1"/>
  </r>
  <r>
    <n v="40"/>
    <x v="1"/>
    <n v="40000"/>
    <s v="White"/>
    <x v="1"/>
    <x v="1"/>
  </r>
  <r>
    <n v="0"/>
    <x v="1"/>
    <n v="40000"/>
    <s v="White"/>
    <x v="1"/>
    <x v="1"/>
  </r>
  <r>
    <n v="60"/>
    <x v="1"/>
    <n v="40000"/>
    <s v="White"/>
    <x v="0"/>
    <x v="1"/>
  </r>
  <r>
    <n v="40"/>
    <x v="1"/>
    <n v="40773"/>
    <s v="White"/>
    <x v="1"/>
    <x v="1"/>
  </r>
  <r>
    <n v="40"/>
    <x v="1"/>
    <n v="40800"/>
    <s v="White"/>
    <x v="1"/>
    <x v="1"/>
  </r>
  <r>
    <n v="60"/>
    <x v="1"/>
    <n v="41000"/>
    <s v="White"/>
    <x v="1"/>
    <x v="1"/>
  </r>
  <r>
    <n v="50"/>
    <x v="1"/>
    <n v="41000"/>
    <s v="White"/>
    <x v="1"/>
    <x v="1"/>
  </r>
  <r>
    <n v="40"/>
    <x v="1"/>
    <n v="41000"/>
    <s v="White"/>
    <x v="1"/>
    <x v="1"/>
  </r>
  <r>
    <n v="0"/>
    <x v="1"/>
    <n v="41000"/>
    <s v="White"/>
    <x v="0"/>
    <x v="1"/>
  </r>
  <r>
    <n v="40"/>
    <x v="1"/>
    <n v="41000"/>
    <s v="White"/>
    <x v="1"/>
    <x v="1"/>
  </r>
  <r>
    <n v="40"/>
    <x v="1"/>
    <n v="41000"/>
    <s v="White"/>
    <x v="0"/>
    <x v="1"/>
  </r>
  <r>
    <n v="44"/>
    <x v="1"/>
    <n v="41000"/>
    <s v="White"/>
    <x v="0"/>
    <x v="1"/>
  </r>
  <r>
    <n v="40"/>
    <x v="1"/>
    <n v="41111"/>
    <s v="White"/>
    <x v="1"/>
    <x v="1"/>
  </r>
  <r>
    <n v="40"/>
    <x v="1"/>
    <n v="41392"/>
    <s v="White"/>
    <x v="1"/>
    <x v="1"/>
  </r>
  <r>
    <n v="36"/>
    <x v="1"/>
    <n v="41500"/>
    <s v="White"/>
    <x v="0"/>
    <x v="1"/>
  </r>
  <r>
    <n v="40"/>
    <x v="1"/>
    <n v="41500"/>
    <s v="White"/>
    <x v="0"/>
    <x v="1"/>
  </r>
  <r>
    <n v="40"/>
    <x v="1"/>
    <n v="41912"/>
    <s v="White"/>
    <x v="0"/>
    <x v="1"/>
  </r>
  <r>
    <n v="40"/>
    <x v="1"/>
    <n v="42000"/>
    <s v="White"/>
    <x v="1"/>
    <x v="1"/>
  </r>
  <r>
    <n v="40"/>
    <x v="1"/>
    <n v="42000"/>
    <s v="White"/>
    <x v="0"/>
    <x v="1"/>
  </r>
  <r>
    <n v="40"/>
    <x v="1"/>
    <n v="42000"/>
    <s v="White"/>
    <x v="0"/>
    <x v="1"/>
  </r>
  <r>
    <n v="57"/>
    <x v="1"/>
    <n v="42000"/>
    <s v="White"/>
    <x v="1"/>
    <x v="1"/>
  </r>
  <r>
    <n v="40"/>
    <x v="1"/>
    <n v="42000"/>
    <s v="White"/>
    <x v="1"/>
    <x v="1"/>
  </r>
  <r>
    <n v="45"/>
    <x v="1"/>
    <n v="42000"/>
    <s v="White"/>
    <x v="1"/>
    <x v="1"/>
  </r>
  <r>
    <n v="40"/>
    <x v="1"/>
    <n v="42000"/>
    <s v="White"/>
    <x v="0"/>
    <x v="1"/>
  </r>
  <r>
    <n v="40"/>
    <x v="1"/>
    <n v="42000"/>
    <s v="Black"/>
    <x v="0"/>
    <x v="1"/>
  </r>
  <r>
    <n v="50"/>
    <x v="1"/>
    <n v="42000"/>
    <s v="White"/>
    <x v="1"/>
    <x v="1"/>
  </r>
  <r>
    <n v="60"/>
    <x v="1"/>
    <n v="42000"/>
    <s v="White"/>
    <x v="0"/>
    <x v="1"/>
  </r>
  <r>
    <n v="60"/>
    <x v="1"/>
    <n v="42000"/>
    <s v="White"/>
    <x v="1"/>
    <x v="1"/>
  </r>
  <r>
    <n v="50"/>
    <x v="1"/>
    <n v="42000"/>
    <s v="White"/>
    <x v="1"/>
    <x v="1"/>
  </r>
  <r>
    <n v="40"/>
    <x v="1"/>
    <n v="42000"/>
    <s v="White"/>
    <x v="0"/>
    <x v="1"/>
  </r>
  <r>
    <n v="50"/>
    <x v="1"/>
    <n v="42000"/>
    <s v="White"/>
    <x v="0"/>
    <x v="1"/>
  </r>
  <r>
    <n v="45"/>
    <x v="1"/>
    <n v="42000"/>
    <s v="White"/>
    <x v="1"/>
    <x v="1"/>
  </r>
  <r>
    <n v="40"/>
    <x v="1"/>
    <n v="42344"/>
    <s v="White"/>
    <x v="0"/>
    <x v="1"/>
  </r>
  <r>
    <n v="50"/>
    <x v="1"/>
    <n v="42400"/>
    <s v="White"/>
    <x v="0"/>
    <x v="1"/>
  </r>
  <r>
    <n v="40"/>
    <x v="1"/>
    <n v="42500"/>
    <s v="White"/>
    <x v="1"/>
    <x v="1"/>
  </r>
  <r>
    <n v="40"/>
    <x v="1"/>
    <n v="42500"/>
    <s v="White"/>
    <x v="1"/>
    <x v="1"/>
  </r>
  <r>
    <n v="40"/>
    <x v="1"/>
    <n v="43000"/>
    <s v="White"/>
    <x v="0"/>
    <x v="1"/>
  </r>
  <r>
    <n v="65"/>
    <x v="1"/>
    <n v="43000"/>
    <s v="White"/>
    <x v="1"/>
    <x v="1"/>
  </r>
  <r>
    <n v="40"/>
    <x v="1"/>
    <n v="43000"/>
    <s v="White"/>
    <x v="0"/>
    <x v="1"/>
  </r>
  <r>
    <n v="40"/>
    <x v="1"/>
    <n v="43000"/>
    <s v="White"/>
    <x v="1"/>
    <x v="1"/>
  </r>
  <r>
    <n v="50"/>
    <x v="1"/>
    <n v="43000"/>
    <s v="White"/>
    <x v="0"/>
    <x v="1"/>
  </r>
  <r>
    <n v="38"/>
    <x v="1"/>
    <n v="43000"/>
    <s v="Black"/>
    <x v="0"/>
    <x v="1"/>
  </r>
  <r>
    <n v="40"/>
    <x v="1"/>
    <n v="43000"/>
    <s v="White"/>
    <x v="0"/>
    <x v="1"/>
  </r>
  <r>
    <n v="40"/>
    <x v="1"/>
    <n v="43000"/>
    <s v="White"/>
    <x v="0"/>
    <x v="1"/>
  </r>
  <r>
    <n v="40"/>
    <x v="1"/>
    <n v="43000"/>
    <s v="White"/>
    <x v="0"/>
    <x v="1"/>
  </r>
  <r>
    <n v="40"/>
    <x v="1"/>
    <n v="43000"/>
    <s v="White"/>
    <x v="1"/>
    <x v="1"/>
  </r>
  <r>
    <n v="40"/>
    <x v="1"/>
    <n v="44000"/>
    <s v="Black"/>
    <x v="1"/>
    <x v="1"/>
  </r>
  <r>
    <n v="0"/>
    <x v="1"/>
    <n v="44000"/>
    <s v="Black"/>
    <x v="1"/>
    <x v="1"/>
  </r>
  <r>
    <n v="35"/>
    <x v="1"/>
    <n v="44000"/>
    <s v="White"/>
    <x v="0"/>
    <x v="1"/>
  </r>
  <r>
    <n v="55"/>
    <x v="1"/>
    <n v="44000"/>
    <s v="White"/>
    <x v="1"/>
    <x v="1"/>
  </r>
  <r>
    <n v="50"/>
    <x v="1"/>
    <n v="44000"/>
    <s v="White"/>
    <x v="0"/>
    <x v="1"/>
  </r>
  <r>
    <n v="44"/>
    <x v="1"/>
    <n v="44000"/>
    <s v="White"/>
    <x v="0"/>
    <x v="1"/>
  </r>
  <r>
    <n v="0"/>
    <x v="1"/>
    <n v="44000"/>
    <s v="White"/>
    <x v="1"/>
    <x v="1"/>
  </r>
  <r>
    <n v="55"/>
    <x v="1"/>
    <n v="44000"/>
    <s v="White"/>
    <x v="0"/>
    <x v="1"/>
  </r>
  <r>
    <n v="40"/>
    <x v="1"/>
    <n v="44307"/>
    <s v="White"/>
    <x v="1"/>
    <x v="1"/>
  </r>
  <r>
    <n v="40"/>
    <x v="1"/>
    <n v="44651"/>
    <s v="White"/>
    <x v="0"/>
    <x v="1"/>
  </r>
  <r>
    <n v="55"/>
    <x v="1"/>
    <n v="44850"/>
    <s v="Black"/>
    <x v="1"/>
    <x v="1"/>
  </r>
  <r>
    <n v="60"/>
    <x v="1"/>
    <n v="44850"/>
    <s v="White"/>
    <x v="1"/>
    <x v="1"/>
  </r>
  <r>
    <n v="40"/>
    <x v="1"/>
    <n v="44880"/>
    <s v="White"/>
    <x v="1"/>
    <x v="1"/>
  </r>
  <r>
    <n v="55"/>
    <x v="1"/>
    <n v="45000"/>
    <s v="White"/>
    <x v="1"/>
    <x v="1"/>
  </r>
  <r>
    <n v="40"/>
    <x v="1"/>
    <n v="45000"/>
    <s v="White"/>
    <x v="1"/>
    <x v="1"/>
  </r>
  <r>
    <n v="0"/>
    <x v="1"/>
    <n v="45000"/>
    <s v="White"/>
    <x v="1"/>
    <x v="1"/>
  </r>
  <r>
    <n v="45"/>
    <x v="1"/>
    <n v="45000"/>
    <s v="White"/>
    <x v="0"/>
    <x v="1"/>
  </r>
  <r>
    <n v="40"/>
    <x v="1"/>
    <n v="45000"/>
    <s v="White"/>
    <x v="1"/>
    <x v="1"/>
  </r>
  <r>
    <n v="50"/>
    <x v="1"/>
    <n v="45000"/>
    <s v="White"/>
    <x v="0"/>
    <x v="1"/>
  </r>
  <r>
    <n v="40"/>
    <x v="1"/>
    <n v="45000"/>
    <s v="AsianPI"/>
    <x v="1"/>
    <x v="1"/>
  </r>
  <r>
    <n v="45"/>
    <x v="1"/>
    <n v="45000"/>
    <s v="White"/>
    <x v="1"/>
    <x v="1"/>
  </r>
  <r>
    <n v="52"/>
    <x v="1"/>
    <n v="45000"/>
    <s v="White"/>
    <x v="1"/>
    <x v="1"/>
  </r>
  <r>
    <n v="36"/>
    <x v="1"/>
    <n v="45000"/>
    <s v="White"/>
    <x v="0"/>
    <x v="1"/>
  </r>
  <r>
    <n v="50"/>
    <x v="1"/>
    <n v="45000"/>
    <s v="White"/>
    <x v="0"/>
    <x v="1"/>
  </r>
  <r>
    <n v="44"/>
    <x v="1"/>
    <n v="45000"/>
    <s v="White"/>
    <x v="1"/>
    <x v="1"/>
  </r>
  <r>
    <n v="48"/>
    <x v="1"/>
    <n v="45000"/>
    <s v="White"/>
    <x v="1"/>
    <x v="1"/>
  </r>
  <r>
    <n v="40"/>
    <x v="1"/>
    <n v="45000"/>
    <s v="Black"/>
    <x v="0"/>
    <x v="1"/>
  </r>
  <r>
    <n v="50"/>
    <x v="1"/>
    <n v="45000"/>
    <s v="White"/>
    <x v="1"/>
    <x v="1"/>
  </r>
  <r>
    <n v="40"/>
    <x v="1"/>
    <n v="45000"/>
    <s v="Black"/>
    <x v="0"/>
    <x v="1"/>
  </r>
  <r>
    <n v="40"/>
    <x v="1"/>
    <n v="45000"/>
    <s v="Black"/>
    <x v="1"/>
    <x v="1"/>
  </r>
  <r>
    <n v="43"/>
    <x v="1"/>
    <n v="45000"/>
    <s v="White"/>
    <x v="0"/>
    <x v="1"/>
  </r>
  <r>
    <n v="45"/>
    <x v="1"/>
    <n v="45000"/>
    <s v="White"/>
    <x v="1"/>
    <x v="1"/>
  </r>
  <r>
    <n v="45"/>
    <x v="1"/>
    <n v="45000"/>
    <s v="White"/>
    <x v="0"/>
    <x v="1"/>
  </r>
  <r>
    <n v="40"/>
    <x v="1"/>
    <n v="45000"/>
    <s v="White"/>
    <x v="1"/>
    <x v="1"/>
  </r>
  <r>
    <n v="50"/>
    <x v="1"/>
    <n v="45900"/>
    <s v="White"/>
    <x v="1"/>
    <x v="1"/>
  </r>
  <r>
    <n v="40"/>
    <x v="1"/>
    <n v="46000"/>
    <s v="White"/>
    <x v="1"/>
    <x v="1"/>
  </r>
  <r>
    <n v="60"/>
    <x v="1"/>
    <n v="46000"/>
    <s v="White"/>
    <x v="1"/>
    <x v="1"/>
  </r>
  <r>
    <n v="50"/>
    <x v="1"/>
    <n v="46000"/>
    <s v="White"/>
    <x v="1"/>
    <x v="1"/>
  </r>
  <r>
    <n v="40"/>
    <x v="1"/>
    <n v="46000"/>
    <s v="White"/>
    <x v="0"/>
    <x v="1"/>
  </r>
  <r>
    <n v="85"/>
    <x v="1"/>
    <n v="46000"/>
    <s v="White"/>
    <x v="1"/>
    <x v="1"/>
  </r>
  <r>
    <n v="40"/>
    <x v="1"/>
    <n v="46000"/>
    <s v="White"/>
    <x v="0"/>
    <x v="1"/>
  </r>
  <r>
    <n v="40"/>
    <x v="1"/>
    <n v="46000"/>
    <s v="White"/>
    <x v="0"/>
    <x v="1"/>
  </r>
  <r>
    <n v="47"/>
    <x v="1"/>
    <n v="46200"/>
    <s v="White"/>
    <x v="1"/>
    <x v="1"/>
  </r>
  <r>
    <n v="40"/>
    <x v="1"/>
    <n v="46500"/>
    <s v="White"/>
    <x v="1"/>
    <x v="1"/>
  </r>
  <r>
    <n v="40"/>
    <x v="1"/>
    <n v="46747"/>
    <s v="White"/>
    <x v="1"/>
    <x v="1"/>
  </r>
  <r>
    <n v="40"/>
    <x v="1"/>
    <n v="46800"/>
    <s v="White"/>
    <x v="1"/>
    <x v="1"/>
  </r>
  <r>
    <n v="50"/>
    <x v="1"/>
    <n v="47000"/>
    <s v="White"/>
    <x v="0"/>
    <x v="1"/>
  </r>
  <r>
    <n v="60"/>
    <x v="1"/>
    <n v="47000"/>
    <s v="White"/>
    <x v="1"/>
    <x v="1"/>
  </r>
  <r>
    <n v="48"/>
    <x v="1"/>
    <n v="47000"/>
    <s v="White"/>
    <x v="1"/>
    <x v="1"/>
  </r>
  <r>
    <n v="50"/>
    <x v="1"/>
    <n v="47000"/>
    <s v="White"/>
    <x v="1"/>
    <x v="1"/>
  </r>
  <r>
    <n v="40"/>
    <x v="1"/>
    <n v="47000"/>
    <s v="White"/>
    <x v="0"/>
    <x v="1"/>
  </r>
  <r>
    <n v="36"/>
    <x v="1"/>
    <n v="47000"/>
    <s v="White"/>
    <x v="0"/>
    <x v="1"/>
  </r>
  <r>
    <n v="47"/>
    <x v="1"/>
    <n v="47239"/>
    <s v="White"/>
    <x v="1"/>
    <x v="1"/>
  </r>
  <r>
    <n v="40"/>
    <x v="1"/>
    <n v="47440"/>
    <s v="White"/>
    <x v="0"/>
    <x v="1"/>
  </r>
  <r>
    <n v="45"/>
    <x v="1"/>
    <n v="47490"/>
    <s v="White"/>
    <x v="1"/>
    <x v="1"/>
  </r>
  <r>
    <n v="45"/>
    <x v="1"/>
    <n v="47500"/>
    <s v="White"/>
    <x v="1"/>
    <x v="1"/>
  </r>
  <r>
    <n v="50"/>
    <x v="1"/>
    <n v="47500"/>
    <s v="Black"/>
    <x v="1"/>
    <x v="1"/>
  </r>
  <r>
    <n v="45"/>
    <x v="1"/>
    <n v="47668"/>
    <s v="White"/>
    <x v="0"/>
    <x v="1"/>
  </r>
  <r>
    <n v="50"/>
    <x v="1"/>
    <n v="48000"/>
    <s v="White"/>
    <x v="1"/>
    <x v="1"/>
  </r>
  <r>
    <n v="60"/>
    <x v="1"/>
    <n v="48000"/>
    <s v="White"/>
    <x v="0"/>
    <x v="1"/>
  </r>
  <r>
    <n v="48"/>
    <x v="1"/>
    <n v="48000"/>
    <s v="White"/>
    <x v="1"/>
    <x v="1"/>
  </r>
  <r>
    <n v="50"/>
    <x v="1"/>
    <n v="48000"/>
    <s v="White"/>
    <x v="1"/>
    <x v="1"/>
  </r>
  <r>
    <n v="40"/>
    <x v="1"/>
    <n v="48000"/>
    <s v="White"/>
    <x v="0"/>
    <x v="1"/>
  </r>
  <r>
    <n v="50"/>
    <x v="1"/>
    <n v="48000"/>
    <s v="White"/>
    <x v="1"/>
    <x v="1"/>
  </r>
  <r>
    <n v="40"/>
    <x v="1"/>
    <n v="48000"/>
    <s v="White"/>
    <x v="1"/>
    <x v="1"/>
  </r>
  <r>
    <n v="40"/>
    <x v="1"/>
    <n v="48000"/>
    <s v="Black"/>
    <x v="1"/>
    <x v="1"/>
  </r>
  <r>
    <n v="48"/>
    <x v="1"/>
    <n v="48000"/>
    <s v="White"/>
    <x v="1"/>
    <x v="1"/>
  </r>
  <r>
    <n v="65"/>
    <x v="1"/>
    <n v="48000"/>
    <s v="White"/>
    <x v="1"/>
    <x v="1"/>
  </r>
  <r>
    <n v="75"/>
    <x v="1"/>
    <n v="48000"/>
    <s v="White"/>
    <x v="1"/>
    <x v="1"/>
  </r>
  <r>
    <n v="45"/>
    <x v="1"/>
    <n v="48000"/>
    <s v="White"/>
    <x v="1"/>
    <x v="1"/>
  </r>
  <r>
    <n v="41"/>
    <x v="1"/>
    <n v="48000"/>
    <s v="Black"/>
    <x v="1"/>
    <x v="1"/>
  </r>
  <r>
    <n v="50"/>
    <x v="1"/>
    <n v="48000"/>
    <s v="White"/>
    <x v="1"/>
    <x v="1"/>
  </r>
  <r>
    <n v="65"/>
    <x v="1"/>
    <n v="48000"/>
    <s v="White"/>
    <x v="1"/>
    <x v="1"/>
  </r>
  <r>
    <n v="44"/>
    <x v="1"/>
    <n v="48000"/>
    <s v="White"/>
    <x v="0"/>
    <x v="1"/>
  </r>
  <r>
    <n v="40"/>
    <x v="1"/>
    <n v="48000"/>
    <s v="White"/>
    <x v="1"/>
    <x v="1"/>
  </r>
  <r>
    <n v="40"/>
    <x v="1"/>
    <n v="48000"/>
    <s v="White"/>
    <x v="1"/>
    <x v="1"/>
  </r>
  <r>
    <n v="0"/>
    <x v="1"/>
    <n v="48000"/>
    <s v="White"/>
    <x v="1"/>
    <x v="1"/>
  </r>
  <r>
    <n v="40"/>
    <x v="1"/>
    <n v="48200"/>
    <s v="White"/>
    <x v="1"/>
    <x v="1"/>
  </r>
  <r>
    <n v="40"/>
    <x v="1"/>
    <n v="48320"/>
    <s v="White"/>
    <x v="0"/>
    <x v="1"/>
  </r>
  <r>
    <n v="40"/>
    <x v="1"/>
    <n v="48500"/>
    <s v="White"/>
    <x v="1"/>
    <x v="1"/>
  </r>
  <r>
    <n v="40"/>
    <x v="1"/>
    <n v="49000"/>
    <s v="White"/>
    <x v="1"/>
    <x v="1"/>
  </r>
  <r>
    <n v="35"/>
    <x v="1"/>
    <n v="49000"/>
    <s v="White"/>
    <x v="0"/>
    <x v="1"/>
  </r>
  <r>
    <n v="40"/>
    <x v="1"/>
    <n v="49000"/>
    <s v="White"/>
    <x v="1"/>
    <x v="1"/>
  </r>
  <r>
    <n v="48"/>
    <x v="1"/>
    <n v="49470"/>
    <s v="White"/>
    <x v="1"/>
    <x v="1"/>
  </r>
  <r>
    <n v="40"/>
    <x v="1"/>
    <n v="49500"/>
    <s v="White"/>
    <x v="0"/>
    <x v="1"/>
  </r>
  <r>
    <n v="45"/>
    <x v="1"/>
    <n v="49900"/>
    <s v="White"/>
    <x v="1"/>
    <x v="1"/>
  </r>
  <r>
    <n v="37"/>
    <x v="1"/>
    <n v="49915"/>
    <s v="White"/>
    <x v="0"/>
    <x v="1"/>
  </r>
  <r>
    <n v="40"/>
    <x v="1"/>
    <n v="50000"/>
    <s v="White"/>
    <x v="1"/>
    <x v="1"/>
  </r>
  <r>
    <n v="40"/>
    <x v="1"/>
    <n v="50000"/>
    <s v="White"/>
    <x v="0"/>
    <x v="1"/>
  </r>
  <r>
    <n v="40"/>
    <x v="1"/>
    <n v="50000"/>
    <s v="White"/>
    <x v="1"/>
    <x v="1"/>
  </r>
  <r>
    <n v="40"/>
    <x v="1"/>
    <n v="50000"/>
    <s v="White"/>
    <x v="1"/>
    <x v="1"/>
  </r>
  <r>
    <n v="45"/>
    <x v="1"/>
    <n v="50000"/>
    <s v="White"/>
    <x v="1"/>
    <x v="1"/>
  </r>
  <r>
    <n v="40"/>
    <x v="1"/>
    <n v="50000"/>
    <s v="AsianPI"/>
    <x v="1"/>
    <x v="1"/>
  </r>
  <r>
    <n v="40"/>
    <x v="1"/>
    <n v="50000"/>
    <s v="White"/>
    <x v="0"/>
    <x v="1"/>
  </r>
  <r>
    <n v="59"/>
    <x v="1"/>
    <n v="50000"/>
    <s v="White"/>
    <x v="1"/>
    <x v="1"/>
  </r>
  <r>
    <n v="60"/>
    <x v="1"/>
    <n v="50000"/>
    <s v="White"/>
    <x v="1"/>
    <x v="1"/>
  </r>
  <r>
    <n v="40"/>
    <x v="1"/>
    <n v="50000"/>
    <s v="White"/>
    <x v="1"/>
    <x v="1"/>
  </r>
  <r>
    <n v="38"/>
    <x v="1"/>
    <n v="50000"/>
    <s v="White"/>
    <x v="1"/>
    <x v="1"/>
  </r>
  <r>
    <n v="55"/>
    <x v="1"/>
    <n v="50000"/>
    <s v="White"/>
    <x v="1"/>
    <x v="1"/>
  </r>
  <r>
    <n v="60"/>
    <x v="1"/>
    <n v="50000"/>
    <s v="White"/>
    <x v="1"/>
    <x v="1"/>
  </r>
  <r>
    <n v="45"/>
    <x v="1"/>
    <n v="50000"/>
    <s v="White"/>
    <x v="1"/>
    <x v="1"/>
  </r>
  <r>
    <n v="40"/>
    <x v="1"/>
    <n v="50000"/>
    <s v="Black"/>
    <x v="1"/>
    <x v="1"/>
  </r>
  <r>
    <n v="40"/>
    <x v="1"/>
    <n v="50000"/>
    <s v="Black"/>
    <x v="1"/>
    <x v="1"/>
  </r>
  <r>
    <n v="40"/>
    <x v="1"/>
    <n v="50000"/>
    <s v="White"/>
    <x v="0"/>
    <x v="1"/>
  </r>
  <r>
    <n v="50"/>
    <x v="1"/>
    <n v="50000"/>
    <s v="White"/>
    <x v="0"/>
    <x v="1"/>
  </r>
  <r>
    <n v="45"/>
    <x v="1"/>
    <n v="50000"/>
    <s v="White"/>
    <x v="1"/>
    <x v="1"/>
  </r>
  <r>
    <n v="40"/>
    <x v="1"/>
    <n v="50000"/>
    <s v="White"/>
    <x v="1"/>
    <x v="1"/>
  </r>
  <r>
    <n v="40"/>
    <x v="1"/>
    <n v="50000"/>
    <s v="White"/>
    <x v="0"/>
    <x v="1"/>
  </r>
  <r>
    <n v="40"/>
    <x v="1"/>
    <n v="50000"/>
    <s v="White"/>
    <x v="0"/>
    <x v="1"/>
  </r>
  <r>
    <n v="60"/>
    <x v="1"/>
    <n v="50000"/>
    <s v="Black"/>
    <x v="1"/>
    <x v="1"/>
  </r>
  <r>
    <n v="60"/>
    <x v="1"/>
    <n v="50000"/>
    <s v="Black"/>
    <x v="1"/>
    <x v="1"/>
  </r>
  <r>
    <n v="40"/>
    <x v="1"/>
    <n v="50000"/>
    <s v="White"/>
    <x v="1"/>
    <x v="1"/>
  </r>
  <r>
    <n v="40"/>
    <x v="1"/>
    <n v="50000"/>
    <s v="White"/>
    <x v="1"/>
    <x v="1"/>
  </r>
  <r>
    <n v="36"/>
    <x v="1"/>
    <n v="50000"/>
    <s v="White"/>
    <x v="0"/>
    <x v="1"/>
  </r>
  <r>
    <n v="45"/>
    <x v="1"/>
    <n v="50000"/>
    <s v="White"/>
    <x v="1"/>
    <x v="1"/>
  </r>
  <r>
    <n v="40"/>
    <x v="1"/>
    <n v="50000"/>
    <s v="White"/>
    <x v="1"/>
    <x v="1"/>
  </r>
  <r>
    <n v="41"/>
    <x v="1"/>
    <n v="50000"/>
    <s v="White"/>
    <x v="0"/>
    <x v="1"/>
  </r>
  <r>
    <n v="50"/>
    <x v="1"/>
    <n v="50000"/>
    <s v="White"/>
    <x v="1"/>
    <x v="1"/>
  </r>
  <r>
    <n v="50"/>
    <x v="1"/>
    <n v="50000"/>
    <s v="Black"/>
    <x v="0"/>
    <x v="1"/>
  </r>
  <r>
    <n v="50"/>
    <x v="1"/>
    <n v="50000"/>
    <s v="White"/>
    <x v="1"/>
    <x v="1"/>
  </r>
  <r>
    <n v="45"/>
    <x v="1"/>
    <n v="50000"/>
    <s v="White"/>
    <x v="1"/>
    <x v="1"/>
  </r>
  <r>
    <n v="40"/>
    <x v="1"/>
    <n v="50000"/>
    <s v="White"/>
    <x v="1"/>
    <x v="1"/>
  </r>
  <r>
    <n v="45"/>
    <x v="1"/>
    <n v="50450"/>
    <s v="White"/>
    <x v="0"/>
    <x v="1"/>
  </r>
  <r>
    <n v="58"/>
    <x v="1"/>
    <n v="51000"/>
    <s v="White"/>
    <x v="1"/>
    <x v="1"/>
  </r>
  <r>
    <n v="50"/>
    <x v="1"/>
    <n v="51000"/>
    <s v="White"/>
    <x v="0"/>
    <x v="1"/>
  </r>
  <r>
    <n v="45"/>
    <x v="1"/>
    <n v="51000"/>
    <s v="White"/>
    <x v="1"/>
    <x v="1"/>
  </r>
  <r>
    <n v="40"/>
    <x v="1"/>
    <n v="51000"/>
    <s v="White"/>
    <x v="1"/>
    <x v="1"/>
  </r>
  <r>
    <n v="48"/>
    <x v="1"/>
    <n v="51108"/>
    <s v="White"/>
    <x v="1"/>
    <x v="1"/>
  </r>
  <r>
    <n v="40"/>
    <x v="1"/>
    <n v="51130"/>
    <s v="White"/>
    <x v="0"/>
    <x v="1"/>
  </r>
  <r>
    <n v="40"/>
    <x v="1"/>
    <n v="51458"/>
    <s v="White"/>
    <x v="1"/>
    <x v="1"/>
  </r>
  <r>
    <n v="40"/>
    <x v="1"/>
    <n v="51600"/>
    <s v="White"/>
    <x v="1"/>
    <x v="1"/>
  </r>
  <r>
    <n v="55"/>
    <x v="1"/>
    <n v="52000"/>
    <s v="White"/>
    <x v="1"/>
    <x v="1"/>
  </r>
  <r>
    <n v="40"/>
    <x v="1"/>
    <n v="52000"/>
    <s v="White"/>
    <x v="1"/>
    <x v="1"/>
  </r>
  <r>
    <n v="45"/>
    <x v="1"/>
    <n v="52000"/>
    <s v="White"/>
    <x v="1"/>
    <x v="1"/>
  </r>
  <r>
    <n v="50"/>
    <x v="1"/>
    <n v="52000"/>
    <s v="White"/>
    <x v="1"/>
    <x v="1"/>
  </r>
  <r>
    <n v="75"/>
    <x v="1"/>
    <n v="52000"/>
    <s v="White"/>
    <x v="1"/>
    <x v="1"/>
  </r>
  <r>
    <n v="40"/>
    <x v="1"/>
    <n v="52000"/>
    <s v="White"/>
    <x v="1"/>
    <x v="1"/>
  </r>
  <r>
    <n v="40"/>
    <x v="1"/>
    <n v="52000"/>
    <s v="AsianPI"/>
    <x v="1"/>
    <x v="1"/>
  </r>
  <r>
    <n v="40"/>
    <x v="1"/>
    <n v="52000"/>
    <s v="White"/>
    <x v="1"/>
    <x v="1"/>
  </r>
  <r>
    <n v="40"/>
    <x v="1"/>
    <n v="52000"/>
    <s v="White"/>
    <x v="1"/>
    <x v="1"/>
  </r>
  <r>
    <n v="50"/>
    <x v="1"/>
    <n v="52000"/>
    <s v="White"/>
    <x v="1"/>
    <x v="1"/>
  </r>
  <r>
    <n v="42"/>
    <x v="1"/>
    <n v="52000"/>
    <s v="White"/>
    <x v="0"/>
    <x v="1"/>
  </r>
  <r>
    <n v="0"/>
    <x v="1"/>
    <n v="52000"/>
    <s v="Black"/>
    <x v="0"/>
    <x v="1"/>
  </r>
  <r>
    <n v="42"/>
    <x v="1"/>
    <n v="52000"/>
    <s v="White"/>
    <x v="1"/>
    <x v="1"/>
  </r>
  <r>
    <n v="50"/>
    <x v="1"/>
    <n v="52000"/>
    <s v="White"/>
    <x v="1"/>
    <x v="1"/>
  </r>
  <r>
    <n v="40"/>
    <x v="1"/>
    <n v="52000"/>
    <s v="White"/>
    <x v="0"/>
    <x v="1"/>
  </r>
  <r>
    <n v="40"/>
    <x v="1"/>
    <n v="52450"/>
    <s v="White"/>
    <x v="0"/>
    <x v="1"/>
  </r>
  <r>
    <n v="50"/>
    <x v="1"/>
    <n v="52500"/>
    <s v="Black"/>
    <x v="0"/>
    <x v="1"/>
  </r>
  <r>
    <n v="40"/>
    <x v="1"/>
    <n v="52800"/>
    <s v="White"/>
    <x v="1"/>
    <x v="1"/>
  </r>
  <r>
    <n v="65"/>
    <x v="1"/>
    <n v="53000"/>
    <s v="White"/>
    <x v="1"/>
    <x v="1"/>
  </r>
  <r>
    <n v="40"/>
    <x v="1"/>
    <n v="53000"/>
    <s v="White"/>
    <x v="1"/>
    <x v="1"/>
  </r>
  <r>
    <n v="50"/>
    <x v="1"/>
    <n v="53000"/>
    <s v="White"/>
    <x v="0"/>
    <x v="1"/>
  </r>
  <r>
    <n v="55"/>
    <x v="1"/>
    <n v="53000"/>
    <s v="White"/>
    <x v="1"/>
    <x v="1"/>
  </r>
  <r>
    <n v="40"/>
    <x v="1"/>
    <n v="53000"/>
    <s v="White"/>
    <x v="1"/>
    <x v="1"/>
  </r>
  <r>
    <n v="60"/>
    <x v="1"/>
    <n v="53000"/>
    <s v="White"/>
    <x v="0"/>
    <x v="1"/>
  </r>
  <r>
    <n v="40"/>
    <x v="1"/>
    <n v="53000"/>
    <s v="White"/>
    <x v="1"/>
    <x v="1"/>
  </r>
  <r>
    <n v="50"/>
    <x v="1"/>
    <n v="53000"/>
    <s v="White"/>
    <x v="1"/>
    <x v="1"/>
  </r>
  <r>
    <n v="50"/>
    <x v="1"/>
    <n v="53230"/>
    <s v="White"/>
    <x v="1"/>
    <x v="1"/>
  </r>
  <r>
    <n v="40"/>
    <x v="1"/>
    <n v="53230"/>
    <s v="White"/>
    <x v="1"/>
    <x v="1"/>
  </r>
  <r>
    <n v="40"/>
    <x v="1"/>
    <n v="53500"/>
    <s v="White"/>
    <x v="0"/>
    <x v="1"/>
  </r>
  <r>
    <n v="0"/>
    <x v="1"/>
    <n v="53613"/>
    <s v="Black"/>
    <x v="0"/>
    <x v="1"/>
  </r>
  <r>
    <n v="50"/>
    <x v="1"/>
    <n v="54000"/>
    <s v="White"/>
    <x v="1"/>
    <x v="1"/>
  </r>
  <r>
    <n v="50"/>
    <x v="1"/>
    <n v="54000"/>
    <s v="White"/>
    <x v="1"/>
    <x v="1"/>
  </r>
  <r>
    <n v="40"/>
    <x v="1"/>
    <n v="54000"/>
    <s v="White"/>
    <x v="0"/>
    <x v="1"/>
  </r>
  <r>
    <n v="42"/>
    <x v="1"/>
    <n v="54000"/>
    <s v="White"/>
    <x v="0"/>
    <x v="1"/>
  </r>
  <r>
    <n v="40"/>
    <x v="1"/>
    <n v="55000"/>
    <s v="White"/>
    <x v="1"/>
    <x v="1"/>
  </r>
  <r>
    <n v="40"/>
    <x v="1"/>
    <n v="55000"/>
    <s v="White"/>
    <x v="0"/>
    <x v="1"/>
  </r>
  <r>
    <n v="40"/>
    <x v="1"/>
    <n v="55000"/>
    <s v="White"/>
    <x v="1"/>
    <x v="1"/>
  </r>
  <r>
    <n v="0"/>
    <x v="1"/>
    <n v="55000"/>
    <s v="Black"/>
    <x v="0"/>
    <x v="1"/>
  </r>
  <r>
    <n v="50"/>
    <x v="1"/>
    <n v="55000"/>
    <s v="White"/>
    <x v="0"/>
    <x v="1"/>
  </r>
  <r>
    <n v="0"/>
    <x v="1"/>
    <n v="55000"/>
    <s v="White"/>
    <x v="0"/>
    <x v="1"/>
  </r>
  <r>
    <n v="45"/>
    <x v="1"/>
    <n v="55000"/>
    <s v="White"/>
    <x v="1"/>
    <x v="1"/>
  </r>
  <r>
    <n v="40"/>
    <x v="1"/>
    <n v="55000"/>
    <s v="White"/>
    <x v="0"/>
    <x v="1"/>
  </r>
  <r>
    <n v="40"/>
    <x v="1"/>
    <n v="55000"/>
    <s v="White"/>
    <x v="1"/>
    <x v="1"/>
  </r>
  <r>
    <n v="0"/>
    <x v="1"/>
    <n v="55000"/>
    <s v="White"/>
    <x v="1"/>
    <x v="1"/>
  </r>
  <r>
    <n v="0"/>
    <x v="1"/>
    <n v="55000"/>
    <s v="White"/>
    <x v="0"/>
    <x v="1"/>
  </r>
  <r>
    <n v="44"/>
    <x v="1"/>
    <n v="55000"/>
    <s v="White"/>
    <x v="1"/>
    <x v="1"/>
  </r>
  <r>
    <n v="40"/>
    <x v="1"/>
    <n v="55000"/>
    <s v="White"/>
    <x v="0"/>
    <x v="1"/>
  </r>
  <r>
    <n v="50"/>
    <x v="1"/>
    <n v="55000"/>
    <s v="White"/>
    <x v="0"/>
    <x v="1"/>
  </r>
  <r>
    <n v="40"/>
    <x v="1"/>
    <n v="55000"/>
    <s v="White"/>
    <x v="1"/>
    <x v="1"/>
  </r>
  <r>
    <n v="40"/>
    <x v="1"/>
    <n v="55000"/>
    <s v="White"/>
    <x v="0"/>
    <x v="1"/>
  </r>
  <r>
    <n v="50"/>
    <x v="1"/>
    <n v="55000"/>
    <s v="White"/>
    <x v="1"/>
    <x v="1"/>
  </r>
  <r>
    <n v="40"/>
    <x v="1"/>
    <n v="55000"/>
    <s v="White"/>
    <x v="0"/>
    <x v="1"/>
  </r>
  <r>
    <n v="45"/>
    <x v="1"/>
    <n v="55000"/>
    <s v="White"/>
    <x v="1"/>
    <x v="1"/>
  </r>
  <r>
    <n v="50"/>
    <x v="1"/>
    <n v="55000"/>
    <s v="White"/>
    <x v="1"/>
    <x v="1"/>
  </r>
  <r>
    <n v="50"/>
    <x v="1"/>
    <n v="55000"/>
    <s v="White"/>
    <x v="1"/>
    <x v="1"/>
  </r>
  <r>
    <n v="50"/>
    <x v="1"/>
    <n v="55000"/>
    <s v="White"/>
    <x v="1"/>
    <x v="1"/>
  </r>
  <r>
    <n v="48"/>
    <x v="1"/>
    <n v="55000"/>
    <s v="White"/>
    <x v="1"/>
    <x v="1"/>
  </r>
  <r>
    <n v="50"/>
    <x v="1"/>
    <n v="55000"/>
    <s v="White"/>
    <x v="1"/>
    <x v="1"/>
  </r>
  <r>
    <n v="45"/>
    <x v="1"/>
    <n v="55000"/>
    <s v="White"/>
    <x v="0"/>
    <x v="1"/>
  </r>
  <r>
    <n v="50"/>
    <x v="1"/>
    <n v="55000"/>
    <s v="White"/>
    <x v="1"/>
    <x v="1"/>
  </r>
  <r>
    <n v="50"/>
    <x v="1"/>
    <n v="55000"/>
    <s v="White"/>
    <x v="1"/>
    <x v="1"/>
  </r>
  <r>
    <n v="40"/>
    <x v="1"/>
    <n v="55400"/>
    <s v="Black"/>
    <x v="1"/>
    <x v="1"/>
  </r>
  <r>
    <n v="40"/>
    <x v="1"/>
    <n v="55800"/>
    <s v="White"/>
    <x v="0"/>
    <x v="1"/>
  </r>
  <r>
    <n v="45"/>
    <x v="1"/>
    <n v="55800"/>
    <s v="White"/>
    <x v="1"/>
    <x v="1"/>
  </r>
  <r>
    <n v="0"/>
    <x v="1"/>
    <n v="56000"/>
    <s v="White"/>
    <x v="1"/>
    <x v="1"/>
  </r>
  <r>
    <n v="60"/>
    <x v="1"/>
    <n v="56000"/>
    <s v="Black"/>
    <x v="1"/>
    <x v="1"/>
  </r>
  <r>
    <n v="40"/>
    <x v="1"/>
    <n v="56000"/>
    <s v="AsianPI"/>
    <x v="0"/>
    <x v="1"/>
  </r>
  <r>
    <n v="55"/>
    <x v="1"/>
    <n v="56000"/>
    <s v="White"/>
    <x v="1"/>
    <x v="1"/>
  </r>
  <r>
    <n v="45"/>
    <x v="1"/>
    <n v="56000"/>
    <s v="White"/>
    <x v="0"/>
    <x v="1"/>
  </r>
  <r>
    <n v="80"/>
    <x v="1"/>
    <n v="56000"/>
    <s v="White"/>
    <x v="1"/>
    <x v="1"/>
  </r>
  <r>
    <n v="55"/>
    <x v="1"/>
    <n v="56000"/>
    <s v="White"/>
    <x v="1"/>
    <x v="1"/>
  </r>
  <r>
    <n v="44"/>
    <x v="1"/>
    <n v="56000"/>
    <s v="White"/>
    <x v="0"/>
    <x v="1"/>
  </r>
  <r>
    <n v="80"/>
    <x v="1"/>
    <n v="56000"/>
    <s v="White"/>
    <x v="0"/>
    <x v="1"/>
  </r>
  <r>
    <n v="50"/>
    <x v="1"/>
    <n v="56000"/>
    <s v="White"/>
    <x v="0"/>
    <x v="1"/>
  </r>
  <r>
    <n v="50"/>
    <x v="1"/>
    <n v="56500"/>
    <s v="White"/>
    <x v="1"/>
    <x v="1"/>
  </r>
  <r>
    <n v="50"/>
    <x v="1"/>
    <n v="57000"/>
    <s v="White"/>
    <x v="1"/>
    <x v="1"/>
  </r>
  <r>
    <n v="0"/>
    <x v="1"/>
    <n v="57000"/>
    <s v="White"/>
    <x v="1"/>
    <x v="1"/>
  </r>
  <r>
    <n v="40"/>
    <x v="1"/>
    <n v="57000"/>
    <s v="White"/>
    <x v="1"/>
    <x v="1"/>
  </r>
  <r>
    <n v="50"/>
    <x v="1"/>
    <n v="57500"/>
    <s v="White"/>
    <x v="1"/>
    <x v="1"/>
  </r>
  <r>
    <n v="38"/>
    <x v="1"/>
    <n v="57782"/>
    <s v="White"/>
    <x v="0"/>
    <x v="1"/>
  </r>
  <r>
    <n v="40"/>
    <x v="1"/>
    <n v="57782"/>
    <s v="White"/>
    <x v="0"/>
    <x v="1"/>
  </r>
  <r>
    <n v="0"/>
    <x v="1"/>
    <n v="58000"/>
    <s v="White"/>
    <x v="0"/>
    <x v="1"/>
  </r>
  <r>
    <n v="50"/>
    <x v="1"/>
    <n v="58000"/>
    <s v="White"/>
    <x v="0"/>
    <x v="1"/>
  </r>
  <r>
    <n v="60"/>
    <x v="1"/>
    <n v="58000"/>
    <s v="White"/>
    <x v="0"/>
    <x v="1"/>
  </r>
  <r>
    <n v="37"/>
    <x v="1"/>
    <n v="58000"/>
    <s v="White"/>
    <x v="1"/>
    <x v="1"/>
  </r>
  <r>
    <n v="40"/>
    <x v="1"/>
    <n v="58000"/>
    <s v="White"/>
    <x v="0"/>
    <x v="1"/>
  </r>
  <r>
    <n v="38"/>
    <x v="1"/>
    <n v="58000"/>
    <s v="White"/>
    <x v="0"/>
    <x v="1"/>
  </r>
  <r>
    <n v="45"/>
    <x v="1"/>
    <n v="58000"/>
    <s v="White"/>
    <x v="0"/>
    <x v="1"/>
  </r>
  <r>
    <n v="45"/>
    <x v="1"/>
    <n v="58000"/>
    <s v="White"/>
    <x v="1"/>
    <x v="1"/>
  </r>
  <r>
    <n v="40"/>
    <x v="1"/>
    <n v="58000"/>
    <s v="White"/>
    <x v="0"/>
    <x v="1"/>
  </r>
  <r>
    <n v="40"/>
    <x v="1"/>
    <n v="58328"/>
    <s v="White"/>
    <x v="1"/>
    <x v="1"/>
  </r>
  <r>
    <n v="40"/>
    <x v="1"/>
    <n v="59089"/>
    <s v="White"/>
    <x v="1"/>
    <x v="1"/>
  </r>
  <r>
    <n v="40"/>
    <x v="1"/>
    <n v="59280"/>
    <s v="White"/>
    <x v="1"/>
    <x v="1"/>
  </r>
  <r>
    <n v="55"/>
    <x v="1"/>
    <n v="59925"/>
    <s v="White"/>
    <x v="1"/>
    <x v="1"/>
  </r>
  <r>
    <n v="60"/>
    <x v="1"/>
    <n v="60000"/>
    <s v="White"/>
    <x v="1"/>
    <x v="1"/>
  </r>
  <r>
    <n v="50"/>
    <x v="1"/>
    <n v="60000"/>
    <s v="White"/>
    <x v="0"/>
    <x v="1"/>
  </r>
  <r>
    <n v="50"/>
    <x v="1"/>
    <n v="60000"/>
    <s v="White"/>
    <x v="1"/>
    <x v="1"/>
  </r>
  <r>
    <n v="60"/>
    <x v="1"/>
    <n v="60000"/>
    <s v="White"/>
    <x v="1"/>
    <x v="1"/>
  </r>
  <r>
    <n v="45"/>
    <x v="1"/>
    <n v="60000"/>
    <s v="White"/>
    <x v="0"/>
    <x v="1"/>
  </r>
  <r>
    <n v="65"/>
    <x v="1"/>
    <n v="60000"/>
    <s v="White"/>
    <x v="0"/>
    <x v="1"/>
  </r>
  <r>
    <n v="40"/>
    <x v="1"/>
    <n v="60000"/>
    <s v="White"/>
    <x v="1"/>
    <x v="1"/>
  </r>
  <r>
    <n v="40"/>
    <x v="1"/>
    <n v="60000"/>
    <s v="White"/>
    <x v="0"/>
    <x v="1"/>
  </r>
  <r>
    <n v="60"/>
    <x v="1"/>
    <n v="60000"/>
    <s v="White"/>
    <x v="1"/>
    <x v="1"/>
  </r>
  <r>
    <n v="70"/>
    <x v="1"/>
    <n v="60000"/>
    <s v="White"/>
    <x v="1"/>
    <x v="1"/>
  </r>
  <r>
    <n v="43"/>
    <x v="1"/>
    <n v="60000"/>
    <s v="White"/>
    <x v="1"/>
    <x v="1"/>
  </r>
  <r>
    <n v="55"/>
    <x v="1"/>
    <n v="60000"/>
    <s v="White"/>
    <x v="1"/>
    <x v="1"/>
  </r>
  <r>
    <n v="50"/>
    <x v="1"/>
    <n v="60000"/>
    <s v="White"/>
    <x v="0"/>
    <x v="1"/>
  </r>
  <r>
    <n v="40"/>
    <x v="1"/>
    <n v="60000"/>
    <s v="White"/>
    <x v="1"/>
    <x v="1"/>
  </r>
  <r>
    <n v="40"/>
    <x v="1"/>
    <n v="60000"/>
    <s v="AsianPI"/>
    <x v="0"/>
    <x v="1"/>
  </r>
  <r>
    <n v="40"/>
    <x v="1"/>
    <n v="60000"/>
    <s v="AsianPI"/>
    <x v="0"/>
    <x v="1"/>
  </r>
  <r>
    <n v="40"/>
    <x v="1"/>
    <n v="60000"/>
    <s v="AsianPI"/>
    <x v="1"/>
    <x v="1"/>
  </r>
  <r>
    <n v="41"/>
    <x v="1"/>
    <n v="60000"/>
    <s v="White"/>
    <x v="1"/>
    <x v="1"/>
  </r>
  <r>
    <n v="0"/>
    <x v="1"/>
    <n v="60000"/>
    <s v="White"/>
    <x v="1"/>
    <x v="1"/>
  </r>
  <r>
    <n v="45"/>
    <x v="1"/>
    <n v="60000"/>
    <s v="White"/>
    <x v="0"/>
    <x v="1"/>
  </r>
  <r>
    <n v="70"/>
    <x v="1"/>
    <n v="60000"/>
    <s v="White"/>
    <x v="0"/>
    <x v="1"/>
  </r>
  <r>
    <n v="45"/>
    <x v="1"/>
    <n v="60000"/>
    <s v="White"/>
    <x v="1"/>
    <x v="1"/>
  </r>
  <r>
    <n v="45"/>
    <x v="1"/>
    <n v="60000"/>
    <s v="White"/>
    <x v="1"/>
    <x v="1"/>
  </r>
  <r>
    <n v="38"/>
    <x v="1"/>
    <n v="60000"/>
    <s v="White"/>
    <x v="1"/>
    <x v="1"/>
  </r>
  <r>
    <n v="50"/>
    <x v="1"/>
    <n v="60000"/>
    <s v="White"/>
    <x v="1"/>
    <x v="1"/>
  </r>
  <r>
    <n v="40"/>
    <x v="1"/>
    <n v="60000"/>
    <s v="White"/>
    <x v="1"/>
    <x v="1"/>
  </r>
  <r>
    <n v="0"/>
    <x v="1"/>
    <n v="60000"/>
    <s v="White"/>
    <x v="1"/>
    <x v="1"/>
  </r>
  <r>
    <n v="50"/>
    <x v="1"/>
    <n v="60000"/>
    <s v="White"/>
    <x v="1"/>
    <x v="1"/>
  </r>
  <r>
    <n v="40"/>
    <x v="1"/>
    <n v="60000"/>
    <s v="White"/>
    <x v="0"/>
    <x v="1"/>
  </r>
  <r>
    <n v="50"/>
    <x v="1"/>
    <n v="60000"/>
    <s v="White"/>
    <x v="1"/>
    <x v="1"/>
  </r>
  <r>
    <n v="45"/>
    <x v="1"/>
    <n v="60000"/>
    <s v="White"/>
    <x v="1"/>
    <x v="1"/>
  </r>
  <r>
    <n v="40"/>
    <x v="1"/>
    <n v="60000"/>
    <s v="White"/>
    <x v="0"/>
    <x v="1"/>
  </r>
  <r>
    <n v="40"/>
    <x v="1"/>
    <n v="60000"/>
    <s v="White"/>
    <x v="1"/>
    <x v="1"/>
  </r>
  <r>
    <n v="50"/>
    <x v="1"/>
    <n v="60000"/>
    <s v="White"/>
    <x v="1"/>
    <x v="1"/>
  </r>
  <r>
    <n v="45"/>
    <x v="1"/>
    <n v="60500"/>
    <s v="White"/>
    <x v="1"/>
    <x v="1"/>
  </r>
  <r>
    <n v="50"/>
    <x v="1"/>
    <n v="61000"/>
    <s v="White"/>
    <x v="0"/>
    <x v="1"/>
  </r>
  <r>
    <n v="50"/>
    <x v="1"/>
    <n v="61000"/>
    <s v="White"/>
    <x v="0"/>
    <x v="1"/>
  </r>
  <r>
    <n v="65"/>
    <x v="1"/>
    <n v="61000"/>
    <s v="White"/>
    <x v="1"/>
    <x v="1"/>
  </r>
  <r>
    <n v="50"/>
    <x v="1"/>
    <n v="61000"/>
    <s v="White"/>
    <x v="1"/>
    <x v="1"/>
  </r>
  <r>
    <n v="60"/>
    <x v="1"/>
    <n v="61601"/>
    <s v="White"/>
    <x v="1"/>
    <x v="1"/>
  </r>
  <r>
    <n v="55"/>
    <x v="1"/>
    <n v="62000"/>
    <s v="White"/>
    <x v="1"/>
    <x v="1"/>
  </r>
  <r>
    <n v="55"/>
    <x v="1"/>
    <n v="62000"/>
    <s v="White"/>
    <x v="1"/>
    <x v="1"/>
  </r>
  <r>
    <n v="40"/>
    <x v="1"/>
    <n v="62000"/>
    <s v="White"/>
    <x v="0"/>
    <x v="1"/>
  </r>
  <r>
    <n v="42"/>
    <x v="1"/>
    <n v="62000"/>
    <s v="White"/>
    <x v="1"/>
    <x v="1"/>
  </r>
  <r>
    <n v="52"/>
    <x v="1"/>
    <n v="62000"/>
    <s v="White"/>
    <x v="1"/>
    <x v="1"/>
  </r>
  <r>
    <n v="40"/>
    <x v="1"/>
    <n v="62000"/>
    <s v="White"/>
    <x v="0"/>
    <x v="1"/>
  </r>
  <r>
    <n v="40"/>
    <x v="1"/>
    <n v="62000"/>
    <s v="White"/>
    <x v="1"/>
    <x v="1"/>
  </r>
  <r>
    <n v="53"/>
    <x v="1"/>
    <n v="62000"/>
    <s v="White"/>
    <x v="0"/>
    <x v="1"/>
  </r>
  <r>
    <n v="40"/>
    <x v="1"/>
    <n v="62000"/>
    <s v="White"/>
    <x v="1"/>
    <x v="1"/>
  </r>
  <r>
    <n v="45"/>
    <x v="1"/>
    <n v="62000"/>
    <s v="White"/>
    <x v="1"/>
    <x v="1"/>
  </r>
  <r>
    <n v="52"/>
    <x v="1"/>
    <n v="62000"/>
    <s v="White"/>
    <x v="1"/>
    <x v="1"/>
  </r>
  <r>
    <n v="50"/>
    <x v="1"/>
    <n v="62000"/>
    <s v="White"/>
    <x v="1"/>
    <x v="1"/>
  </r>
  <r>
    <n v="44"/>
    <x v="1"/>
    <n v="62400"/>
    <s v="White"/>
    <x v="0"/>
    <x v="1"/>
  </r>
  <r>
    <n v="0"/>
    <x v="1"/>
    <n v="62400"/>
    <s v="Black"/>
    <x v="0"/>
    <x v="1"/>
  </r>
  <r>
    <n v="45"/>
    <x v="1"/>
    <n v="63000"/>
    <s v="White"/>
    <x v="1"/>
    <x v="1"/>
  </r>
  <r>
    <n v="50"/>
    <x v="1"/>
    <n v="63000"/>
    <s v="White"/>
    <x v="0"/>
    <x v="1"/>
  </r>
  <r>
    <n v="40"/>
    <x v="1"/>
    <n v="63000"/>
    <s v="White"/>
    <x v="1"/>
    <x v="1"/>
  </r>
  <r>
    <n v="55"/>
    <x v="1"/>
    <n v="63000"/>
    <s v="White"/>
    <x v="1"/>
    <x v="1"/>
  </r>
  <r>
    <n v="80"/>
    <x v="1"/>
    <n v="63000"/>
    <s v="White"/>
    <x v="1"/>
    <x v="1"/>
  </r>
  <r>
    <n v="0"/>
    <x v="1"/>
    <n v="63000"/>
    <s v="White"/>
    <x v="1"/>
    <x v="1"/>
  </r>
  <r>
    <n v="40"/>
    <x v="1"/>
    <n v="63360"/>
    <s v="White"/>
    <x v="1"/>
    <x v="1"/>
  </r>
  <r>
    <n v="50"/>
    <x v="1"/>
    <n v="63500"/>
    <s v="White"/>
    <x v="0"/>
    <x v="1"/>
  </r>
  <r>
    <n v="45"/>
    <x v="1"/>
    <n v="64000"/>
    <s v="White"/>
    <x v="1"/>
    <x v="1"/>
  </r>
  <r>
    <n v="44"/>
    <x v="1"/>
    <n v="64000"/>
    <s v="White"/>
    <x v="0"/>
    <x v="1"/>
  </r>
  <r>
    <n v="70"/>
    <x v="1"/>
    <n v="64000"/>
    <s v="White"/>
    <x v="1"/>
    <x v="1"/>
  </r>
  <r>
    <n v="50"/>
    <x v="1"/>
    <n v="64100"/>
    <s v="Black"/>
    <x v="0"/>
    <x v="1"/>
  </r>
  <r>
    <n v="43"/>
    <x v="1"/>
    <n v="64500"/>
    <s v="White"/>
    <x v="1"/>
    <x v="1"/>
  </r>
  <r>
    <n v="50"/>
    <x v="1"/>
    <n v="65000"/>
    <s v="White"/>
    <x v="1"/>
    <x v="1"/>
  </r>
  <r>
    <n v="55"/>
    <x v="1"/>
    <n v="65000"/>
    <s v="White"/>
    <x v="1"/>
    <x v="1"/>
  </r>
  <r>
    <n v="40"/>
    <x v="1"/>
    <n v="65000"/>
    <s v="White"/>
    <x v="1"/>
    <x v="1"/>
  </r>
  <r>
    <n v="60"/>
    <x v="1"/>
    <n v="65000"/>
    <s v="White"/>
    <x v="1"/>
    <x v="1"/>
  </r>
  <r>
    <n v="50"/>
    <x v="1"/>
    <n v="65000"/>
    <s v="White"/>
    <x v="0"/>
    <x v="1"/>
  </r>
  <r>
    <n v="40"/>
    <x v="1"/>
    <n v="65000"/>
    <s v="White"/>
    <x v="1"/>
    <x v="1"/>
  </r>
  <r>
    <n v="60"/>
    <x v="1"/>
    <n v="65000"/>
    <s v="White"/>
    <x v="1"/>
    <x v="1"/>
  </r>
  <r>
    <n v="55"/>
    <x v="1"/>
    <n v="65000"/>
    <s v="AsianPI"/>
    <x v="0"/>
    <x v="1"/>
  </r>
  <r>
    <n v="45"/>
    <x v="1"/>
    <n v="65000"/>
    <s v="White"/>
    <x v="0"/>
    <x v="1"/>
  </r>
  <r>
    <n v="55"/>
    <x v="1"/>
    <n v="65000"/>
    <s v="White"/>
    <x v="1"/>
    <x v="1"/>
  </r>
  <r>
    <n v="45"/>
    <x v="1"/>
    <n v="65000"/>
    <s v="White"/>
    <x v="1"/>
    <x v="1"/>
  </r>
  <r>
    <n v="40"/>
    <x v="1"/>
    <n v="65000"/>
    <s v="AsianPI"/>
    <x v="0"/>
    <x v="1"/>
  </r>
  <r>
    <n v="0"/>
    <x v="1"/>
    <n v="65000"/>
    <s v="White"/>
    <x v="1"/>
    <x v="1"/>
  </r>
  <r>
    <n v="50"/>
    <x v="1"/>
    <n v="65000"/>
    <s v="White"/>
    <x v="1"/>
    <x v="1"/>
  </r>
  <r>
    <n v="45"/>
    <x v="1"/>
    <n v="65000"/>
    <s v="White"/>
    <x v="1"/>
    <x v="1"/>
  </r>
  <r>
    <n v="50"/>
    <x v="1"/>
    <n v="65000"/>
    <s v="White"/>
    <x v="1"/>
    <x v="1"/>
  </r>
  <r>
    <n v="40"/>
    <x v="1"/>
    <n v="65000"/>
    <s v="AsianPI"/>
    <x v="0"/>
    <x v="1"/>
  </r>
  <r>
    <n v="40"/>
    <x v="1"/>
    <n v="65000"/>
    <s v="White"/>
    <x v="1"/>
    <x v="1"/>
  </r>
  <r>
    <n v="40"/>
    <x v="1"/>
    <n v="65000"/>
    <s v="White"/>
    <x v="1"/>
    <x v="1"/>
  </r>
  <r>
    <n v="60"/>
    <x v="1"/>
    <n v="65000"/>
    <s v="White"/>
    <x v="1"/>
    <x v="1"/>
  </r>
  <r>
    <n v="80"/>
    <x v="1"/>
    <n v="66000"/>
    <s v="White"/>
    <x v="1"/>
    <x v="1"/>
  </r>
  <r>
    <n v="40"/>
    <x v="1"/>
    <n v="66000"/>
    <s v="White"/>
    <x v="1"/>
    <x v="1"/>
  </r>
  <r>
    <n v="50"/>
    <x v="1"/>
    <n v="66000"/>
    <s v="White"/>
    <x v="1"/>
    <x v="1"/>
  </r>
  <r>
    <n v="50"/>
    <x v="1"/>
    <n v="66000"/>
    <s v="White"/>
    <x v="1"/>
    <x v="1"/>
  </r>
  <r>
    <n v="43"/>
    <x v="1"/>
    <n v="66300"/>
    <s v="White"/>
    <x v="1"/>
    <x v="1"/>
  </r>
  <r>
    <n v="45"/>
    <x v="1"/>
    <n v="67000"/>
    <s v="White"/>
    <x v="0"/>
    <x v="1"/>
  </r>
  <r>
    <n v="80"/>
    <x v="1"/>
    <n v="67000"/>
    <s v="Black"/>
    <x v="1"/>
    <x v="1"/>
  </r>
  <r>
    <n v="45"/>
    <x v="1"/>
    <n v="67000"/>
    <s v="White"/>
    <x v="1"/>
    <x v="1"/>
  </r>
  <r>
    <n v="40"/>
    <x v="1"/>
    <n v="68000"/>
    <s v="White"/>
    <x v="1"/>
    <x v="1"/>
  </r>
  <r>
    <n v="50"/>
    <x v="1"/>
    <n v="68000"/>
    <s v="White"/>
    <x v="1"/>
    <x v="1"/>
  </r>
  <r>
    <n v="40"/>
    <x v="1"/>
    <n v="68000"/>
    <s v="White"/>
    <x v="1"/>
    <x v="1"/>
  </r>
  <r>
    <n v="50"/>
    <x v="1"/>
    <n v="68000"/>
    <s v="White"/>
    <x v="1"/>
    <x v="1"/>
  </r>
  <r>
    <n v="40"/>
    <x v="1"/>
    <n v="68000"/>
    <s v="White"/>
    <x v="1"/>
    <x v="1"/>
  </r>
  <r>
    <n v="40"/>
    <x v="1"/>
    <n v="68000"/>
    <s v="White"/>
    <x v="1"/>
    <x v="1"/>
  </r>
  <r>
    <n v="45"/>
    <x v="1"/>
    <n v="68000"/>
    <s v="White"/>
    <x v="0"/>
    <x v="1"/>
  </r>
  <r>
    <n v="45"/>
    <x v="1"/>
    <n v="68240"/>
    <s v="White"/>
    <x v="1"/>
    <x v="1"/>
  </r>
  <r>
    <n v="45"/>
    <x v="1"/>
    <n v="69000"/>
    <s v="White"/>
    <x v="0"/>
    <x v="1"/>
  </r>
  <r>
    <n v="40"/>
    <x v="1"/>
    <n v="69000"/>
    <s v="White"/>
    <x v="1"/>
    <x v="1"/>
  </r>
  <r>
    <n v="40"/>
    <x v="1"/>
    <n v="70000"/>
    <s v="White"/>
    <x v="1"/>
    <x v="1"/>
  </r>
  <r>
    <n v="48"/>
    <x v="1"/>
    <n v="70000"/>
    <s v="White"/>
    <x v="1"/>
    <x v="1"/>
  </r>
  <r>
    <n v="40"/>
    <x v="1"/>
    <n v="70000"/>
    <s v="White"/>
    <x v="1"/>
    <x v="1"/>
  </r>
  <r>
    <n v="40"/>
    <x v="1"/>
    <n v="70000"/>
    <s v="White"/>
    <x v="0"/>
    <x v="1"/>
  </r>
  <r>
    <n v="40"/>
    <x v="1"/>
    <n v="70000"/>
    <s v="White"/>
    <x v="1"/>
    <x v="1"/>
  </r>
  <r>
    <n v="0"/>
    <x v="1"/>
    <n v="70000"/>
    <s v="White"/>
    <x v="1"/>
    <x v="1"/>
  </r>
  <r>
    <n v="60"/>
    <x v="1"/>
    <n v="70000"/>
    <s v="White"/>
    <x v="1"/>
    <x v="1"/>
  </r>
  <r>
    <n v="40"/>
    <x v="1"/>
    <n v="70000"/>
    <s v="White"/>
    <x v="1"/>
    <x v="1"/>
  </r>
  <r>
    <n v="40"/>
    <x v="1"/>
    <n v="70000"/>
    <s v="White"/>
    <x v="1"/>
    <x v="1"/>
  </r>
  <r>
    <n v="60"/>
    <x v="1"/>
    <n v="70000"/>
    <s v="Black"/>
    <x v="1"/>
    <x v="1"/>
  </r>
  <r>
    <n v="60"/>
    <x v="1"/>
    <n v="70000"/>
    <s v="White"/>
    <x v="1"/>
    <x v="1"/>
  </r>
  <r>
    <n v="40"/>
    <x v="1"/>
    <n v="70000"/>
    <s v="White"/>
    <x v="0"/>
    <x v="1"/>
  </r>
  <r>
    <n v="40"/>
    <x v="1"/>
    <n v="70000"/>
    <s v="White"/>
    <x v="1"/>
    <x v="1"/>
  </r>
  <r>
    <n v="50"/>
    <x v="1"/>
    <n v="70000"/>
    <s v="White"/>
    <x v="1"/>
    <x v="1"/>
  </r>
  <r>
    <n v="45"/>
    <x v="1"/>
    <n v="70000"/>
    <s v="White"/>
    <x v="1"/>
    <x v="1"/>
  </r>
  <r>
    <n v="40"/>
    <x v="1"/>
    <n v="70000"/>
    <s v="White"/>
    <x v="1"/>
    <x v="1"/>
  </r>
  <r>
    <n v="50"/>
    <x v="1"/>
    <n v="70000"/>
    <s v="White"/>
    <x v="0"/>
    <x v="1"/>
  </r>
  <r>
    <n v="40"/>
    <x v="1"/>
    <n v="70000"/>
    <s v="White"/>
    <x v="0"/>
    <x v="1"/>
  </r>
  <r>
    <n v="40"/>
    <x v="1"/>
    <n v="70000"/>
    <s v="White"/>
    <x v="1"/>
    <x v="1"/>
  </r>
  <r>
    <n v="50"/>
    <x v="1"/>
    <n v="70000"/>
    <s v="White"/>
    <x v="1"/>
    <x v="1"/>
  </r>
  <r>
    <n v="40"/>
    <x v="1"/>
    <n v="70000"/>
    <s v="AsianPI"/>
    <x v="1"/>
    <x v="1"/>
  </r>
  <r>
    <n v="95"/>
    <x v="1"/>
    <n v="70000"/>
    <s v="White"/>
    <x v="0"/>
    <x v="1"/>
  </r>
  <r>
    <n v="58"/>
    <x v="1"/>
    <n v="70000"/>
    <s v="White"/>
    <x v="1"/>
    <x v="1"/>
  </r>
  <r>
    <n v="40"/>
    <x v="1"/>
    <n v="72000"/>
    <s v="AsianPI"/>
    <x v="1"/>
    <x v="1"/>
  </r>
  <r>
    <n v="40"/>
    <x v="1"/>
    <n v="72000"/>
    <s v="White"/>
    <x v="0"/>
    <x v="1"/>
  </r>
  <r>
    <n v="50"/>
    <x v="1"/>
    <n v="72000"/>
    <s v="White"/>
    <x v="1"/>
    <x v="1"/>
  </r>
  <r>
    <n v="65"/>
    <x v="1"/>
    <n v="72000"/>
    <s v="White"/>
    <x v="1"/>
    <x v="1"/>
  </r>
  <r>
    <n v="40"/>
    <x v="1"/>
    <n v="72000"/>
    <s v="White"/>
    <x v="0"/>
    <x v="1"/>
  </r>
  <r>
    <n v="48"/>
    <x v="1"/>
    <n v="72000"/>
    <s v="White"/>
    <x v="0"/>
    <x v="1"/>
  </r>
  <r>
    <n v="50"/>
    <x v="1"/>
    <n v="73000"/>
    <s v="White"/>
    <x v="1"/>
    <x v="1"/>
  </r>
  <r>
    <n v="45"/>
    <x v="1"/>
    <n v="73000"/>
    <s v="White"/>
    <x v="1"/>
    <x v="1"/>
  </r>
  <r>
    <n v="80"/>
    <x v="1"/>
    <n v="73000"/>
    <s v="White"/>
    <x v="1"/>
    <x v="1"/>
  </r>
  <r>
    <n v="45"/>
    <x v="1"/>
    <n v="73000"/>
    <s v="White"/>
    <x v="1"/>
    <x v="1"/>
  </r>
  <r>
    <n v="40"/>
    <x v="1"/>
    <n v="74000"/>
    <s v="White"/>
    <x v="1"/>
    <x v="1"/>
  </r>
  <r>
    <n v="50"/>
    <x v="1"/>
    <n v="74726"/>
    <s v="White"/>
    <x v="1"/>
    <x v="1"/>
  </r>
  <r>
    <n v="60"/>
    <x v="1"/>
    <n v="75000"/>
    <s v="White"/>
    <x v="1"/>
    <x v="1"/>
  </r>
  <r>
    <n v="60"/>
    <x v="1"/>
    <n v="75000"/>
    <s v="White"/>
    <x v="1"/>
    <x v="1"/>
  </r>
  <r>
    <n v="50"/>
    <x v="1"/>
    <n v="75000"/>
    <s v="White"/>
    <x v="1"/>
    <x v="1"/>
  </r>
  <r>
    <n v="40"/>
    <x v="1"/>
    <n v="75000"/>
    <s v="White"/>
    <x v="0"/>
    <x v="1"/>
  </r>
  <r>
    <n v="40"/>
    <x v="1"/>
    <n v="75000"/>
    <s v="White"/>
    <x v="1"/>
    <x v="1"/>
  </r>
  <r>
    <n v="40"/>
    <x v="1"/>
    <n v="75000"/>
    <s v="White"/>
    <x v="1"/>
    <x v="1"/>
  </r>
  <r>
    <n v="40"/>
    <x v="1"/>
    <n v="75000"/>
    <s v="White"/>
    <x v="1"/>
    <x v="1"/>
  </r>
  <r>
    <n v="48"/>
    <x v="1"/>
    <n v="75000"/>
    <s v="White"/>
    <x v="0"/>
    <x v="1"/>
  </r>
  <r>
    <n v="50"/>
    <x v="1"/>
    <n v="75000"/>
    <s v="White"/>
    <x v="1"/>
    <x v="1"/>
  </r>
  <r>
    <n v="45"/>
    <x v="1"/>
    <n v="75000"/>
    <s v="AsianPI"/>
    <x v="1"/>
    <x v="1"/>
  </r>
  <r>
    <n v="40"/>
    <x v="1"/>
    <n v="75000"/>
    <s v="White"/>
    <x v="1"/>
    <x v="1"/>
  </r>
  <r>
    <n v="40"/>
    <x v="1"/>
    <n v="75000"/>
    <s v="AsianPI"/>
    <x v="1"/>
    <x v="1"/>
  </r>
  <r>
    <n v="50"/>
    <x v="1"/>
    <n v="75000"/>
    <s v="White"/>
    <x v="1"/>
    <x v="1"/>
  </r>
  <r>
    <n v="50"/>
    <x v="1"/>
    <n v="75000"/>
    <s v="White"/>
    <x v="1"/>
    <x v="1"/>
  </r>
  <r>
    <n v="50"/>
    <x v="1"/>
    <n v="75000"/>
    <s v="White"/>
    <x v="0"/>
    <x v="1"/>
  </r>
  <r>
    <n v="60"/>
    <x v="1"/>
    <n v="75000"/>
    <s v="White"/>
    <x v="1"/>
    <x v="1"/>
  </r>
  <r>
    <n v="70"/>
    <x v="1"/>
    <n v="75000"/>
    <s v="AsianPI"/>
    <x v="1"/>
    <x v="1"/>
  </r>
  <r>
    <n v="40"/>
    <x v="1"/>
    <n v="75000"/>
    <s v="White"/>
    <x v="0"/>
    <x v="1"/>
  </r>
  <r>
    <n v="0"/>
    <x v="1"/>
    <n v="75000"/>
    <s v="White"/>
    <x v="1"/>
    <x v="1"/>
  </r>
  <r>
    <n v="40"/>
    <x v="1"/>
    <n v="75000"/>
    <s v="White"/>
    <x v="1"/>
    <x v="1"/>
  </r>
  <r>
    <n v="40"/>
    <x v="1"/>
    <n v="75000"/>
    <s v="White"/>
    <x v="0"/>
    <x v="1"/>
  </r>
  <r>
    <n v="50"/>
    <x v="1"/>
    <n v="75000"/>
    <s v="White"/>
    <x v="1"/>
    <x v="1"/>
  </r>
  <r>
    <n v="65"/>
    <x v="1"/>
    <n v="75000"/>
    <s v="White"/>
    <x v="1"/>
    <x v="1"/>
  </r>
  <r>
    <n v="50"/>
    <x v="1"/>
    <n v="75000"/>
    <s v="White"/>
    <x v="1"/>
    <x v="1"/>
  </r>
  <r>
    <n v="40"/>
    <x v="1"/>
    <n v="75500"/>
    <s v="White"/>
    <x v="1"/>
    <x v="1"/>
  </r>
  <r>
    <n v="40"/>
    <x v="1"/>
    <n v="75540"/>
    <s v="White"/>
    <x v="1"/>
    <x v="1"/>
  </r>
  <r>
    <n v="45"/>
    <x v="1"/>
    <n v="76000"/>
    <s v="White"/>
    <x v="0"/>
    <x v="1"/>
  </r>
  <r>
    <n v="50"/>
    <x v="1"/>
    <n v="78000"/>
    <s v="White"/>
    <x v="0"/>
    <x v="1"/>
  </r>
  <r>
    <n v="50"/>
    <x v="1"/>
    <n v="78000"/>
    <s v="White"/>
    <x v="1"/>
    <x v="1"/>
  </r>
  <r>
    <n v="50"/>
    <x v="1"/>
    <n v="78000"/>
    <s v="White"/>
    <x v="0"/>
    <x v="1"/>
  </r>
  <r>
    <n v="40"/>
    <x v="1"/>
    <n v="78480"/>
    <s v="White"/>
    <x v="1"/>
    <x v="1"/>
  </r>
  <r>
    <n v="50"/>
    <x v="1"/>
    <n v="80000"/>
    <s v="White"/>
    <x v="1"/>
    <x v="1"/>
  </r>
  <r>
    <n v="45"/>
    <x v="1"/>
    <n v="80000"/>
    <s v="White"/>
    <x v="1"/>
    <x v="1"/>
  </r>
  <r>
    <n v="45"/>
    <x v="1"/>
    <n v="80000"/>
    <s v="White"/>
    <x v="1"/>
    <x v="1"/>
  </r>
  <r>
    <n v="40"/>
    <x v="1"/>
    <n v="80000"/>
    <s v="White"/>
    <x v="1"/>
    <x v="1"/>
  </r>
  <r>
    <n v="40"/>
    <x v="1"/>
    <n v="80000"/>
    <s v="White"/>
    <x v="0"/>
    <x v="1"/>
  </r>
  <r>
    <n v="0"/>
    <x v="1"/>
    <n v="80000"/>
    <s v="White"/>
    <x v="0"/>
    <x v="1"/>
  </r>
  <r>
    <n v="50"/>
    <x v="1"/>
    <n v="80000"/>
    <s v="White"/>
    <x v="1"/>
    <x v="1"/>
  </r>
  <r>
    <n v="55"/>
    <x v="1"/>
    <n v="80000"/>
    <s v="White"/>
    <x v="1"/>
    <x v="1"/>
  </r>
  <r>
    <n v="40"/>
    <x v="1"/>
    <n v="80000"/>
    <s v="White"/>
    <x v="0"/>
    <x v="1"/>
  </r>
  <r>
    <n v="0"/>
    <x v="1"/>
    <n v="80000"/>
    <s v="White"/>
    <x v="1"/>
    <x v="1"/>
  </r>
  <r>
    <n v="50"/>
    <x v="1"/>
    <n v="80000"/>
    <s v="White"/>
    <x v="1"/>
    <x v="1"/>
  </r>
  <r>
    <n v="40"/>
    <x v="1"/>
    <n v="80000"/>
    <s v="White"/>
    <x v="1"/>
    <x v="1"/>
  </r>
  <r>
    <n v="50"/>
    <x v="1"/>
    <n v="80000"/>
    <s v="White"/>
    <x v="1"/>
    <x v="1"/>
  </r>
  <r>
    <n v="50"/>
    <x v="1"/>
    <n v="80000"/>
    <s v="White"/>
    <x v="1"/>
    <x v="1"/>
  </r>
  <r>
    <n v="50"/>
    <x v="1"/>
    <n v="80000"/>
    <s v="White"/>
    <x v="1"/>
    <x v="1"/>
  </r>
  <r>
    <n v="70"/>
    <x v="1"/>
    <n v="81000"/>
    <s v="White"/>
    <x v="1"/>
    <x v="1"/>
  </r>
  <r>
    <n v="45"/>
    <x v="1"/>
    <n v="81000"/>
    <s v="White"/>
    <x v="1"/>
    <x v="1"/>
  </r>
  <r>
    <n v="42"/>
    <x v="1"/>
    <n v="81925"/>
    <s v="White"/>
    <x v="1"/>
    <x v="1"/>
  </r>
  <r>
    <n v="60"/>
    <x v="1"/>
    <n v="82000"/>
    <s v="White"/>
    <x v="1"/>
    <x v="1"/>
  </r>
  <r>
    <n v="40"/>
    <x v="1"/>
    <n v="82000"/>
    <s v="White"/>
    <x v="0"/>
    <x v="1"/>
  </r>
  <r>
    <n v="44"/>
    <x v="1"/>
    <n v="82000"/>
    <s v="White"/>
    <x v="1"/>
    <x v="1"/>
  </r>
  <r>
    <n v="55"/>
    <x v="1"/>
    <n v="82198"/>
    <s v="White"/>
    <x v="1"/>
    <x v="1"/>
  </r>
  <r>
    <n v="57"/>
    <x v="1"/>
    <n v="84000"/>
    <s v="White"/>
    <x v="1"/>
    <x v="1"/>
  </r>
  <r>
    <n v="50"/>
    <x v="1"/>
    <n v="84000"/>
    <s v="White"/>
    <x v="1"/>
    <x v="1"/>
  </r>
  <r>
    <n v="45"/>
    <x v="1"/>
    <n v="85000"/>
    <s v="White"/>
    <x v="1"/>
    <x v="1"/>
  </r>
  <r>
    <n v="40"/>
    <x v="1"/>
    <n v="85000"/>
    <s v="White"/>
    <x v="1"/>
    <x v="1"/>
  </r>
  <r>
    <n v="50"/>
    <x v="1"/>
    <n v="85000"/>
    <s v="White"/>
    <x v="1"/>
    <x v="1"/>
  </r>
  <r>
    <n v="50"/>
    <x v="1"/>
    <n v="85000"/>
    <s v="White"/>
    <x v="1"/>
    <x v="1"/>
  </r>
  <r>
    <n v="50"/>
    <x v="1"/>
    <n v="85000"/>
    <s v="White"/>
    <x v="1"/>
    <x v="1"/>
  </r>
  <r>
    <n v="40"/>
    <x v="1"/>
    <n v="85000"/>
    <s v="White"/>
    <x v="1"/>
    <x v="1"/>
  </r>
  <r>
    <n v="60"/>
    <x v="1"/>
    <n v="85000"/>
    <s v="White"/>
    <x v="1"/>
    <x v="1"/>
  </r>
  <r>
    <n v="50"/>
    <x v="1"/>
    <n v="85000"/>
    <s v="White"/>
    <x v="1"/>
    <x v="1"/>
  </r>
  <r>
    <n v="50"/>
    <x v="1"/>
    <n v="85000"/>
    <s v="White"/>
    <x v="1"/>
    <x v="1"/>
  </r>
  <r>
    <n v="50"/>
    <x v="1"/>
    <n v="85000"/>
    <s v="Black"/>
    <x v="1"/>
    <x v="1"/>
  </r>
  <r>
    <n v="45"/>
    <x v="1"/>
    <n v="85828"/>
    <s v="Black"/>
    <x v="0"/>
    <x v="1"/>
  </r>
  <r>
    <n v="0"/>
    <x v="1"/>
    <n v="86000"/>
    <s v="White"/>
    <x v="1"/>
    <x v="1"/>
  </r>
  <r>
    <n v="75"/>
    <x v="1"/>
    <n v="87000"/>
    <s v="White"/>
    <x v="1"/>
    <x v="1"/>
  </r>
  <r>
    <n v="40"/>
    <x v="1"/>
    <n v="87000"/>
    <s v="White"/>
    <x v="1"/>
    <x v="1"/>
  </r>
  <r>
    <n v="40"/>
    <x v="1"/>
    <n v="88000"/>
    <s v="White"/>
    <x v="0"/>
    <x v="1"/>
  </r>
  <r>
    <n v="50"/>
    <x v="1"/>
    <n v="88000"/>
    <s v="White"/>
    <x v="1"/>
    <x v="1"/>
  </r>
  <r>
    <n v="40"/>
    <x v="1"/>
    <n v="88500"/>
    <s v="White"/>
    <x v="1"/>
    <x v="1"/>
  </r>
  <r>
    <n v="48"/>
    <x v="1"/>
    <n v="88500"/>
    <s v="White"/>
    <x v="1"/>
    <x v="1"/>
  </r>
  <r>
    <n v="40"/>
    <x v="1"/>
    <n v="89000"/>
    <s v="White"/>
    <x v="1"/>
    <x v="1"/>
  </r>
  <r>
    <n v="59"/>
    <x v="1"/>
    <n v="89925"/>
    <s v="White"/>
    <x v="1"/>
    <x v="1"/>
  </r>
  <r>
    <n v="60"/>
    <x v="1"/>
    <n v="90000"/>
    <s v="White"/>
    <x v="1"/>
    <x v="1"/>
  </r>
  <r>
    <n v="50"/>
    <x v="1"/>
    <n v="90000"/>
    <s v="White"/>
    <x v="1"/>
    <x v="1"/>
  </r>
  <r>
    <n v="40"/>
    <x v="1"/>
    <n v="90000"/>
    <s v="White"/>
    <x v="0"/>
    <x v="1"/>
  </r>
  <r>
    <n v="50"/>
    <x v="1"/>
    <n v="90000"/>
    <s v="IndEsk"/>
    <x v="1"/>
    <x v="1"/>
  </r>
  <r>
    <n v="60"/>
    <x v="1"/>
    <n v="90000"/>
    <s v="White"/>
    <x v="1"/>
    <x v="1"/>
  </r>
  <r>
    <n v="65"/>
    <x v="1"/>
    <n v="90000"/>
    <s v="AsianPI"/>
    <x v="1"/>
    <x v="1"/>
  </r>
  <r>
    <n v="50"/>
    <x v="1"/>
    <n v="90000"/>
    <s v="Black"/>
    <x v="1"/>
    <x v="1"/>
  </r>
  <r>
    <n v="40"/>
    <x v="1"/>
    <n v="90000"/>
    <s v="White"/>
    <x v="1"/>
    <x v="1"/>
  </r>
  <r>
    <n v="40"/>
    <x v="1"/>
    <n v="90000"/>
    <s v="AsianPI"/>
    <x v="1"/>
    <x v="1"/>
  </r>
  <r>
    <n v="52"/>
    <x v="1"/>
    <n v="90000"/>
    <s v="White"/>
    <x v="1"/>
    <x v="1"/>
  </r>
  <r>
    <n v="60"/>
    <x v="1"/>
    <n v="90000"/>
    <s v="White"/>
    <x v="1"/>
    <x v="1"/>
  </r>
  <r>
    <n v="45"/>
    <x v="1"/>
    <n v="90406"/>
    <s v="White"/>
    <x v="1"/>
    <x v="1"/>
  </r>
  <r>
    <n v="36"/>
    <x v="1"/>
    <n v="90406"/>
    <s v="White"/>
    <x v="1"/>
    <x v="1"/>
  </r>
  <r>
    <n v="50"/>
    <x v="1"/>
    <n v="91000"/>
    <s v="White"/>
    <x v="1"/>
    <x v="1"/>
  </r>
  <r>
    <n v="0"/>
    <x v="1"/>
    <n v="91000"/>
    <s v="White"/>
    <x v="1"/>
    <x v="1"/>
  </r>
  <r>
    <n v="40"/>
    <x v="1"/>
    <n v="92000"/>
    <s v="White"/>
    <x v="0"/>
    <x v="1"/>
  </r>
  <r>
    <n v="50"/>
    <x v="1"/>
    <n v="92000"/>
    <s v="White"/>
    <x v="1"/>
    <x v="1"/>
  </r>
  <r>
    <n v="80"/>
    <x v="1"/>
    <n v="92000"/>
    <s v="White"/>
    <x v="1"/>
    <x v="1"/>
  </r>
  <r>
    <n v="40"/>
    <x v="1"/>
    <n v="92083"/>
    <s v="White"/>
    <x v="0"/>
    <x v="1"/>
  </r>
  <r>
    <n v="40"/>
    <x v="1"/>
    <n v="94000"/>
    <s v="White"/>
    <x v="1"/>
    <x v="1"/>
  </r>
  <r>
    <n v="40"/>
    <x v="1"/>
    <n v="94925"/>
    <s v="White"/>
    <x v="1"/>
    <x v="1"/>
  </r>
  <r>
    <n v="40"/>
    <x v="1"/>
    <n v="96000"/>
    <s v="White"/>
    <x v="1"/>
    <x v="1"/>
  </r>
  <r>
    <n v="40"/>
    <x v="1"/>
    <n v="96406"/>
    <s v="White"/>
    <x v="1"/>
    <x v="1"/>
  </r>
  <r>
    <n v="45"/>
    <x v="1"/>
    <n v="97000"/>
    <s v="White"/>
    <x v="1"/>
    <x v="1"/>
  </r>
  <r>
    <n v="60"/>
    <x v="1"/>
    <n v="97000"/>
    <s v="White"/>
    <x v="1"/>
    <x v="1"/>
  </r>
  <r>
    <n v="50"/>
    <x v="1"/>
    <n v="97006"/>
    <s v="White"/>
    <x v="1"/>
    <x v="1"/>
  </r>
  <r>
    <n v="40"/>
    <x v="1"/>
    <n v="98000"/>
    <s v="White"/>
    <x v="0"/>
    <x v="1"/>
  </r>
  <r>
    <n v="50"/>
    <x v="1"/>
    <n v="98600"/>
    <s v="White"/>
    <x v="1"/>
    <x v="1"/>
  </r>
  <r>
    <n v="55"/>
    <x v="1"/>
    <n v="99000"/>
    <s v="White"/>
    <x v="1"/>
    <x v="1"/>
  </r>
  <r>
    <n v="65"/>
    <x v="1"/>
    <n v="99925"/>
    <s v="White"/>
    <x v="1"/>
    <x v="1"/>
  </r>
  <r>
    <n v="60"/>
    <x v="1"/>
    <n v="100000"/>
    <s v="White"/>
    <x v="0"/>
    <x v="1"/>
  </r>
  <r>
    <n v="60"/>
    <x v="1"/>
    <n v="100000"/>
    <s v="White"/>
    <x v="1"/>
    <x v="1"/>
  </r>
  <r>
    <n v="45"/>
    <x v="1"/>
    <n v="100000"/>
    <s v="White"/>
    <x v="1"/>
    <x v="1"/>
  </r>
  <r>
    <n v="50"/>
    <x v="1"/>
    <n v="100000"/>
    <s v="White"/>
    <x v="1"/>
    <x v="1"/>
  </r>
  <r>
    <n v="70"/>
    <x v="1"/>
    <n v="100000"/>
    <s v="White"/>
    <x v="1"/>
    <x v="1"/>
  </r>
  <r>
    <n v="40"/>
    <x v="1"/>
    <n v="100000"/>
    <s v="White"/>
    <x v="1"/>
    <x v="1"/>
  </r>
  <r>
    <n v="55"/>
    <x v="1"/>
    <n v="100000"/>
    <s v="White"/>
    <x v="1"/>
    <x v="1"/>
  </r>
  <r>
    <n v="45"/>
    <x v="1"/>
    <n v="100000"/>
    <s v="White"/>
    <x v="1"/>
    <x v="1"/>
  </r>
  <r>
    <n v="50"/>
    <x v="1"/>
    <n v="100000"/>
    <s v="White"/>
    <x v="1"/>
    <x v="1"/>
  </r>
  <r>
    <n v="50"/>
    <x v="1"/>
    <n v="100000"/>
    <s v="White"/>
    <x v="1"/>
    <x v="1"/>
  </r>
  <r>
    <n v="40"/>
    <x v="1"/>
    <n v="100000"/>
    <s v="White"/>
    <x v="1"/>
    <x v="1"/>
  </r>
  <r>
    <n v="40"/>
    <x v="1"/>
    <n v="100000"/>
    <s v="White"/>
    <x v="1"/>
    <x v="1"/>
  </r>
  <r>
    <n v="40"/>
    <x v="1"/>
    <n v="100000"/>
    <s v="White"/>
    <x v="1"/>
    <x v="1"/>
  </r>
  <r>
    <n v="40"/>
    <x v="1"/>
    <n v="100000"/>
    <s v="White"/>
    <x v="1"/>
    <x v="1"/>
  </r>
  <r>
    <n v="40"/>
    <x v="1"/>
    <n v="100406"/>
    <s v="White"/>
    <x v="1"/>
    <x v="1"/>
  </r>
  <r>
    <n v="45"/>
    <x v="1"/>
    <n v="101740"/>
    <s v="White"/>
    <x v="1"/>
    <x v="1"/>
  </r>
  <r>
    <n v="53"/>
    <x v="1"/>
    <n v="102000"/>
    <s v="White"/>
    <x v="1"/>
    <x v="1"/>
  </r>
  <r>
    <n v="57"/>
    <x v="1"/>
    <n v="104000"/>
    <s v="White"/>
    <x v="1"/>
    <x v="1"/>
  </r>
  <r>
    <n v="50"/>
    <x v="1"/>
    <n v="105000"/>
    <s v="White"/>
    <x v="1"/>
    <x v="1"/>
  </r>
  <r>
    <n v="0"/>
    <x v="1"/>
    <n v="105000"/>
    <s v="White"/>
    <x v="1"/>
    <x v="1"/>
  </r>
  <r>
    <n v="59"/>
    <x v="1"/>
    <n v="105001"/>
    <s v="White"/>
    <x v="1"/>
    <x v="1"/>
  </r>
  <r>
    <n v="50"/>
    <x v="1"/>
    <n v="106280"/>
    <s v="White"/>
    <x v="0"/>
    <x v="1"/>
  </r>
  <r>
    <n v="55"/>
    <x v="1"/>
    <n v="110000"/>
    <s v="White"/>
    <x v="1"/>
    <x v="1"/>
  </r>
  <r>
    <n v="50"/>
    <x v="1"/>
    <n v="110000"/>
    <s v="White"/>
    <x v="1"/>
    <x v="1"/>
  </r>
  <r>
    <n v="45"/>
    <x v="1"/>
    <n v="110000"/>
    <s v="White"/>
    <x v="1"/>
    <x v="1"/>
  </r>
  <r>
    <n v="40"/>
    <x v="1"/>
    <n v="110000"/>
    <s v="White"/>
    <x v="1"/>
    <x v="1"/>
  </r>
  <r>
    <n v="40"/>
    <x v="1"/>
    <n v="115000"/>
    <s v="White"/>
    <x v="1"/>
    <x v="1"/>
  </r>
  <r>
    <n v="40"/>
    <x v="1"/>
    <n v="115000"/>
    <s v="White"/>
    <x v="0"/>
    <x v="1"/>
  </r>
  <r>
    <n v="55"/>
    <x v="1"/>
    <n v="115000"/>
    <s v="White"/>
    <x v="1"/>
    <x v="1"/>
  </r>
  <r>
    <n v="40"/>
    <x v="1"/>
    <n v="117000"/>
    <s v="White"/>
    <x v="0"/>
    <x v="1"/>
  </r>
  <r>
    <n v="50"/>
    <x v="1"/>
    <n v="120000"/>
    <s v="White"/>
    <x v="1"/>
    <x v="1"/>
  </r>
  <r>
    <n v="44"/>
    <x v="1"/>
    <n v="120000"/>
    <s v="White"/>
    <x v="1"/>
    <x v="1"/>
  </r>
  <r>
    <n v="50"/>
    <x v="1"/>
    <n v="120000"/>
    <s v="White"/>
    <x v="1"/>
    <x v="1"/>
  </r>
  <r>
    <n v="60"/>
    <x v="1"/>
    <n v="120000"/>
    <s v="White"/>
    <x v="1"/>
    <x v="1"/>
  </r>
  <r>
    <n v="50"/>
    <x v="1"/>
    <n v="120000"/>
    <s v="AsianPI"/>
    <x v="0"/>
    <x v="1"/>
  </r>
  <r>
    <n v="0"/>
    <x v="1"/>
    <n v="120000"/>
    <s v="White"/>
    <x v="1"/>
    <x v="1"/>
  </r>
  <r>
    <n v="60"/>
    <x v="1"/>
    <n v="122000"/>
    <s v="White"/>
    <x v="1"/>
    <x v="1"/>
  </r>
  <r>
    <n v="50"/>
    <x v="1"/>
    <n v="124925"/>
    <s v="White"/>
    <x v="1"/>
    <x v="1"/>
  </r>
  <r>
    <n v="60"/>
    <x v="1"/>
    <n v="125000"/>
    <s v="White"/>
    <x v="1"/>
    <x v="1"/>
  </r>
  <r>
    <n v="50"/>
    <x v="1"/>
    <n v="125000"/>
    <s v="White"/>
    <x v="1"/>
    <x v="1"/>
  </r>
  <r>
    <n v="70"/>
    <x v="1"/>
    <n v="130000"/>
    <s v="White"/>
    <x v="1"/>
    <x v="1"/>
  </r>
  <r>
    <n v="70"/>
    <x v="1"/>
    <n v="130000"/>
    <s v="White"/>
    <x v="1"/>
    <x v="1"/>
  </r>
  <r>
    <n v="60"/>
    <x v="1"/>
    <n v="130000"/>
    <s v="White"/>
    <x v="1"/>
    <x v="1"/>
  </r>
  <r>
    <n v="70"/>
    <x v="1"/>
    <n v="132000"/>
    <s v="White"/>
    <x v="1"/>
    <x v="1"/>
  </r>
  <r>
    <n v="40"/>
    <x v="1"/>
    <n v="134925"/>
    <s v="White"/>
    <x v="1"/>
    <x v="1"/>
  </r>
  <r>
    <n v="50"/>
    <x v="1"/>
    <n v="135000"/>
    <s v="White"/>
    <x v="1"/>
    <x v="1"/>
  </r>
  <r>
    <n v="55"/>
    <x v="1"/>
    <n v="135000"/>
    <s v="White"/>
    <x v="1"/>
    <x v="1"/>
  </r>
  <r>
    <n v="44"/>
    <x v="1"/>
    <n v="135000"/>
    <s v="White"/>
    <x v="1"/>
    <x v="1"/>
  </r>
  <r>
    <n v="45"/>
    <x v="1"/>
    <n v="135000"/>
    <s v="White"/>
    <x v="0"/>
    <x v="1"/>
  </r>
  <r>
    <n v="60"/>
    <x v="1"/>
    <n v="135000"/>
    <s v="White"/>
    <x v="1"/>
    <x v="1"/>
  </r>
  <r>
    <n v="40"/>
    <x v="1"/>
    <n v="137000"/>
    <s v="AsianPI"/>
    <x v="1"/>
    <x v="1"/>
  </r>
  <r>
    <n v="0"/>
    <x v="1"/>
    <n v="139925"/>
    <s v="White"/>
    <x v="1"/>
    <x v="1"/>
  </r>
  <r>
    <n v="40"/>
    <x v="1"/>
    <n v="140000"/>
    <s v="White"/>
    <x v="1"/>
    <x v="1"/>
  </r>
  <r>
    <n v="55"/>
    <x v="1"/>
    <n v="140000"/>
    <s v="White"/>
    <x v="0"/>
    <x v="1"/>
  </r>
  <r>
    <n v="40"/>
    <x v="1"/>
    <n v="144499"/>
    <s v="White"/>
    <x v="1"/>
    <x v="1"/>
  </r>
  <r>
    <n v="40"/>
    <x v="1"/>
    <n v="144499"/>
    <s v="White"/>
    <x v="1"/>
    <x v="1"/>
  </r>
  <r>
    <n v="43"/>
    <x v="1"/>
    <n v="145000"/>
    <s v="White"/>
    <x v="1"/>
    <x v="1"/>
  </r>
  <r>
    <n v="55"/>
    <x v="1"/>
    <n v="150000"/>
    <s v="White"/>
    <x v="1"/>
    <x v="1"/>
  </r>
  <r>
    <n v="58"/>
    <x v="1"/>
    <n v="150000"/>
    <s v="White"/>
    <x v="1"/>
    <x v="1"/>
  </r>
  <r>
    <n v="50"/>
    <x v="1"/>
    <n v="150000"/>
    <s v="White"/>
    <x v="1"/>
    <x v="1"/>
  </r>
  <r>
    <n v="40"/>
    <x v="1"/>
    <n v="150000"/>
    <s v="White"/>
    <x v="1"/>
    <x v="1"/>
  </r>
  <r>
    <n v="40"/>
    <x v="1"/>
    <n v="150000"/>
    <s v="White"/>
    <x v="1"/>
    <x v="1"/>
  </r>
  <r>
    <n v="50"/>
    <x v="1"/>
    <n v="150000"/>
    <s v="White"/>
    <x v="1"/>
    <x v="1"/>
  </r>
  <r>
    <n v="55"/>
    <x v="1"/>
    <n v="150000"/>
    <s v="White"/>
    <x v="1"/>
    <x v="1"/>
  </r>
  <r>
    <n v="50"/>
    <x v="1"/>
    <n v="159925"/>
    <s v="White"/>
    <x v="1"/>
    <x v="1"/>
  </r>
  <r>
    <n v="50"/>
    <x v="1"/>
    <n v="306731"/>
    <s v="White"/>
    <x v="1"/>
    <x v="1"/>
  </r>
  <r>
    <n v="70"/>
    <x v="1"/>
    <n v="306731"/>
    <s v="White"/>
    <x v="1"/>
    <x v="1"/>
  </r>
  <r>
    <n v="50"/>
    <x v="1"/>
    <n v="306731"/>
    <s v="White"/>
    <x v="1"/>
    <x v="1"/>
  </r>
  <r>
    <n v="55"/>
    <x v="1"/>
    <n v="306731"/>
    <s v="White"/>
    <x v="1"/>
    <x v="1"/>
  </r>
  <r>
    <n v="40"/>
    <x v="1"/>
    <n v="306731"/>
    <s v="White"/>
    <x v="1"/>
    <x v="1"/>
  </r>
  <r>
    <n v="60"/>
    <x v="1"/>
    <n v="306731"/>
    <s v="White"/>
    <x v="1"/>
    <x v="1"/>
  </r>
  <r>
    <n v="50"/>
    <x v="1"/>
    <n v="306731"/>
    <s v="AsianPI"/>
    <x v="1"/>
    <x v="1"/>
  </r>
  <r>
    <n v="50"/>
    <x v="1"/>
    <n v="306731"/>
    <s v="White"/>
    <x v="1"/>
    <x v="1"/>
  </r>
  <r>
    <n v="0"/>
    <x v="1"/>
    <n v="306731"/>
    <s v="White"/>
    <x v="1"/>
    <x v="1"/>
  </r>
  <r>
    <n v="70"/>
    <x v="1"/>
    <n v="306731"/>
    <s v="White"/>
    <x v="1"/>
    <x v="1"/>
  </r>
  <r>
    <n v="60"/>
    <x v="1"/>
    <n v="306731"/>
    <s v="White"/>
    <x v="1"/>
    <x v="1"/>
  </r>
  <r>
    <n v="40"/>
    <x v="1"/>
    <n v="306731"/>
    <s v="White"/>
    <x v="1"/>
    <x v="1"/>
  </r>
  <r>
    <n v="65"/>
    <x v="1"/>
    <n v="306731"/>
    <s v="White"/>
    <x v="1"/>
    <x v="1"/>
  </r>
  <r>
    <n v="70"/>
    <x v="1"/>
    <n v="313231"/>
    <s v="White"/>
    <x v="1"/>
    <x v="1"/>
  </r>
  <r>
    <n v="60"/>
    <x v="1"/>
    <n v="314731"/>
    <s v="White"/>
    <x v="1"/>
    <x v="1"/>
  </r>
  <r>
    <n v="50"/>
    <x v="1"/>
    <n v="348516"/>
    <s v="White"/>
    <x v="1"/>
    <x v="1"/>
  </r>
  <r>
    <n v="0"/>
    <x v="1"/>
    <n v="366656"/>
    <s v="White"/>
    <x v="1"/>
    <x v="1"/>
  </r>
  <r>
    <n v="40"/>
    <x v="2"/>
    <n v="800"/>
    <s v="White"/>
    <x v="1"/>
    <x v="2"/>
  </r>
  <r>
    <n v="35"/>
    <x v="2"/>
    <n v="3000"/>
    <s v="White"/>
    <x v="0"/>
    <x v="2"/>
  </r>
  <r>
    <n v="40"/>
    <x v="2"/>
    <n v="3000"/>
    <s v="White"/>
    <x v="1"/>
    <x v="2"/>
  </r>
  <r>
    <n v="40"/>
    <x v="2"/>
    <n v="3660"/>
    <s v="White"/>
    <x v="0"/>
    <x v="2"/>
  </r>
  <r>
    <n v="40"/>
    <x v="2"/>
    <n v="5000"/>
    <s v="Black"/>
    <x v="0"/>
    <x v="2"/>
  </r>
  <r>
    <n v="40"/>
    <x v="2"/>
    <n v="7000"/>
    <s v="White"/>
    <x v="0"/>
    <x v="2"/>
  </r>
  <r>
    <n v="35"/>
    <x v="2"/>
    <n v="7200"/>
    <s v="White"/>
    <x v="0"/>
    <x v="2"/>
  </r>
  <r>
    <n v="0"/>
    <x v="2"/>
    <n v="8000"/>
    <s v="Black"/>
    <x v="0"/>
    <x v="2"/>
  </r>
  <r>
    <n v="40"/>
    <x v="2"/>
    <n v="8160"/>
    <s v="White"/>
    <x v="0"/>
    <x v="2"/>
  </r>
  <r>
    <n v="40"/>
    <x v="2"/>
    <n v="9000"/>
    <s v="White"/>
    <x v="1"/>
    <x v="2"/>
  </r>
  <r>
    <n v="40"/>
    <x v="2"/>
    <n v="9412"/>
    <s v="White"/>
    <x v="0"/>
    <x v="2"/>
  </r>
  <r>
    <n v="40"/>
    <x v="2"/>
    <n v="9999"/>
    <s v="White"/>
    <x v="1"/>
    <x v="2"/>
  </r>
  <r>
    <n v="38"/>
    <x v="2"/>
    <n v="10125"/>
    <s v="White"/>
    <x v="0"/>
    <x v="2"/>
  </r>
  <r>
    <n v="35"/>
    <x v="2"/>
    <n v="11804"/>
    <s v="White"/>
    <x v="0"/>
    <x v="2"/>
  </r>
  <r>
    <n v="40"/>
    <x v="2"/>
    <n v="12000"/>
    <s v="White"/>
    <x v="1"/>
    <x v="2"/>
  </r>
  <r>
    <n v="40"/>
    <x v="2"/>
    <n v="12000"/>
    <s v="White"/>
    <x v="0"/>
    <x v="2"/>
  </r>
  <r>
    <n v="40"/>
    <x v="2"/>
    <n v="12000"/>
    <s v="White"/>
    <x v="0"/>
    <x v="2"/>
  </r>
  <r>
    <n v="35"/>
    <x v="2"/>
    <n v="12000"/>
    <s v="White"/>
    <x v="0"/>
    <x v="2"/>
  </r>
  <r>
    <n v="40"/>
    <x v="2"/>
    <n v="12000"/>
    <s v="White"/>
    <x v="0"/>
    <x v="2"/>
  </r>
  <r>
    <n v="46"/>
    <x v="2"/>
    <n v="12800"/>
    <s v="White"/>
    <x v="0"/>
    <x v="2"/>
  </r>
  <r>
    <n v="70"/>
    <x v="2"/>
    <n v="12800"/>
    <s v="Black"/>
    <x v="1"/>
    <x v="2"/>
  </r>
  <r>
    <n v="35"/>
    <x v="2"/>
    <n v="13339"/>
    <s v="White"/>
    <x v="0"/>
    <x v="2"/>
  </r>
  <r>
    <n v="40"/>
    <x v="2"/>
    <n v="13747"/>
    <s v="White"/>
    <x v="0"/>
    <x v="2"/>
  </r>
  <r>
    <n v="40"/>
    <x v="2"/>
    <n v="14160"/>
    <s v="White"/>
    <x v="0"/>
    <x v="2"/>
  </r>
  <r>
    <n v="46"/>
    <x v="2"/>
    <n v="15000"/>
    <s v="White"/>
    <x v="0"/>
    <x v="2"/>
  </r>
  <r>
    <n v="40"/>
    <x v="2"/>
    <n v="15433"/>
    <s v="White"/>
    <x v="0"/>
    <x v="2"/>
  </r>
  <r>
    <n v="40"/>
    <x v="2"/>
    <n v="15600"/>
    <s v="White"/>
    <x v="1"/>
    <x v="2"/>
  </r>
  <r>
    <n v="40"/>
    <x v="2"/>
    <n v="17000"/>
    <s v="AsianPI"/>
    <x v="1"/>
    <x v="2"/>
  </r>
  <r>
    <n v="35"/>
    <x v="2"/>
    <n v="17200"/>
    <s v="White"/>
    <x v="0"/>
    <x v="2"/>
  </r>
  <r>
    <n v="40"/>
    <x v="2"/>
    <n v="18000"/>
    <s v="White"/>
    <x v="0"/>
    <x v="2"/>
  </r>
  <r>
    <n v="35"/>
    <x v="2"/>
    <n v="18000"/>
    <s v="White"/>
    <x v="0"/>
    <x v="2"/>
  </r>
  <r>
    <n v="0"/>
    <x v="2"/>
    <n v="18000"/>
    <s v="AsianPI"/>
    <x v="0"/>
    <x v="2"/>
  </r>
  <r>
    <n v="35"/>
    <x v="2"/>
    <n v="18000"/>
    <s v="White"/>
    <x v="0"/>
    <x v="2"/>
  </r>
  <r>
    <n v="37"/>
    <x v="2"/>
    <n v="18000"/>
    <s v="Black"/>
    <x v="1"/>
    <x v="2"/>
  </r>
  <r>
    <n v="40"/>
    <x v="2"/>
    <n v="18720"/>
    <s v="Black"/>
    <x v="0"/>
    <x v="2"/>
  </r>
  <r>
    <n v="40"/>
    <x v="2"/>
    <n v="19000"/>
    <s v="White"/>
    <x v="1"/>
    <x v="2"/>
  </r>
  <r>
    <n v="45"/>
    <x v="2"/>
    <n v="19600"/>
    <s v="White"/>
    <x v="0"/>
    <x v="2"/>
  </r>
  <r>
    <n v="40"/>
    <x v="2"/>
    <n v="20000"/>
    <s v="White"/>
    <x v="0"/>
    <x v="2"/>
  </r>
  <r>
    <n v="40"/>
    <x v="2"/>
    <n v="20000"/>
    <s v="White"/>
    <x v="0"/>
    <x v="2"/>
  </r>
  <r>
    <n v="40"/>
    <x v="2"/>
    <n v="20000"/>
    <s v="White"/>
    <x v="0"/>
    <x v="2"/>
  </r>
  <r>
    <n v="40"/>
    <x v="2"/>
    <n v="20000"/>
    <s v="White"/>
    <x v="0"/>
    <x v="2"/>
  </r>
  <r>
    <n v="40"/>
    <x v="2"/>
    <n v="20000"/>
    <s v="White"/>
    <x v="0"/>
    <x v="2"/>
  </r>
  <r>
    <n v="40"/>
    <x v="2"/>
    <n v="20000"/>
    <s v="White"/>
    <x v="1"/>
    <x v="2"/>
  </r>
  <r>
    <n v="40"/>
    <x v="2"/>
    <n v="20800"/>
    <s v="White"/>
    <x v="0"/>
    <x v="2"/>
  </r>
  <r>
    <n v="40"/>
    <x v="2"/>
    <n v="21000"/>
    <s v="White"/>
    <x v="0"/>
    <x v="2"/>
  </r>
  <r>
    <n v="70"/>
    <x v="2"/>
    <n v="21000"/>
    <s v="IndEsk"/>
    <x v="0"/>
    <x v="2"/>
  </r>
  <r>
    <n v="40"/>
    <x v="2"/>
    <n v="21200"/>
    <s v="White"/>
    <x v="1"/>
    <x v="2"/>
  </r>
  <r>
    <n v="40"/>
    <x v="2"/>
    <n v="21793"/>
    <s v="White"/>
    <x v="0"/>
    <x v="2"/>
  </r>
  <r>
    <n v="40"/>
    <x v="2"/>
    <n v="21840"/>
    <s v="White"/>
    <x v="0"/>
    <x v="2"/>
  </r>
  <r>
    <n v="40"/>
    <x v="2"/>
    <n v="22000"/>
    <s v="White"/>
    <x v="0"/>
    <x v="2"/>
  </r>
  <r>
    <n v="40"/>
    <x v="2"/>
    <n v="22000"/>
    <s v="White"/>
    <x v="0"/>
    <x v="2"/>
  </r>
  <r>
    <n v="40"/>
    <x v="2"/>
    <n v="22000"/>
    <s v="White"/>
    <x v="0"/>
    <x v="2"/>
  </r>
  <r>
    <n v="40"/>
    <x v="2"/>
    <n v="23000"/>
    <s v="White"/>
    <x v="0"/>
    <x v="2"/>
  </r>
  <r>
    <n v="40"/>
    <x v="2"/>
    <n v="23000"/>
    <s v="White"/>
    <x v="0"/>
    <x v="2"/>
  </r>
  <r>
    <n v="40"/>
    <x v="2"/>
    <n v="23000"/>
    <s v="Black"/>
    <x v="0"/>
    <x v="2"/>
  </r>
  <r>
    <n v="45"/>
    <x v="2"/>
    <n v="23000"/>
    <s v="White"/>
    <x v="1"/>
    <x v="2"/>
  </r>
  <r>
    <n v="40"/>
    <x v="2"/>
    <n v="23000"/>
    <s v="White"/>
    <x v="0"/>
    <x v="2"/>
  </r>
  <r>
    <n v="45"/>
    <x v="2"/>
    <n v="23933"/>
    <s v="White"/>
    <x v="0"/>
    <x v="2"/>
  </r>
  <r>
    <n v="38"/>
    <x v="2"/>
    <n v="24000"/>
    <s v="White"/>
    <x v="0"/>
    <x v="2"/>
  </r>
  <r>
    <n v="40"/>
    <x v="2"/>
    <n v="24000"/>
    <s v="White"/>
    <x v="1"/>
    <x v="2"/>
  </r>
  <r>
    <n v="40"/>
    <x v="2"/>
    <n v="24000"/>
    <s v="AsianPI"/>
    <x v="0"/>
    <x v="2"/>
  </r>
  <r>
    <n v="40"/>
    <x v="2"/>
    <n v="25000"/>
    <s v="Black"/>
    <x v="1"/>
    <x v="2"/>
  </r>
  <r>
    <n v="50"/>
    <x v="2"/>
    <n v="25000"/>
    <s v="Black"/>
    <x v="0"/>
    <x v="2"/>
  </r>
  <r>
    <n v="0"/>
    <x v="2"/>
    <n v="25000"/>
    <s v="White"/>
    <x v="1"/>
    <x v="2"/>
  </r>
  <r>
    <n v="48"/>
    <x v="2"/>
    <n v="25000"/>
    <s v="White"/>
    <x v="0"/>
    <x v="2"/>
  </r>
  <r>
    <n v="40"/>
    <x v="2"/>
    <n v="25000"/>
    <s v="White"/>
    <x v="0"/>
    <x v="2"/>
  </r>
  <r>
    <n v="50"/>
    <x v="2"/>
    <n v="25300"/>
    <s v="White"/>
    <x v="0"/>
    <x v="2"/>
  </r>
  <r>
    <n v="40"/>
    <x v="2"/>
    <n v="25330"/>
    <s v="White"/>
    <x v="0"/>
    <x v="2"/>
  </r>
  <r>
    <n v="50"/>
    <x v="2"/>
    <n v="26000"/>
    <s v="White"/>
    <x v="0"/>
    <x v="2"/>
  </r>
  <r>
    <n v="50"/>
    <x v="2"/>
    <n v="26000"/>
    <s v="White"/>
    <x v="1"/>
    <x v="2"/>
  </r>
  <r>
    <n v="40"/>
    <x v="2"/>
    <n v="26000"/>
    <s v="White"/>
    <x v="1"/>
    <x v="2"/>
  </r>
  <r>
    <n v="53"/>
    <x v="2"/>
    <n v="26319"/>
    <s v="White"/>
    <x v="1"/>
    <x v="2"/>
  </r>
  <r>
    <n v="35"/>
    <x v="2"/>
    <n v="27000"/>
    <s v="White"/>
    <x v="0"/>
    <x v="2"/>
  </r>
  <r>
    <n v="46"/>
    <x v="2"/>
    <n v="27000"/>
    <s v="White"/>
    <x v="1"/>
    <x v="2"/>
  </r>
  <r>
    <n v="50"/>
    <x v="2"/>
    <n v="27000"/>
    <s v="White"/>
    <x v="0"/>
    <x v="2"/>
  </r>
  <r>
    <n v="40"/>
    <x v="2"/>
    <n v="27000"/>
    <s v="White"/>
    <x v="0"/>
    <x v="2"/>
  </r>
  <r>
    <n v="40"/>
    <x v="2"/>
    <n v="27500"/>
    <s v="Black"/>
    <x v="1"/>
    <x v="2"/>
  </r>
  <r>
    <n v="40"/>
    <x v="2"/>
    <n v="28000"/>
    <s v="White"/>
    <x v="1"/>
    <x v="2"/>
  </r>
  <r>
    <n v="40"/>
    <x v="2"/>
    <n v="28000"/>
    <s v="White"/>
    <x v="0"/>
    <x v="2"/>
  </r>
  <r>
    <n v="40"/>
    <x v="2"/>
    <n v="28000"/>
    <s v="White"/>
    <x v="0"/>
    <x v="2"/>
  </r>
  <r>
    <n v="45"/>
    <x v="2"/>
    <n v="29000"/>
    <s v="White"/>
    <x v="1"/>
    <x v="2"/>
  </r>
  <r>
    <n v="40"/>
    <x v="2"/>
    <n v="29236"/>
    <s v="White"/>
    <x v="0"/>
    <x v="2"/>
  </r>
  <r>
    <n v="0"/>
    <x v="2"/>
    <n v="29932"/>
    <s v="White"/>
    <x v="0"/>
    <x v="2"/>
  </r>
  <r>
    <n v="40"/>
    <x v="2"/>
    <n v="30000"/>
    <s v="White"/>
    <x v="0"/>
    <x v="2"/>
  </r>
  <r>
    <n v="40"/>
    <x v="2"/>
    <n v="30000"/>
    <s v="White"/>
    <x v="0"/>
    <x v="2"/>
  </r>
  <r>
    <n v="40"/>
    <x v="2"/>
    <n v="30000"/>
    <s v="White"/>
    <x v="0"/>
    <x v="2"/>
  </r>
  <r>
    <n v="40"/>
    <x v="2"/>
    <n v="30000"/>
    <s v="White"/>
    <x v="0"/>
    <x v="2"/>
  </r>
  <r>
    <n v="40"/>
    <x v="2"/>
    <n v="30000"/>
    <s v="White"/>
    <x v="1"/>
    <x v="2"/>
  </r>
  <r>
    <n v="40"/>
    <x v="2"/>
    <n v="30000"/>
    <s v="White"/>
    <x v="0"/>
    <x v="2"/>
  </r>
  <r>
    <n v="45"/>
    <x v="2"/>
    <n v="30000"/>
    <s v="White"/>
    <x v="1"/>
    <x v="2"/>
  </r>
  <r>
    <n v="35"/>
    <x v="2"/>
    <n v="30000"/>
    <s v="White"/>
    <x v="1"/>
    <x v="2"/>
  </r>
  <r>
    <n v="0"/>
    <x v="2"/>
    <n v="30000"/>
    <s v="White"/>
    <x v="1"/>
    <x v="2"/>
  </r>
  <r>
    <n v="60"/>
    <x v="2"/>
    <n v="30000"/>
    <s v="White"/>
    <x v="1"/>
    <x v="2"/>
  </r>
  <r>
    <n v="36"/>
    <x v="2"/>
    <n v="30400"/>
    <s v="White"/>
    <x v="0"/>
    <x v="2"/>
  </r>
  <r>
    <n v="50"/>
    <x v="2"/>
    <n v="30500"/>
    <s v="White"/>
    <x v="1"/>
    <x v="2"/>
  </r>
  <r>
    <n v="40"/>
    <x v="2"/>
    <n v="31000"/>
    <s v="Black"/>
    <x v="0"/>
    <x v="2"/>
  </r>
  <r>
    <n v="50"/>
    <x v="2"/>
    <n v="31200"/>
    <s v="White"/>
    <x v="1"/>
    <x v="2"/>
  </r>
  <r>
    <n v="38"/>
    <x v="2"/>
    <n v="31535"/>
    <s v="White"/>
    <x v="0"/>
    <x v="2"/>
  </r>
  <r>
    <n v="40"/>
    <x v="2"/>
    <n v="32000"/>
    <s v="White"/>
    <x v="1"/>
    <x v="2"/>
  </r>
  <r>
    <n v="45"/>
    <x v="2"/>
    <n v="32000"/>
    <s v="Black"/>
    <x v="0"/>
    <x v="2"/>
  </r>
  <r>
    <n v="40"/>
    <x v="2"/>
    <n v="32000"/>
    <s v="White"/>
    <x v="1"/>
    <x v="2"/>
  </r>
  <r>
    <n v="40"/>
    <x v="2"/>
    <n v="32000"/>
    <s v="White"/>
    <x v="0"/>
    <x v="2"/>
  </r>
  <r>
    <n v="40"/>
    <x v="2"/>
    <n v="32000"/>
    <s v="White"/>
    <x v="1"/>
    <x v="2"/>
  </r>
  <r>
    <n v="40"/>
    <x v="2"/>
    <n v="32000"/>
    <s v="White"/>
    <x v="0"/>
    <x v="2"/>
  </r>
  <r>
    <n v="40"/>
    <x v="2"/>
    <n v="32000"/>
    <s v="White"/>
    <x v="0"/>
    <x v="2"/>
  </r>
  <r>
    <n v="40"/>
    <x v="2"/>
    <n v="32000"/>
    <s v="Black"/>
    <x v="1"/>
    <x v="2"/>
  </r>
  <r>
    <n v="45"/>
    <x v="2"/>
    <n v="32900"/>
    <s v="AsianPI"/>
    <x v="0"/>
    <x v="2"/>
  </r>
  <r>
    <n v="40"/>
    <x v="2"/>
    <n v="32900"/>
    <s v="White"/>
    <x v="0"/>
    <x v="2"/>
  </r>
  <r>
    <n v="47"/>
    <x v="2"/>
    <n v="33000"/>
    <s v="White"/>
    <x v="1"/>
    <x v="2"/>
  </r>
  <r>
    <n v="50"/>
    <x v="2"/>
    <n v="33000"/>
    <s v="White"/>
    <x v="1"/>
    <x v="2"/>
  </r>
  <r>
    <n v="60"/>
    <x v="2"/>
    <n v="33500"/>
    <s v="White"/>
    <x v="1"/>
    <x v="2"/>
  </r>
  <r>
    <n v="35"/>
    <x v="2"/>
    <n v="34000"/>
    <s v="White"/>
    <x v="0"/>
    <x v="2"/>
  </r>
  <r>
    <n v="40"/>
    <x v="2"/>
    <n v="34000"/>
    <s v="White"/>
    <x v="0"/>
    <x v="2"/>
  </r>
  <r>
    <n v="40"/>
    <x v="2"/>
    <n v="34000"/>
    <s v="White"/>
    <x v="0"/>
    <x v="2"/>
  </r>
  <r>
    <n v="40"/>
    <x v="2"/>
    <n v="34060"/>
    <s v="White"/>
    <x v="0"/>
    <x v="2"/>
  </r>
  <r>
    <n v="40"/>
    <x v="2"/>
    <n v="34500"/>
    <s v="White"/>
    <x v="1"/>
    <x v="2"/>
  </r>
  <r>
    <n v="45"/>
    <x v="2"/>
    <n v="34892"/>
    <s v="Black"/>
    <x v="0"/>
    <x v="2"/>
  </r>
  <r>
    <n v="38"/>
    <x v="2"/>
    <n v="35000"/>
    <s v="White"/>
    <x v="1"/>
    <x v="2"/>
  </r>
  <r>
    <n v="45"/>
    <x v="2"/>
    <n v="35000"/>
    <s v="White"/>
    <x v="1"/>
    <x v="2"/>
  </r>
  <r>
    <n v="40"/>
    <x v="2"/>
    <n v="35000"/>
    <s v="White"/>
    <x v="0"/>
    <x v="2"/>
  </r>
  <r>
    <n v="40"/>
    <x v="2"/>
    <n v="35000"/>
    <s v="Black"/>
    <x v="0"/>
    <x v="2"/>
  </r>
  <r>
    <n v="40"/>
    <x v="2"/>
    <n v="35000"/>
    <s v="White"/>
    <x v="0"/>
    <x v="2"/>
  </r>
  <r>
    <n v="40"/>
    <x v="2"/>
    <n v="35000"/>
    <s v="White"/>
    <x v="1"/>
    <x v="2"/>
  </r>
  <r>
    <n v="48"/>
    <x v="2"/>
    <n v="35200"/>
    <s v="White"/>
    <x v="1"/>
    <x v="2"/>
  </r>
  <r>
    <n v="40"/>
    <x v="2"/>
    <n v="36500"/>
    <s v="White"/>
    <x v="1"/>
    <x v="2"/>
  </r>
  <r>
    <n v="50"/>
    <x v="2"/>
    <n v="37000"/>
    <s v="White"/>
    <x v="1"/>
    <x v="2"/>
  </r>
  <r>
    <n v="40"/>
    <x v="2"/>
    <n v="37700"/>
    <s v="White"/>
    <x v="1"/>
    <x v="2"/>
  </r>
  <r>
    <n v="40"/>
    <x v="2"/>
    <n v="38000"/>
    <s v="Black"/>
    <x v="0"/>
    <x v="2"/>
  </r>
  <r>
    <n v="40"/>
    <x v="2"/>
    <n v="38000"/>
    <s v="White"/>
    <x v="0"/>
    <x v="2"/>
  </r>
  <r>
    <n v="38"/>
    <x v="2"/>
    <n v="38480"/>
    <s v="White"/>
    <x v="0"/>
    <x v="2"/>
  </r>
  <r>
    <n v="38"/>
    <x v="2"/>
    <n v="39000"/>
    <s v="White"/>
    <x v="0"/>
    <x v="2"/>
  </r>
  <r>
    <n v="48"/>
    <x v="2"/>
    <n v="40000"/>
    <s v="White"/>
    <x v="0"/>
    <x v="2"/>
  </r>
  <r>
    <n v="40"/>
    <x v="2"/>
    <n v="40000"/>
    <s v="Black"/>
    <x v="1"/>
    <x v="2"/>
  </r>
  <r>
    <n v="40"/>
    <x v="2"/>
    <n v="40000"/>
    <s v="White"/>
    <x v="1"/>
    <x v="2"/>
  </r>
  <r>
    <n v="45"/>
    <x v="2"/>
    <n v="40000"/>
    <s v="White"/>
    <x v="1"/>
    <x v="2"/>
  </r>
  <r>
    <n v="40"/>
    <x v="2"/>
    <n v="40000"/>
    <s v="Black"/>
    <x v="0"/>
    <x v="2"/>
  </r>
  <r>
    <n v="40"/>
    <x v="2"/>
    <n v="40000"/>
    <s v="White"/>
    <x v="0"/>
    <x v="2"/>
  </r>
  <r>
    <n v="40"/>
    <x v="2"/>
    <n v="40000"/>
    <s v="White"/>
    <x v="0"/>
    <x v="2"/>
  </r>
  <r>
    <n v="60"/>
    <x v="2"/>
    <n v="40000"/>
    <s v="White"/>
    <x v="1"/>
    <x v="2"/>
  </r>
  <r>
    <n v="36"/>
    <x v="2"/>
    <n v="40000"/>
    <s v="White"/>
    <x v="1"/>
    <x v="2"/>
  </r>
  <r>
    <n v="40"/>
    <x v="2"/>
    <n v="40000"/>
    <s v="Black"/>
    <x v="0"/>
    <x v="2"/>
  </r>
  <r>
    <n v="40"/>
    <x v="2"/>
    <n v="40000"/>
    <s v="White"/>
    <x v="0"/>
    <x v="2"/>
  </r>
  <r>
    <n v="50"/>
    <x v="2"/>
    <n v="41000"/>
    <s v="White"/>
    <x v="1"/>
    <x v="2"/>
  </r>
  <r>
    <n v="40"/>
    <x v="2"/>
    <n v="41000"/>
    <s v="White"/>
    <x v="0"/>
    <x v="2"/>
  </r>
  <r>
    <n v="65"/>
    <x v="2"/>
    <n v="41000"/>
    <s v="White"/>
    <x v="1"/>
    <x v="2"/>
  </r>
  <r>
    <n v="40"/>
    <x v="2"/>
    <n v="42000"/>
    <s v="White"/>
    <x v="0"/>
    <x v="2"/>
  </r>
  <r>
    <n v="40"/>
    <x v="2"/>
    <n v="42000"/>
    <s v="White"/>
    <x v="1"/>
    <x v="2"/>
  </r>
  <r>
    <n v="50"/>
    <x v="2"/>
    <n v="42000"/>
    <s v="White"/>
    <x v="1"/>
    <x v="2"/>
  </r>
  <r>
    <n v="45"/>
    <x v="2"/>
    <n v="42486"/>
    <s v="White"/>
    <x v="1"/>
    <x v="2"/>
  </r>
  <r>
    <n v="40"/>
    <x v="2"/>
    <n v="43680"/>
    <s v="White"/>
    <x v="0"/>
    <x v="2"/>
  </r>
  <r>
    <n v="35"/>
    <x v="2"/>
    <n v="43700"/>
    <s v="White"/>
    <x v="0"/>
    <x v="2"/>
  </r>
  <r>
    <n v="40"/>
    <x v="2"/>
    <n v="43700"/>
    <s v="White"/>
    <x v="0"/>
    <x v="2"/>
  </r>
  <r>
    <n v="40"/>
    <x v="2"/>
    <n v="43700"/>
    <s v="White"/>
    <x v="0"/>
    <x v="2"/>
  </r>
  <r>
    <n v="50"/>
    <x v="2"/>
    <n v="44000"/>
    <s v="White"/>
    <x v="1"/>
    <x v="2"/>
  </r>
  <r>
    <n v="55"/>
    <x v="2"/>
    <n v="44000"/>
    <s v="White"/>
    <x v="1"/>
    <x v="2"/>
  </r>
  <r>
    <n v="40"/>
    <x v="2"/>
    <n v="44000"/>
    <s v="White"/>
    <x v="1"/>
    <x v="2"/>
  </r>
  <r>
    <n v="40"/>
    <x v="2"/>
    <n v="44000"/>
    <s v="IndEsk"/>
    <x v="1"/>
    <x v="2"/>
  </r>
  <r>
    <n v="50"/>
    <x v="2"/>
    <n v="44000"/>
    <s v="White"/>
    <x v="1"/>
    <x v="2"/>
  </r>
  <r>
    <n v="40"/>
    <x v="2"/>
    <n v="44085"/>
    <s v="White"/>
    <x v="1"/>
    <x v="2"/>
  </r>
  <r>
    <n v="45"/>
    <x v="2"/>
    <n v="44460"/>
    <s v="White"/>
    <x v="1"/>
    <x v="2"/>
  </r>
  <r>
    <n v="50"/>
    <x v="2"/>
    <n v="45000"/>
    <s v="White"/>
    <x v="1"/>
    <x v="2"/>
  </r>
  <r>
    <n v="55"/>
    <x v="2"/>
    <n v="45000"/>
    <s v="White"/>
    <x v="0"/>
    <x v="2"/>
  </r>
  <r>
    <n v="60"/>
    <x v="2"/>
    <n v="45000"/>
    <s v="White"/>
    <x v="1"/>
    <x v="2"/>
  </r>
  <r>
    <n v="40"/>
    <x v="2"/>
    <n v="45000"/>
    <s v="White"/>
    <x v="1"/>
    <x v="2"/>
  </r>
  <r>
    <n v="49"/>
    <x v="2"/>
    <n v="45100"/>
    <s v="White"/>
    <x v="1"/>
    <x v="2"/>
  </r>
  <r>
    <n v="37"/>
    <x v="2"/>
    <n v="47000"/>
    <s v="White"/>
    <x v="1"/>
    <x v="2"/>
  </r>
  <r>
    <n v="56"/>
    <x v="2"/>
    <n v="47000"/>
    <s v="White"/>
    <x v="1"/>
    <x v="2"/>
  </r>
  <r>
    <n v="60"/>
    <x v="2"/>
    <n v="47000"/>
    <s v="White"/>
    <x v="1"/>
    <x v="2"/>
  </r>
  <r>
    <n v="50"/>
    <x v="2"/>
    <n v="48000"/>
    <s v="White"/>
    <x v="1"/>
    <x v="2"/>
  </r>
  <r>
    <n v="45"/>
    <x v="2"/>
    <n v="48000"/>
    <s v="White"/>
    <x v="1"/>
    <x v="2"/>
  </r>
  <r>
    <n v="50"/>
    <x v="2"/>
    <n v="49000"/>
    <s v="White"/>
    <x v="1"/>
    <x v="2"/>
  </r>
  <r>
    <n v="47"/>
    <x v="2"/>
    <n v="50000"/>
    <s v="White"/>
    <x v="0"/>
    <x v="2"/>
  </r>
  <r>
    <n v="50"/>
    <x v="2"/>
    <n v="50000"/>
    <s v="White"/>
    <x v="1"/>
    <x v="2"/>
  </r>
  <r>
    <n v="40"/>
    <x v="2"/>
    <n v="50000"/>
    <s v="IndEsk"/>
    <x v="1"/>
    <x v="2"/>
  </r>
  <r>
    <n v="45"/>
    <x v="2"/>
    <n v="50000"/>
    <s v="White"/>
    <x v="1"/>
    <x v="2"/>
  </r>
  <r>
    <n v="45"/>
    <x v="2"/>
    <n v="50000"/>
    <s v="White"/>
    <x v="1"/>
    <x v="2"/>
  </r>
  <r>
    <n v="55"/>
    <x v="2"/>
    <n v="50000"/>
    <s v="White"/>
    <x v="0"/>
    <x v="2"/>
  </r>
  <r>
    <n v="45"/>
    <x v="2"/>
    <n v="50700"/>
    <s v="White"/>
    <x v="1"/>
    <x v="2"/>
  </r>
  <r>
    <n v="40"/>
    <x v="2"/>
    <n v="51000"/>
    <s v="White"/>
    <x v="1"/>
    <x v="2"/>
  </r>
  <r>
    <n v="40"/>
    <x v="2"/>
    <n v="51219"/>
    <s v="White"/>
    <x v="0"/>
    <x v="2"/>
  </r>
  <r>
    <n v="50"/>
    <x v="2"/>
    <n v="51500"/>
    <s v="White"/>
    <x v="1"/>
    <x v="2"/>
  </r>
  <r>
    <n v="40"/>
    <x v="2"/>
    <n v="52000"/>
    <s v="White"/>
    <x v="0"/>
    <x v="2"/>
  </r>
  <r>
    <n v="45"/>
    <x v="2"/>
    <n v="52300"/>
    <s v="White"/>
    <x v="1"/>
    <x v="2"/>
  </r>
  <r>
    <n v="40"/>
    <x v="2"/>
    <n v="53000"/>
    <s v="White"/>
    <x v="1"/>
    <x v="2"/>
  </r>
  <r>
    <n v="40"/>
    <x v="2"/>
    <n v="55000"/>
    <s v="White"/>
    <x v="1"/>
    <x v="2"/>
  </r>
  <r>
    <n v="144"/>
    <x v="2"/>
    <n v="55000"/>
    <s v="White"/>
    <x v="1"/>
    <x v="2"/>
  </r>
  <r>
    <n v="40"/>
    <x v="2"/>
    <n v="55000"/>
    <s v="IndEsk"/>
    <x v="1"/>
    <x v="2"/>
  </r>
  <r>
    <n v="52"/>
    <x v="2"/>
    <n v="56000"/>
    <s v="White"/>
    <x v="1"/>
    <x v="2"/>
  </r>
  <r>
    <n v="50"/>
    <x v="2"/>
    <n v="57000"/>
    <s v="White"/>
    <x v="1"/>
    <x v="2"/>
  </r>
  <r>
    <n v="40"/>
    <x v="2"/>
    <n v="58000"/>
    <s v="White"/>
    <x v="0"/>
    <x v="2"/>
  </r>
  <r>
    <n v="40"/>
    <x v="2"/>
    <n v="58000"/>
    <s v="White"/>
    <x v="0"/>
    <x v="2"/>
  </r>
  <r>
    <n v="53"/>
    <x v="2"/>
    <n v="59000"/>
    <s v="White"/>
    <x v="1"/>
    <x v="2"/>
  </r>
  <r>
    <n v="40"/>
    <x v="2"/>
    <n v="60000"/>
    <s v="Black"/>
    <x v="1"/>
    <x v="2"/>
  </r>
  <r>
    <n v="40"/>
    <x v="2"/>
    <n v="60000"/>
    <s v="White"/>
    <x v="1"/>
    <x v="2"/>
  </r>
  <r>
    <n v="40"/>
    <x v="2"/>
    <n v="60000"/>
    <s v="White"/>
    <x v="1"/>
    <x v="2"/>
  </r>
  <r>
    <n v="70"/>
    <x v="2"/>
    <n v="60000"/>
    <s v="White"/>
    <x v="1"/>
    <x v="2"/>
  </r>
  <r>
    <n v="40"/>
    <x v="2"/>
    <n v="61000"/>
    <s v="White"/>
    <x v="1"/>
    <x v="2"/>
  </r>
  <r>
    <n v="50"/>
    <x v="2"/>
    <n v="64944"/>
    <s v="White"/>
    <x v="1"/>
    <x v="2"/>
  </r>
  <r>
    <n v="50"/>
    <x v="2"/>
    <n v="65000"/>
    <s v="White"/>
    <x v="1"/>
    <x v="2"/>
  </r>
  <r>
    <n v="40"/>
    <x v="2"/>
    <n v="65000"/>
    <s v="White"/>
    <x v="1"/>
    <x v="2"/>
  </r>
  <r>
    <n v="45"/>
    <x v="2"/>
    <n v="65000"/>
    <s v="White"/>
    <x v="1"/>
    <x v="2"/>
  </r>
  <r>
    <n v="40"/>
    <x v="2"/>
    <n v="67000"/>
    <s v="White"/>
    <x v="1"/>
    <x v="2"/>
  </r>
  <r>
    <n v="50"/>
    <x v="2"/>
    <n v="68000"/>
    <s v="White"/>
    <x v="1"/>
    <x v="2"/>
  </r>
  <r>
    <n v="40"/>
    <x v="2"/>
    <n v="68000"/>
    <s v="White"/>
    <x v="0"/>
    <x v="2"/>
  </r>
  <r>
    <n v="40"/>
    <x v="2"/>
    <n v="68000"/>
    <s v="White"/>
    <x v="0"/>
    <x v="2"/>
  </r>
  <r>
    <n v="53"/>
    <x v="2"/>
    <n v="72000"/>
    <s v="White"/>
    <x v="1"/>
    <x v="2"/>
  </r>
  <r>
    <n v="40"/>
    <x v="2"/>
    <n v="75237"/>
    <s v="White"/>
    <x v="0"/>
    <x v="2"/>
  </r>
  <r>
    <n v="45"/>
    <x v="2"/>
    <n v="75814"/>
    <s v="White"/>
    <x v="1"/>
    <x v="2"/>
  </r>
  <r>
    <n v="40"/>
    <x v="2"/>
    <n v="84000"/>
    <s v="White"/>
    <x v="1"/>
    <x v="2"/>
  </r>
  <r>
    <n v="60"/>
    <x v="2"/>
    <n v="100000"/>
    <s v="White"/>
    <x v="1"/>
    <x v="2"/>
  </r>
  <r>
    <n v="50"/>
    <x v="2"/>
    <n v="112800"/>
    <s v="White"/>
    <x v="1"/>
    <x v="2"/>
  </r>
  <r>
    <n v="60"/>
    <x v="2"/>
    <n v="149925"/>
    <s v="White"/>
    <x v="1"/>
    <x v="2"/>
  </r>
  <r>
    <n v="50"/>
    <x v="2"/>
    <n v="390510"/>
    <s v="White"/>
    <x v="0"/>
    <x v="2"/>
  </r>
  <r>
    <n v="45"/>
    <x v="3"/>
    <n v="400"/>
    <s v="Black"/>
    <x v="0"/>
    <x v="2"/>
  </r>
  <r>
    <n v="40"/>
    <x v="3"/>
    <n v="500"/>
    <s v="White"/>
    <x v="1"/>
    <x v="2"/>
  </r>
  <r>
    <n v="50"/>
    <x v="3"/>
    <n v="500"/>
    <s v="White"/>
    <x v="1"/>
    <x v="2"/>
  </r>
  <r>
    <n v="0"/>
    <x v="3"/>
    <n v="700"/>
    <s v="White"/>
    <x v="1"/>
    <x v="2"/>
  </r>
  <r>
    <n v="40"/>
    <x v="3"/>
    <n v="856"/>
    <s v="Black"/>
    <x v="1"/>
    <x v="2"/>
  </r>
  <r>
    <n v="50"/>
    <x v="3"/>
    <n v="1000"/>
    <s v="White"/>
    <x v="0"/>
    <x v="2"/>
  </r>
  <r>
    <n v="40"/>
    <x v="3"/>
    <n v="1120"/>
    <s v="Black"/>
    <x v="0"/>
    <x v="2"/>
  </r>
  <r>
    <n v="40"/>
    <x v="3"/>
    <n v="1950"/>
    <s v="White"/>
    <x v="0"/>
    <x v="2"/>
  </r>
  <r>
    <n v="40"/>
    <x v="3"/>
    <n v="2000"/>
    <s v="White"/>
    <x v="1"/>
    <x v="2"/>
  </r>
  <r>
    <n v="40"/>
    <x v="3"/>
    <n v="2300"/>
    <s v="Black"/>
    <x v="0"/>
    <x v="2"/>
  </r>
  <r>
    <n v="58"/>
    <x v="3"/>
    <n v="2343"/>
    <s v="White"/>
    <x v="0"/>
    <x v="2"/>
  </r>
  <r>
    <n v="45"/>
    <x v="3"/>
    <n v="2445"/>
    <s v="White"/>
    <x v="0"/>
    <x v="2"/>
  </r>
  <r>
    <n v="38"/>
    <x v="3"/>
    <n v="2800"/>
    <s v="White"/>
    <x v="0"/>
    <x v="2"/>
  </r>
  <r>
    <n v="40"/>
    <x v="3"/>
    <n v="2862"/>
    <s v="Black"/>
    <x v="0"/>
    <x v="2"/>
  </r>
  <r>
    <n v="40"/>
    <x v="3"/>
    <n v="3000"/>
    <s v="Black"/>
    <x v="1"/>
    <x v="2"/>
  </r>
  <r>
    <n v="45"/>
    <x v="3"/>
    <n v="3000"/>
    <s v="White"/>
    <x v="1"/>
    <x v="2"/>
  </r>
  <r>
    <n v="40"/>
    <x v="3"/>
    <n v="3000"/>
    <s v="White"/>
    <x v="1"/>
    <x v="2"/>
  </r>
  <r>
    <n v="40"/>
    <x v="3"/>
    <n v="3376"/>
    <s v="Black"/>
    <x v="0"/>
    <x v="2"/>
  </r>
  <r>
    <n v="40"/>
    <x v="3"/>
    <n v="3600"/>
    <s v="White"/>
    <x v="0"/>
    <x v="2"/>
  </r>
  <r>
    <n v="40"/>
    <x v="3"/>
    <n v="3600"/>
    <s v="White"/>
    <x v="0"/>
    <x v="2"/>
  </r>
  <r>
    <n v="40"/>
    <x v="3"/>
    <n v="3800"/>
    <s v="White"/>
    <x v="1"/>
    <x v="2"/>
  </r>
  <r>
    <n v="45"/>
    <x v="3"/>
    <n v="4000"/>
    <s v="White"/>
    <x v="1"/>
    <x v="2"/>
  </r>
  <r>
    <n v="35"/>
    <x v="3"/>
    <n v="4000"/>
    <s v="White"/>
    <x v="0"/>
    <x v="2"/>
  </r>
  <r>
    <n v="40"/>
    <x v="3"/>
    <n v="4000"/>
    <s v="White"/>
    <x v="1"/>
    <x v="2"/>
  </r>
  <r>
    <n v="40"/>
    <x v="3"/>
    <n v="4000"/>
    <s v="Black"/>
    <x v="1"/>
    <x v="2"/>
  </r>
  <r>
    <n v="40"/>
    <x v="3"/>
    <n v="4316"/>
    <s v="White"/>
    <x v="1"/>
    <x v="2"/>
  </r>
  <r>
    <n v="35"/>
    <x v="3"/>
    <n v="4900"/>
    <s v="White"/>
    <x v="1"/>
    <x v="2"/>
  </r>
  <r>
    <n v="40"/>
    <x v="3"/>
    <n v="5000"/>
    <s v="White"/>
    <x v="1"/>
    <x v="2"/>
  </r>
  <r>
    <n v="50"/>
    <x v="3"/>
    <n v="5000"/>
    <s v="Black"/>
    <x v="0"/>
    <x v="2"/>
  </r>
  <r>
    <n v="0"/>
    <x v="3"/>
    <n v="5000"/>
    <s v="White"/>
    <x v="0"/>
    <x v="2"/>
  </r>
  <r>
    <n v="47"/>
    <x v="3"/>
    <n v="5000"/>
    <s v="White"/>
    <x v="0"/>
    <x v="2"/>
  </r>
  <r>
    <n v="46"/>
    <x v="3"/>
    <n v="5029"/>
    <s v="White"/>
    <x v="0"/>
    <x v="2"/>
  </r>
  <r>
    <n v="35"/>
    <x v="3"/>
    <n v="5100"/>
    <s v="AsianPI"/>
    <x v="0"/>
    <x v="2"/>
  </r>
  <r>
    <n v="40"/>
    <x v="3"/>
    <n v="5200"/>
    <s v="AsianPI"/>
    <x v="1"/>
    <x v="2"/>
  </r>
  <r>
    <n v="40"/>
    <x v="3"/>
    <n v="5500"/>
    <s v="Black"/>
    <x v="1"/>
    <x v="2"/>
  </r>
  <r>
    <n v="45"/>
    <x v="3"/>
    <n v="6000"/>
    <s v="White"/>
    <x v="1"/>
    <x v="2"/>
  </r>
  <r>
    <n v="35"/>
    <x v="3"/>
    <n v="6000"/>
    <s v="White"/>
    <x v="0"/>
    <x v="2"/>
  </r>
  <r>
    <n v="0"/>
    <x v="3"/>
    <n v="6000"/>
    <s v="White"/>
    <x v="1"/>
    <x v="2"/>
  </r>
  <r>
    <n v="40"/>
    <x v="3"/>
    <n v="6000"/>
    <s v="White"/>
    <x v="0"/>
    <x v="2"/>
  </r>
  <r>
    <n v="40"/>
    <x v="3"/>
    <n v="6000"/>
    <s v="Black"/>
    <x v="1"/>
    <x v="2"/>
  </r>
  <r>
    <n v="40"/>
    <x v="3"/>
    <n v="6000"/>
    <s v="White"/>
    <x v="1"/>
    <x v="2"/>
  </r>
  <r>
    <n v="40"/>
    <x v="3"/>
    <n v="6000"/>
    <s v="Black"/>
    <x v="0"/>
    <x v="2"/>
  </r>
  <r>
    <n v="35"/>
    <x v="3"/>
    <n v="6006"/>
    <s v="White"/>
    <x v="0"/>
    <x v="2"/>
  </r>
  <r>
    <n v="38"/>
    <x v="3"/>
    <n v="6344"/>
    <s v="White"/>
    <x v="0"/>
    <x v="2"/>
  </r>
  <r>
    <n v="40"/>
    <x v="3"/>
    <n v="6470"/>
    <s v="White"/>
    <x v="0"/>
    <x v="2"/>
  </r>
  <r>
    <n v="40"/>
    <x v="3"/>
    <n v="6800"/>
    <s v="Black"/>
    <x v="0"/>
    <x v="2"/>
  </r>
  <r>
    <n v="35"/>
    <x v="3"/>
    <n v="7000"/>
    <s v="White"/>
    <x v="0"/>
    <x v="2"/>
  </r>
  <r>
    <n v="46"/>
    <x v="3"/>
    <n v="7000"/>
    <s v="White"/>
    <x v="0"/>
    <x v="2"/>
  </r>
  <r>
    <n v="52"/>
    <x v="3"/>
    <n v="7000"/>
    <s v="White"/>
    <x v="0"/>
    <x v="2"/>
  </r>
  <r>
    <n v="35"/>
    <x v="3"/>
    <n v="7000"/>
    <s v="White"/>
    <x v="1"/>
    <x v="2"/>
  </r>
  <r>
    <n v="40"/>
    <x v="3"/>
    <n v="7000"/>
    <s v="White"/>
    <x v="0"/>
    <x v="2"/>
  </r>
  <r>
    <n v="40"/>
    <x v="3"/>
    <n v="7000"/>
    <s v="White"/>
    <x v="0"/>
    <x v="2"/>
  </r>
  <r>
    <n v="0"/>
    <x v="3"/>
    <n v="7435"/>
    <s v="White"/>
    <x v="0"/>
    <x v="2"/>
  </r>
  <r>
    <n v="45"/>
    <x v="3"/>
    <n v="7500"/>
    <s v="White"/>
    <x v="0"/>
    <x v="2"/>
  </r>
  <r>
    <n v="50"/>
    <x v="3"/>
    <n v="7500"/>
    <s v="White"/>
    <x v="1"/>
    <x v="2"/>
  </r>
  <r>
    <n v="35"/>
    <x v="3"/>
    <n v="7500"/>
    <s v="White"/>
    <x v="0"/>
    <x v="2"/>
  </r>
  <r>
    <n v="35"/>
    <x v="3"/>
    <n v="7612"/>
    <s v="Black"/>
    <x v="1"/>
    <x v="2"/>
  </r>
  <r>
    <n v="40"/>
    <x v="3"/>
    <n v="8000"/>
    <s v="Black"/>
    <x v="1"/>
    <x v="2"/>
  </r>
  <r>
    <n v="40"/>
    <x v="3"/>
    <n v="8000"/>
    <s v="White"/>
    <x v="1"/>
    <x v="2"/>
  </r>
  <r>
    <n v="38"/>
    <x v="3"/>
    <n v="8000"/>
    <s v="White"/>
    <x v="0"/>
    <x v="2"/>
  </r>
  <r>
    <n v="40"/>
    <x v="3"/>
    <n v="8000"/>
    <s v="White"/>
    <x v="1"/>
    <x v="2"/>
  </r>
  <r>
    <n v="40"/>
    <x v="3"/>
    <n v="8000"/>
    <s v="White"/>
    <x v="0"/>
    <x v="2"/>
  </r>
  <r>
    <n v="40"/>
    <x v="3"/>
    <n v="8000"/>
    <s v="White"/>
    <x v="1"/>
    <x v="2"/>
  </r>
  <r>
    <n v="55"/>
    <x v="3"/>
    <n v="8000"/>
    <s v="White"/>
    <x v="0"/>
    <x v="2"/>
  </r>
  <r>
    <n v="0"/>
    <x v="3"/>
    <n v="8000"/>
    <s v="White"/>
    <x v="0"/>
    <x v="2"/>
  </r>
  <r>
    <n v="40"/>
    <x v="3"/>
    <n v="8000"/>
    <s v="White"/>
    <x v="0"/>
    <x v="2"/>
  </r>
  <r>
    <n v="40"/>
    <x v="3"/>
    <n v="8320"/>
    <s v="White"/>
    <x v="1"/>
    <x v="2"/>
  </r>
  <r>
    <n v="40"/>
    <x v="3"/>
    <n v="8500"/>
    <s v="White"/>
    <x v="0"/>
    <x v="2"/>
  </r>
  <r>
    <n v="40"/>
    <x v="3"/>
    <n v="8593"/>
    <s v="White"/>
    <x v="0"/>
    <x v="2"/>
  </r>
  <r>
    <n v="40"/>
    <x v="3"/>
    <n v="8700"/>
    <s v="White"/>
    <x v="0"/>
    <x v="2"/>
  </r>
  <r>
    <n v="40"/>
    <x v="3"/>
    <n v="8700"/>
    <s v="White"/>
    <x v="0"/>
    <x v="2"/>
  </r>
  <r>
    <n v="45"/>
    <x v="3"/>
    <n v="8840"/>
    <s v="White"/>
    <x v="0"/>
    <x v="2"/>
  </r>
  <r>
    <n v="40"/>
    <x v="3"/>
    <n v="9000"/>
    <s v="White"/>
    <x v="0"/>
    <x v="2"/>
  </r>
  <r>
    <n v="40"/>
    <x v="3"/>
    <n v="9000"/>
    <s v="Black"/>
    <x v="0"/>
    <x v="2"/>
  </r>
  <r>
    <n v="60"/>
    <x v="3"/>
    <n v="9000"/>
    <s v="White"/>
    <x v="0"/>
    <x v="2"/>
  </r>
  <r>
    <n v="35"/>
    <x v="3"/>
    <n v="9000"/>
    <s v="White"/>
    <x v="0"/>
    <x v="2"/>
  </r>
  <r>
    <n v="40"/>
    <x v="3"/>
    <n v="9000"/>
    <s v="White"/>
    <x v="0"/>
    <x v="2"/>
  </r>
  <r>
    <n v="40"/>
    <x v="3"/>
    <n v="9200"/>
    <s v="Black"/>
    <x v="0"/>
    <x v="2"/>
  </r>
  <r>
    <n v="40"/>
    <x v="3"/>
    <n v="9520"/>
    <s v="White"/>
    <x v="1"/>
    <x v="2"/>
  </r>
  <r>
    <n v="40"/>
    <x v="3"/>
    <n v="9600"/>
    <s v="Black"/>
    <x v="0"/>
    <x v="2"/>
  </r>
  <r>
    <n v="0"/>
    <x v="3"/>
    <n v="9650"/>
    <s v="White"/>
    <x v="1"/>
    <x v="2"/>
  </r>
  <r>
    <n v="48"/>
    <x v="3"/>
    <n v="9680"/>
    <s v="White"/>
    <x v="1"/>
    <x v="2"/>
  </r>
  <r>
    <n v="36"/>
    <x v="3"/>
    <n v="9797"/>
    <s v="White"/>
    <x v="0"/>
    <x v="2"/>
  </r>
  <r>
    <n v="40"/>
    <x v="3"/>
    <n v="9800"/>
    <s v="IndEsk"/>
    <x v="0"/>
    <x v="2"/>
  </r>
  <r>
    <n v="40"/>
    <x v="3"/>
    <n v="9840"/>
    <s v="White"/>
    <x v="0"/>
    <x v="2"/>
  </r>
  <r>
    <n v="43"/>
    <x v="3"/>
    <n v="9874"/>
    <s v="White"/>
    <x v="0"/>
    <x v="2"/>
  </r>
  <r>
    <n v="50"/>
    <x v="3"/>
    <n v="10000"/>
    <s v="White"/>
    <x v="0"/>
    <x v="2"/>
  </r>
  <r>
    <n v="40"/>
    <x v="3"/>
    <n v="10000"/>
    <s v="White"/>
    <x v="1"/>
    <x v="2"/>
  </r>
  <r>
    <n v="40"/>
    <x v="3"/>
    <n v="10000"/>
    <s v="White"/>
    <x v="0"/>
    <x v="2"/>
  </r>
  <r>
    <n v="40"/>
    <x v="3"/>
    <n v="10000"/>
    <s v="White"/>
    <x v="1"/>
    <x v="2"/>
  </r>
  <r>
    <n v="40"/>
    <x v="3"/>
    <n v="10000"/>
    <s v="White"/>
    <x v="0"/>
    <x v="2"/>
  </r>
  <r>
    <n v="40"/>
    <x v="3"/>
    <n v="10000"/>
    <s v="White"/>
    <x v="0"/>
    <x v="2"/>
  </r>
  <r>
    <n v="40"/>
    <x v="3"/>
    <n v="10000"/>
    <s v="Black"/>
    <x v="0"/>
    <x v="2"/>
  </r>
  <r>
    <n v="35"/>
    <x v="3"/>
    <n v="10000"/>
    <s v="White"/>
    <x v="1"/>
    <x v="2"/>
  </r>
  <r>
    <n v="35"/>
    <x v="3"/>
    <n v="10000"/>
    <s v="White"/>
    <x v="0"/>
    <x v="2"/>
  </r>
  <r>
    <n v="40"/>
    <x v="3"/>
    <n v="10000"/>
    <s v="Black"/>
    <x v="0"/>
    <x v="2"/>
  </r>
  <r>
    <n v="52"/>
    <x v="3"/>
    <n v="10000"/>
    <s v="Black"/>
    <x v="1"/>
    <x v="2"/>
  </r>
  <r>
    <n v="0"/>
    <x v="3"/>
    <n v="10000"/>
    <s v="White"/>
    <x v="0"/>
    <x v="2"/>
  </r>
  <r>
    <n v="46"/>
    <x v="3"/>
    <n v="10334"/>
    <s v="White"/>
    <x v="0"/>
    <x v="2"/>
  </r>
  <r>
    <n v="40"/>
    <x v="3"/>
    <n v="10400"/>
    <s v="White"/>
    <x v="0"/>
    <x v="2"/>
  </r>
  <r>
    <n v="40"/>
    <x v="3"/>
    <n v="10400"/>
    <s v="White"/>
    <x v="0"/>
    <x v="2"/>
  </r>
  <r>
    <n v="40"/>
    <x v="3"/>
    <n v="10400"/>
    <s v="White"/>
    <x v="1"/>
    <x v="2"/>
  </r>
  <r>
    <n v="40"/>
    <x v="3"/>
    <n v="10452"/>
    <s v="White"/>
    <x v="0"/>
    <x v="2"/>
  </r>
  <r>
    <n v="0"/>
    <x v="3"/>
    <n v="10500"/>
    <s v="White"/>
    <x v="0"/>
    <x v="2"/>
  </r>
  <r>
    <n v="35"/>
    <x v="3"/>
    <n v="11000"/>
    <s v="White"/>
    <x v="0"/>
    <x v="2"/>
  </r>
  <r>
    <n v="40"/>
    <x v="3"/>
    <n v="11000"/>
    <s v="Black"/>
    <x v="0"/>
    <x v="2"/>
  </r>
  <r>
    <n v="38"/>
    <x v="3"/>
    <n v="11000"/>
    <s v="White"/>
    <x v="0"/>
    <x v="2"/>
  </r>
  <r>
    <n v="40"/>
    <x v="3"/>
    <n v="11000"/>
    <s v="White"/>
    <x v="0"/>
    <x v="2"/>
  </r>
  <r>
    <n v="40"/>
    <x v="3"/>
    <n v="11000"/>
    <s v="White"/>
    <x v="0"/>
    <x v="2"/>
  </r>
  <r>
    <n v="40"/>
    <x v="3"/>
    <n v="11000"/>
    <s v="White"/>
    <x v="1"/>
    <x v="2"/>
  </r>
  <r>
    <n v="0"/>
    <x v="3"/>
    <n v="11000"/>
    <s v="White"/>
    <x v="0"/>
    <x v="2"/>
  </r>
  <r>
    <n v="80"/>
    <x v="3"/>
    <n v="11000"/>
    <s v="White"/>
    <x v="0"/>
    <x v="2"/>
  </r>
  <r>
    <n v="40"/>
    <x v="3"/>
    <n v="11000"/>
    <s v="White"/>
    <x v="1"/>
    <x v="2"/>
  </r>
  <r>
    <n v="40"/>
    <x v="3"/>
    <n v="11000"/>
    <s v="White"/>
    <x v="0"/>
    <x v="2"/>
  </r>
  <r>
    <n v="40"/>
    <x v="3"/>
    <n v="11000"/>
    <s v="White"/>
    <x v="0"/>
    <x v="2"/>
  </r>
  <r>
    <n v="40"/>
    <x v="3"/>
    <n v="11000"/>
    <s v="White"/>
    <x v="0"/>
    <x v="2"/>
  </r>
  <r>
    <n v="40"/>
    <x v="3"/>
    <n v="11000"/>
    <s v="White"/>
    <x v="0"/>
    <x v="2"/>
  </r>
  <r>
    <n v="36"/>
    <x v="3"/>
    <n v="11000"/>
    <s v="White"/>
    <x v="1"/>
    <x v="2"/>
  </r>
  <r>
    <n v="40"/>
    <x v="3"/>
    <n v="11200"/>
    <s v="White"/>
    <x v="0"/>
    <x v="2"/>
  </r>
  <r>
    <n v="36"/>
    <x v="3"/>
    <n v="11500"/>
    <s v="White"/>
    <x v="0"/>
    <x v="2"/>
  </r>
  <r>
    <n v="60"/>
    <x v="3"/>
    <n v="11580"/>
    <s v="White"/>
    <x v="0"/>
    <x v="2"/>
  </r>
  <r>
    <n v="40"/>
    <x v="3"/>
    <n v="11700"/>
    <s v="White"/>
    <x v="1"/>
    <x v="2"/>
  </r>
  <r>
    <n v="40"/>
    <x v="3"/>
    <n v="11706"/>
    <s v="White"/>
    <x v="1"/>
    <x v="2"/>
  </r>
  <r>
    <n v="40"/>
    <x v="3"/>
    <n v="11804"/>
    <s v="White"/>
    <x v="0"/>
    <x v="2"/>
  </r>
  <r>
    <n v="35"/>
    <x v="3"/>
    <n v="12000"/>
    <s v="White"/>
    <x v="0"/>
    <x v="2"/>
  </r>
  <r>
    <n v="48"/>
    <x v="3"/>
    <n v="12000"/>
    <s v="White"/>
    <x v="1"/>
    <x v="2"/>
  </r>
  <r>
    <n v="44"/>
    <x v="3"/>
    <n v="12000"/>
    <s v="White"/>
    <x v="0"/>
    <x v="2"/>
  </r>
  <r>
    <n v="0"/>
    <x v="3"/>
    <n v="12000"/>
    <s v="White"/>
    <x v="0"/>
    <x v="2"/>
  </r>
  <r>
    <n v="35"/>
    <x v="3"/>
    <n v="12000"/>
    <s v="White"/>
    <x v="0"/>
    <x v="2"/>
  </r>
  <r>
    <n v="38"/>
    <x v="3"/>
    <n v="12000"/>
    <s v="White"/>
    <x v="1"/>
    <x v="2"/>
  </r>
  <r>
    <n v="35"/>
    <x v="3"/>
    <n v="12000"/>
    <s v="White"/>
    <x v="0"/>
    <x v="2"/>
  </r>
  <r>
    <n v="40"/>
    <x v="3"/>
    <n v="12000"/>
    <s v="White"/>
    <x v="0"/>
    <x v="2"/>
  </r>
  <r>
    <n v="40"/>
    <x v="3"/>
    <n v="12000"/>
    <s v="White"/>
    <x v="0"/>
    <x v="2"/>
  </r>
  <r>
    <n v="35"/>
    <x v="3"/>
    <n v="12000"/>
    <s v="Black"/>
    <x v="0"/>
    <x v="2"/>
  </r>
  <r>
    <n v="40"/>
    <x v="3"/>
    <n v="12000"/>
    <s v="White"/>
    <x v="1"/>
    <x v="2"/>
  </r>
  <r>
    <n v="37"/>
    <x v="3"/>
    <n v="12000"/>
    <s v="White"/>
    <x v="1"/>
    <x v="2"/>
  </r>
  <r>
    <n v="40"/>
    <x v="3"/>
    <n v="12000"/>
    <s v="White"/>
    <x v="0"/>
    <x v="2"/>
  </r>
  <r>
    <n v="45"/>
    <x v="3"/>
    <n v="12000"/>
    <s v="White"/>
    <x v="1"/>
    <x v="2"/>
  </r>
  <r>
    <n v="40"/>
    <x v="3"/>
    <n v="12000"/>
    <s v="White"/>
    <x v="0"/>
    <x v="2"/>
  </r>
  <r>
    <n v="50"/>
    <x v="3"/>
    <n v="12050"/>
    <s v="White"/>
    <x v="1"/>
    <x v="2"/>
  </r>
  <r>
    <n v="40"/>
    <x v="3"/>
    <n v="12290"/>
    <s v="White"/>
    <x v="1"/>
    <x v="2"/>
  </r>
  <r>
    <n v="38"/>
    <x v="3"/>
    <n v="12298"/>
    <s v="White"/>
    <x v="0"/>
    <x v="2"/>
  </r>
  <r>
    <n v="38"/>
    <x v="3"/>
    <n v="12300"/>
    <s v="White"/>
    <x v="0"/>
    <x v="2"/>
  </r>
  <r>
    <n v="35"/>
    <x v="3"/>
    <n v="12480"/>
    <s v="White"/>
    <x v="0"/>
    <x v="2"/>
  </r>
  <r>
    <n v="36"/>
    <x v="3"/>
    <n v="12500"/>
    <s v="White"/>
    <x v="0"/>
    <x v="2"/>
  </r>
  <r>
    <n v="40"/>
    <x v="3"/>
    <n v="12500"/>
    <s v="White"/>
    <x v="1"/>
    <x v="2"/>
  </r>
  <r>
    <n v="40"/>
    <x v="3"/>
    <n v="12500"/>
    <s v="White"/>
    <x v="0"/>
    <x v="2"/>
  </r>
  <r>
    <n v="45"/>
    <x v="3"/>
    <n v="12500"/>
    <s v="White"/>
    <x v="1"/>
    <x v="2"/>
  </r>
  <r>
    <n v="50"/>
    <x v="3"/>
    <n v="12680"/>
    <s v="White"/>
    <x v="1"/>
    <x v="2"/>
  </r>
  <r>
    <n v="49"/>
    <x v="3"/>
    <n v="12835"/>
    <s v="White"/>
    <x v="1"/>
    <x v="2"/>
  </r>
  <r>
    <n v="40"/>
    <x v="3"/>
    <n v="12900"/>
    <s v="White"/>
    <x v="0"/>
    <x v="2"/>
  </r>
  <r>
    <n v="40"/>
    <x v="3"/>
    <n v="13000"/>
    <s v="White"/>
    <x v="1"/>
    <x v="2"/>
  </r>
  <r>
    <n v="40"/>
    <x v="3"/>
    <n v="13000"/>
    <s v="White"/>
    <x v="1"/>
    <x v="2"/>
  </r>
  <r>
    <n v="35"/>
    <x v="3"/>
    <n v="13000"/>
    <s v="White"/>
    <x v="0"/>
    <x v="2"/>
  </r>
  <r>
    <n v="40"/>
    <x v="3"/>
    <n v="13000"/>
    <s v="White"/>
    <x v="0"/>
    <x v="2"/>
  </r>
  <r>
    <n v="40"/>
    <x v="3"/>
    <n v="13000"/>
    <s v="White"/>
    <x v="0"/>
    <x v="2"/>
  </r>
  <r>
    <n v="40"/>
    <x v="3"/>
    <n v="13000"/>
    <s v="Black"/>
    <x v="1"/>
    <x v="2"/>
  </r>
  <r>
    <n v="55"/>
    <x v="3"/>
    <n v="13000"/>
    <s v="White"/>
    <x v="0"/>
    <x v="2"/>
  </r>
  <r>
    <n v="40"/>
    <x v="3"/>
    <n v="13000"/>
    <s v="White"/>
    <x v="1"/>
    <x v="2"/>
  </r>
  <r>
    <n v="45"/>
    <x v="3"/>
    <n v="13000"/>
    <s v="White"/>
    <x v="0"/>
    <x v="2"/>
  </r>
  <r>
    <n v="50"/>
    <x v="3"/>
    <n v="13000"/>
    <s v="White"/>
    <x v="0"/>
    <x v="2"/>
  </r>
  <r>
    <n v="40"/>
    <x v="3"/>
    <n v="13000"/>
    <s v="White"/>
    <x v="1"/>
    <x v="2"/>
  </r>
  <r>
    <n v="36"/>
    <x v="3"/>
    <n v="13000"/>
    <s v="White"/>
    <x v="0"/>
    <x v="2"/>
  </r>
  <r>
    <n v="52"/>
    <x v="3"/>
    <n v="13000"/>
    <s v="White"/>
    <x v="0"/>
    <x v="2"/>
  </r>
  <r>
    <n v="35"/>
    <x v="3"/>
    <n v="13000"/>
    <s v="White"/>
    <x v="0"/>
    <x v="2"/>
  </r>
  <r>
    <n v="35"/>
    <x v="3"/>
    <n v="13000"/>
    <s v="White"/>
    <x v="0"/>
    <x v="2"/>
  </r>
  <r>
    <n v="40"/>
    <x v="3"/>
    <n v="13007"/>
    <s v="White"/>
    <x v="1"/>
    <x v="2"/>
  </r>
  <r>
    <n v="0"/>
    <x v="3"/>
    <n v="13100"/>
    <s v="White"/>
    <x v="0"/>
    <x v="2"/>
  </r>
  <r>
    <n v="0"/>
    <x v="3"/>
    <n v="13500"/>
    <s v="White"/>
    <x v="0"/>
    <x v="2"/>
  </r>
  <r>
    <n v="50"/>
    <x v="3"/>
    <n v="13500"/>
    <s v="White"/>
    <x v="0"/>
    <x v="2"/>
  </r>
  <r>
    <n v="40"/>
    <x v="3"/>
    <n v="13500"/>
    <s v="White"/>
    <x v="1"/>
    <x v="2"/>
  </r>
  <r>
    <n v="40"/>
    <x v="3"/>
    <n v="13500"/>
    <s v="White"/>
    <x v="1"/>
    <x v="2"/>
  </r>
  <r>
    <n v="40"/>
    <x v="3"/>
    <n v="13520"/>
    <s v="Black"/>
    <x v="0"/>
    <x v="2"/>
  </r>
  <r>
    <n v="40"/>
    <x v="3"/>
    <n v="13780"/>
    <s v="White"/>
    <x v="0"/>
    <x v="2"/>
  </r>
  <r>
    <n v="35"/>
    <x v="3"/>
    <n v="14000"/>
    <s v="White"/>
    <x v="0"/>
    <x v="2"/>
  </r>
  <r>
    <n v="40"/>
    <x v="3"/>
    <n v="14000"/>
    <s v="Black"/>
    <x v="0"/>
    <x v="2"/>
  </r>
  <r>
    <n v="40"/>
    <x v="3"/>
    <n v="14000"/>
    <s v="White"/>
    <x v="0"/>
    <x v="2"/>
  </r>
  <r>
    <n v="40"/>
    <x v="3"/>
    <n v="14000"/>
    <s v="White"/>
    <x v="0"/>
    <x v="2"/>
  </r>
  <r>
    <n v="40"/>
    <x v="3"/>
    <n v="14000"/>
    <s v="White"/>
    <x v="0"/>
    <x v="2"/>
  </r>
  <r>
    <n v="45"/>
    <x v="3"/>
    <n v="14000"/>
    <s v="White"/>
    <x v="1"/>
    <x v="2"/>
  </r>
  <r>
    <n v="45"/>
    <x v="3"/>
    <n v="14000"/>
    <s v="White"/>
    <x v="1"/>
    <x v="2"/>
  </r>
  <r>
    <n v="40"/>
    <x v="3"/>
    <n v="14000"/>
    <s v="Black"/>
    <x v="1"/>
    <x v="2"/>
  </r>
  <r>
    <n v="35"/>
    <x v="3"/>
    <n v="14000"/>
    <s v="Black"/>
    <x v="0"/>
    <x v="2"/>
  </r>
  <r>
    <n v="40"/>
    <x v="3"/>
    <n v="14000"/>
    <s v="White"/>
    <x v="0"/>
    <x v="2"/>
  </r>
  <r>
    <n v="40"/>
    <x v="3"/>
    <n v="14000"/>
    <s v="White"/>
    <x v="0"/>
    <x v="2"/>
  </r>
  <r>
    <n v="40"/>
    <x v="3"/>
    <n v="14240"/>
    <s v="White"/>
    <x v="0"/>
    <x v="2"/>
  </r>
  <r>
    <n v="40"/>
    <x v="3"/>
    <n v="14400"/>
    <s v="Black"/>
    <x v="0"/>
    <x v="2"/>
  </r>
  <r>
    <n v="40"/>
    <x v="3"/>
    <n v="14560"/>
    <s v="Black"/>
    <x v="1"/>
    <x v="2"/>
  </r>
  <r>
    <n v="40"/>
    <x v="3"/>
    <n v="14750"/>
    <s v="White"/>
    <x v="1"/>
    <x v="2"/>
  </r>
  <r>
    <n v="40"/>
    <x v="3"/>
    <n v="15000"/>
    <s v="White"/>
    <x v="1"/>
    <x v="2"/>
  </r>
  <r>
    <n v="40"/>
    <x v="3"/>
    <n v="15000"/>
    <s v="White"/>
    <x v="1"/>
    <x v="2"/>
  </r>
  <r>
    <n v="40"/>
    <x v="3"/>
    <n v="15000"/>
    <s v="White"/>
    <x v="0"/>
    <x v="2"/>
  </r>
  <r>
    <n v="40"/>
    <x v="3"/>
    <n v="15000"/>
    <s v="Black"/>
    <x v="0"/>
    <x v="2"/>
  </r>
  <r>
    <n v="38"/>
    <x v="3"/>
    <n v="15000"/>
    <s v="White"/>
    <x v="0"/>
    <x v="2"/>
  </r>
  <r>
    <n v="39"/>
    <x v="3"/>
    <n v="15000"/>
    <s v="White"/>
    <x v="0"/>
    <x v="2"/>
  </r>
  <r>
    <n v="40"/>
    <x v="3"/>
    <n v="15000"/>
    <s v="White"/>
    <x v="0"/>
    <x v="2"/>
  </r>
  <r>
    <n v="40"/>
    <x v="3"/>
    <n v="15000"/>
    <s v="Black"/>
    <x v="0"/>
    <x v="2"/>
  </r>
  <r>
    <n v="35"/>
    <x v="3"/>
    <n v="15000"/>
    <s v="AsianPI"/>
    <x v="1"/>
    <x v="2"/>
  </r>
  <r>
    <n v="40"/>
    <x v="3"/>
    <n v="15000"/>
    <s v="White"/>
    <x v="0"/>
    <x v="2"/>
  </r>
  <r>
    <n v="40"/>
    <x v="3"/>
    <n v="15000"/>
    <s v="White"/>
    <x v="0"/>
    <x v="2"/>
  </r>
  <r>
    <n v="40"/>
    <x v="3"/>
    <n v="15000"/>
    <s v="Black"/>
    <x v="0"/>
    <x v="2"/>
  </r>
  <r>
    <n v="45"/>
    <x v="3"/>
    <n v="15000"/>
    <s v="White"/>
    <x v="0"/>
    <x v="2"/>
  </r>
  <r>
    <n v="65"/>
    <x v="3"/>
    <n v="15000"/>
    <s v="White"/>
    <x v="0"/>
    <x v="2"/>
  </r>
  <r>
    <n v="40"/>
    <x v="3"/>
    <n v="15000"/>
    <s v="White"/>
    <x v="1"/>
    <x v="2"/>
  </r>
  <r>
    <n v="72"/>
    <x v="3"/>
    <n v="15000"/>
    <s v="White"/>
    <x v="1"/>
    <x v="2"/>
  </r>
  <r>
    <n v="45"/>
    <x v="3"/>
    <n v="15000"/>
    <s v="White"/>
    <x v="0"/>
    <x v="2"/>
  </r>
  <r>
    <n v="40"/>
    <x v="3"/>
    <n v="15000"/>
    <s v="White"/>
    <x v="1"/>
    <x v="2"/>
  </r>
  <r>
    <n v="40"/>
    <x v="3"/>
    <n v="15000"/>
    <s v="White"/>
    <x v="1"/>
    <x v="2"/>
  </r>
  <r>
    <n v="75"/>
    <x v="3"/>
    <n v="15000"/>
    <s v="White"/>
    <x v="1"/>
    <x v="2"/>
  </r>
  <r>
    <n v="40"/>
    <x v="3"/>
    <n v="15048"/>
    <s v="Black"/>
    <x v="0"/>
    <x v="2"/>
  </r>
  <r>
    <n v="40"/>
    <x v="3"/>
    <n v="15125"/>
    <s v="AsianPI"/>
    <x v="1"/>
    <x v="2"/>
  </r>
  <r>
    <n v="40"/>
    <x v="3"/>
    <n v="15360"/>
    <s v="White"/>
    <x v="0"/>
    <x v="2"/>
  </r>
  <r>
    <n v="35"/>
    <x v="3"/>
    <n v="15400"/>
    <s v="White"/>
    <x v="0"/>
    <x v="2"/>
  </r>
  <r>
    <n v="35"/>
    <x v="3"/>
    <n v="15400"/>
    <s v="Black"/>
    <x v="0"/>
    <x v="2"/>
  </r>
  <r>
    <n v="40"/>
    <x v="3"/>
    <n v="15400"/>
    <s v="Black"/>
    <x v="0"/>
    <x v="2"/>
  </r>
  <r>
    <n v="40"/>
    <x v="3"/>
    <n v="15500"/>
    <s v="White"/>
    <x v="0"/>
    <x v="2"/>
  </r>
  <r>
    <n v="40"/>
    <x v="3"/>
    <n v="15525"/>
    <s v="White"/>
    <x v="1"/>
    <x v="2"/>
  </r>
  <r>
    <n v="40"/>
    <x v="3"/>
    <n v="15600"/>
    <s v="White"/>
    <x v="0"/>
    <x v="2"/>
  </r>
  <r>
    <n v="0"/>
    <x v="3"/>
    <n v="15600"/>
    <s v="Black"/>
    <x v="0"/>
    <x v="2"/>
  </r>
  <r>
    <n v="40"/>
    <x v="3"/>
    <n v="15641"/>
    <s v="White"/>
    <x v="1"/>
    <x v="2"/>
  </r>
  <r>
    <n v="40"/>
    <x v="3"/>
    <n v="15700"/>
    <s v="White"/>
    <x v="1"/>
    <x v="2"/>
  </r>
  <r>
    <n v="40"/>
    <x v="3"/>
    <n v="15726"/>
    <s v="AsianPI"/>
    <x v="1"/>
    <x v="2"/>
  </r>
  <r>
    <n v="40"/>
    <x v="3"/>
    <n v="15726"/>
    <s v="White"/>
    <x v="1"/>
    <x v="2"/>
  </r>
  <r>
    <n v="40"/>
    <x v="3"/>
    <n v="15779"/>
    <s v="White"/>
    <x v="0"/>
    <x v="2"/>
  </r>
  <r>
    <n v="40"/>
    <x v="3"/>
    <n v="15800"/>
    <s v="IndEsk"/>
    <x v="0"/>
    <x v="2"/>
  </r>
  <r>
    <n v="52"/>
    <x v="3"/>
    <n v="15882"/>
    <s v="White"/>
    <x v="0"/>
    <x v="2"/>
  </r>
  <r>
    <n v="40"/>
    <x v="3"/>
    <n v="15950"/>
    <s v="White"/>
    <x v="0"/>
    <x v="2"/>
  </r>
  <r>
    <n v="38"/>
    <x v="3"/>
    <n v="16000"/>
    <s v="Black"/>
    <x v="0"/>
    <x v="2"/>
  </r>
  <r>
    <n v="40"/>
    <x v="3"/>
    <n v="16000"/>
    <s v="White"/>
    <x v="1"/>
    <x v="2"/>
  </r>
  <r>
    <n v="40"/>
    <x v="3"/>
    <n v="16000"/>
    <s v="White"/>
    <x v="0"/>
    <x v="2"/>
  </r>
  <r>
    <n v="40"/>
    <x v="3"/>
    <n v="16000"/>
    <s v="White"/>
    <x v="1"/>
    <x v="2"/>
  </r>
  <r>
    <n v="50"/>
    <x v="3"/>
    <n v="16000"/>
    <s v="White"/>
    <x v="1"/>
    <x v="2"/>
  </r>
  <r>
    <n v="40"/>
    <x v="3"/>
    <n v="16000"/>
    <s v="White"/>
    <x v="0"/>
    <x v="2"/>
  </r>
  <r>
    <n v="40"/>
    <x v="3"/>
    <n v="16000"/>
    <s v="White"/>
    <x v="0"/>
    <x v="2"/>
  </r>
  <r>
    <n v="40"/>
    <x v="3"/>
    <n v="16000"/>
    <s v="White"/>
    <x v="0"/>
    <x v="2"/>
  </r>
  <r>
    <n v="50"/>
    <x v="3"/>
    <n v="16000"/>
    <s v="White"/>
    <x v="0"/>
    <x v="2"/>
  </r>
  <r>
    <n v="40"/>
    <x v="3"/>
    <n v="16000"/>
    <s v="Black"/>
    <x v="0"/>
    <x v="2"/>
  </r>
  <r>
    <n v="40"/>
    <x v="3"/>
    <n v="16120"/>
    <s v="White"/>
    <x v="0"/>
    <x v="2"/>
  </r>
  <r>
    <n v="40"/>
    <x v="3"/>
    <n v="16281"/>
    <s v="White"/>
    <x v="0"/>
    <x v="2"/>
  </r>
  <r>
    <n v="35"/>
    <x v="3"/>
    <n v="16400"/>
    <s v="White"/>
    <x v="0"/>
    <x v="2"/>
  </r>
  <r>
    <n v="55"/>
    <x v="3"/>
    <n v="16400"/>
    <s v="White"/>
    <x v="1"/>
    <x v="2"/>
  </r>
  <r>
    <n v="40"/>
    <x v="3"/>
    <n v="16500"/>
    <s v="White"/>
    <x v="0"/>
    <x v="2"/>
  </r>
  <r>
    <n v="40"/>
    <x v="3"/>
    <n v="16598"/>
    <s v="Black"/>
    <x v="1"/>
    <x v="2"/>
  </r>
  <r>
    <n v="40"/>
    <x v="3"/>
    <n v="16640"/>
    <s v="White"/>
    <x v="0"/>
    <x v="2"/>
  </r>
  <r>
    <n v="40"/>
    <x v="3"/>
    <n v="16804"/>
    <s v="White"/>
    <x v="0"/>
    <x v="2"/>
  </r>
  <r>
    <n v="40"/>
    <x v="3"/>
    <n v="16850"/>
    <s v="White"/>
    <x v="0"/>
    <x v="2"/>
  </r>
  <r>
    <n v="40"/>
    <x v="3"/>
    <n v="16900"/>
    <s v="White"/>
    <x v="1"/>
    <x v="2"/>
  </r>
  <r>
    <n v="40"/>
    <x v="3"/>
    <n v="17000"/>
    <s v="White"/>
    <x v="0"/>
    <x v="2"/>
  </r>
  <r>
    <n v="40"/>
    <x v="3"/>
    <n v="17000"/>
    <s v="White"/>
    <x v="0"/>
    <x v="2"/>
  </r>
  <r>
    <n v="50"/>
    <x v="3"/>
    <n v="17000"/>
    <s v="White"/>
    <x v="1"/>
    <x v="2"/>
  </r>
  <r>
    <n v="40"/>
    <x v="3"/>
    <n v="17000"/>
    <s v="White"/>
    <x v="0"/>
    <x v="2"/>
  </r>
  <r>
    <n v="45"/>
    <x v="3"/>
    <n v="17000"/>
    <s v="White"/>
    <x v="1"/>
    <x v="2"/>
  </r>
  <r>
    <n v="55"/>
    <x v="3"/>
    <n v="17000"/>
    <s v="White"/>
    <x v="0"/>
    <x v="2"/>
  </r>
  <r>
    <n v="40"/>
    <x v="3"/>
    <n v="17000"/>
    <s v="White"/>
    <x v="0"/>
    <x v="2"/>
  </r>
  <r>
    <n v="35"/>
    <x v="3"/>
    <n v="17000"/>
    <s v="White"/>
    <x v="0"/>
    <x v="2"/>
  </r>
  <r>
    <n v="0"/>
    <x v="3"/>
    <n v="17000"/>
    <s v="White"/>
    <x v="1"/>
    <x v="2"/>
  </r>
  <r>
    <n v="40"/>
    <x v="3"/>
    <n v="17000"/>
    <s v="White"/>
    <x v="0"/>
    <x v="2"/>
  </r>
  <r>
    <n v="40"/>
    <x v="3"/>
    <n v="17000"/>
    <s v="White"/>
    <x v="0"/>
    <x v="2"/>
  </r>
  <r>
    <n v="37"/>
    <x v="3"/>
    <n v="17000"/>
    <s v="Black"/>
    <x v="0"/>
    <x v="2"/>
  </r>
  <r>
    <n v="40"/>
    <x v="3"/>
    <n v="17000"/>
    <s v="White"/>
    <x v="1"/>
    <x v="2"/>
  </r>
  <r>
    <n v="40"/>
    <x v="3"/>
    <n v="17000"/>
    <s v="White"/>
    <x v="1"/>
    <x v="2"/>
  </r>
  <r>
    <n v="40"/>
    <x v="3"/>
    <n v="17000"/>
    <s v="Black"/>
    <x v="1"/>
    <x v="2"/>
  </r>
  <r>
    <n v="40"/>
    <x v="3"/>
    <n v="17000"/>
    <s v="White"/>
    <x v="0"/>
    <x v="2"/>
  </r>
  <r>
    <n v="40"/>
    <x v="3"/>
    <n v="17000"/>
    <s v="White"/>
    <x v="0"/>
    <x v="2"/>
  </r>
  <r>
    <n v="42"/>
    <x v="3"/>
    <n v="17000"/>
    <s v="White"/>
    <x v="1"/>
    <x v="2"/>
  </r>
  <r>
    <n v="42"/>
    <x v="3"/>
    <n v="17000"/>
    <s v="White"/>
    <x v="0"/>
    <x v="2"/>
  </r>
  <r>
    <n v="40"/>
    <x v="3"/>
    <n v="17000"/>
    <s v="White"/>
    <x v="0"/>
    <x v="2"/>
  </r>
  <r>
    <n v="40"/>
    <x v="3"/>
    <n v="17000"/>
    <s v="Black"/>
    <x v="1"/>
    <x v="2"/>
  </r>
  <r>
    <n v="40"/>
    <x v="3"/>
    <n v="17000"/>
    <s v="Black"/>
    <x v="1"/>
    <x v="2"/>
  </r>
  <r>
    <n v="49"/>
    <x v="3"/>
    <n v="17100"/>
    <s v="White"/>
    <x v="0"/>
    <x v="2"/>
  </r>
  <r>
    <n v="40"/>
    <x v="3"/>
    <n v="17500"/>
    <s v="White"/>
    <x v="0"/>
    <x v="2"/>
  </r>
  <r>
    <n v="50"/>
    <x v="3"/>
    <n v="17500"/>
    <s v="White"/>
    <x v="1"/>
    <x v="2"/>
  </r>
  <r>
    <n v="40"/>
    <x v="3"/>
    <n v="17506"/>
    <s v="White"/>
    <x v="0"/>
    <x v="2"/>
  </r>
  <r>
    <n v="40"/>
    <x v="3"/>
    <n v="17601"/>
    <s v="White"/>
    <x v="1"/>
    <x v="2"/>
  </r>
  <r>
    <n v="40"/>
    <x v="3"/>
    <n v="17738"/>
    <s v="White"/>
    <x v="0"/>
    <x v="2"/>
  </r>
  <r>
    <n v="45"/>
    <x v="3"/>
    <n v="17888"/>
    <s v="White"/>
    <x v="1"/>
    <x v="2"/>
  </r>
  <r>
    <n v="40"/>
    <x v="3"/>
    <n v="17920"/>
    <s v="White"/>
    <x v="1"/>
    <x v="2"/>
  </r>
  <r>
    <n v="45"/>
    <x v="3"/>
    <n v="18000"/>
    <s v="White"/>
    <x v="0"/>
    <x v="2"/>
  </r>
  <r>
    <n v="40"/>
    <x v="3"/>
    <n v="18000"/>
    <s v="Black"/>
    <x v="0"/>
    <x v="2"/>
  </r>
  <r>
    <n v="40"/>
    <x v="3"/>
    <n v="18000"/>
    <s v="White"/>
    <x v="0"/>
    <x v="2"/>
  </r>
  <r>
    <n v="80"/>
    <x v="3"/>
    <n v="18000"/>
    <s v="White"/>
    <x v="1"/>
    <x v="2"/>
  </r>
  <r>
    <n v="40"/>
    <x v="3"/>
    <n v="18000"/>
    <s v="White"/>
    <x v="1"/>
    <x v="2"/>
  </r>
  <r>
    <n v="38"/>
    <x v="3"/>
    <n v="18000"/>
    <s v="White"/>
    <x v="0"/>
    <x v="2"/>
  </r>
  <r>
    <n v="41"/>
    <x v="3"/>
    <n v="18000"/>
    <s v="White"/>
    <x v="1"/>
    <x v="2"/>
  </r>
  <r>
    <n v="40"/>
    <x v="3"/>
    <n v="18000"/>
    <s v="White"/>
    <x v="0"/>
    <x v="2"/>
  </r>
  <r>
    <n v="40"/>
    <x v="3"/>
    <n v="18000"/>
    <s v="White"/>
    <x v="1"/>
    <x v="2"/>
  </r>
  <r>
    <n v="60"/>
    <x v="3"/>
    <n v="18000"/>
    <s v="White"/>
    <x v="1"/>
    <x v="2"/>
  </r>
  <r>
    <n v="40"/>
    <x v="3"/>
    <n v="18000"/>
    <s v="White"/>
    <x v="1"/>
    <x v="2"/>
  </r>
  <r>
    <n v="40"/>
    <x v="3"/>
    <n v="18000"/>
    <s v="White"/>
    <x v="1"/>
    <x v="2"/>
  </r>
  <r>
    <n v="35"/>
    <x v="3"/>
    <n v="18000"/>
    <s v="White"/>
    <x v="0"/>
    <x v="2"/>
  </r>
  <r>
    <n v="60"/>
    <x v="3"/>
    <n v="18000"/>
    <s v="White"/>
    <x v="0"/>
    <x v="2"/>
  </r>
  <r>
    <n v="40"/>
    <x v="3"/>
    <n v="18000"/>
    <s v="White"/>
    <x v="1"/>
    <x v="2"/>
  </r>
  <r>
    <n v="0"/>
    <x v="3"/>
    <n v="18000"/>
    <s v="White"/>
    <x v="1"/>
    <x v="2"/>
  </r>
  <r>
    <n v="35"/>
    <x v="3"/>
    <n v="18000"/>
    <s v="White"/>
    <x v="0"/>
    <x v="2"/>
  </r>
  <r>
    <n v="48"/>
    <x v="3"/>
    <n v="18000"/>
    <s v="White"/>
    <x v="1"/>
    <x v="2"/>
  </r>
  <r>
    <n v="40"/>
    <x v="3"/>
    <n v="18000"/>
    <s v="Black"/>
    <x v="1"/>
    <x v="2"/>
  </r>
  <r>
    <n v="40"/>
    <x v="3"/>
    <n v="18000"/>
    <s v="White"/>
    <x v="1"/>
    <x v="2"/>
  </r>
  <r>
    <n v="45"/>
    <x v="3"/>
    <n v="18000"/>
    <s v="Black"/>
    <x v="0"/>
    <x v="2"/>
  </r>
  <r>
    <n v="0"/>
    <x v="3"/>
    <n v="18000"/>
    <s v="IndEsk"/>
    <x v="1"/>
    <x v="2"/>
  </r>
  <r>
    <n v="40"/>
    <x v="3"/>
    <n v="18000"/>
    <s v="White"/>
    <x v="1"/>
    <x v="2"/>
  </r>
  <r>
    <n v="40"/>
    <x v="3"/>
    <n v="18000"/>
    <s v="White"/>
    <x v="1"/>
    <x v="2"/>
  </r>
  <r>
    <n v="40"/>
    <x v="3"/>
    <n v="18000"/>
    <s v="White"/>
    <x v="0"/>
    <x v="2"/>
  </r>
  <r>
    <n v="51"/>
    <x v="3"/>
    <n v="18024"/>
    <s v="White"/>
    <x v="0"/>
    <x v="2"/>
  </r>
  <r>
    <n v="60"/>
    <x v="3"/>
    <n v="18200"/>
    <s v="White"/>
    <x v="1"/>
    <x v="2"/>
  </r>
  <r>
    <n v="35"/>
    <x v="3"/>
    <n v="18200"/>
    <s v="White"/>
    <x v="1"/>
    <x v="2"/>
  </r>
  <r>
    <n v="40"/>
    <x v="3"/>
    <n v="18200"/>
    <s v="White"/>
    <x v="0"/>
    <x v="2"/>
  </r>
  <r>
    <n v="60"/>
    <x v="3"/>
    <n v="18200"/>
    <s v="White"/>
    <x v="1"/>
    <x v="2"/>
  </r>
  <r>
    <n v="0"/>
    <x v="3"/>
    <n v="18200"/>
    <s v="IndEsk"/>
    <x v="0"/>
    <x v="2"/>
  </r>
  <r>
    <n v="40"/>
    <x v="3"/>
    <n v="18240"/>
    <s v="White"/>
    <x v="1"/>
    <x v="2"/>
  </r>
  <r>
    <n v="40"/>
    <x v="3"/>
    <n v="18396"/>
    <s v="White"/>
    <x v="0"/>
    <x v="2"/>
  </r>
  <r>
    <n v="40"/>
    <x v="3"/>
    <n v="18500"/>
    <s v="Black"/>
    <x v="0"/>
    <x v="2"/>
  </r>
  <r>
    <n v="55"/>
    <x v="3"/>
    <n v="18500"/>
    <s v="Black"/>
    <x v="1"/>
    <x v="2"/>
  </r>
  <r>
    <n v="40"/>
    <x v="3"/>
    <n v="18500"/>
    <s v="Black"/>
    <x v="0"/>
    <x v="2"/>
  </r>
  <r>
    <n v="0"/>
    <x v="3"/>
    <n v="18560"/>
    <s v="White"/>
    <x v="0"/>
    <x v="2"/>
  </r>
  <r>
    <n v="40"/>
    <x v="3"/>
    <n v="18630"/>
    <s v="White"/>
    <x v="0"/>
    <x v="2"/>
  </r>
  <r>
    <n v="40"/>
    <x v="3"/>
    <n v="18720"/>
    <s v="White"/>
    <x v="0"/>
    <x v="2"/>
  </r>
  <r>
    <n v="40"/>
    <x v="3"/>
    <n v="18720"/>
    <s v="White"/>
    <x v="1"/>
    <x v="2"/>
  </r>
  <r>
    <n v="40"/>
    <x v="3"/>
    <n v="18765"/>
    <s v="White"/>
    <x v="0"/>
    <x v="2"/>
  </r>
  <r>
    <n v="40"/>
    <x v="3"/>
    <n v="18800"/>
    <s v="White"/>
    <x v="0"/>
    <x v="2"/>
  </r>
  <r>
    <n v="40"/>
    <x v="3"/>
    <n v="18867"/>
    <s v="White"/>
    <x v="0"/>
    <x v="2"/>
  </r>
  <r>
    <n v="37"/>
    <x v="3"/>
    <n v="18888"/>
    <s v="White"/>
    <x v="0"/>
    <x v="2"/>
  </r>
  <r>
    <n v="40"/>
    <x v="3"/>
    <n v="19000"/>
    <s v="White"/>
    <x v="0"/>
    <x v="2"/>
  </r>
  <r>
    <n v="40"/>
    <x v="3"/>
    <n v="19000"/>
    <s v="White"/>
    <x v="1"/>
    <x v="2"/>
  </r>
  <r>
    <n v="40"/>
    <x v="3"/>
    <n v="19000"/>
    <s v="White"/>
    <x v="0"/>
    <x v="2"/>
  </r>
  <r>
    <n v="40"/>
    <x v="3"/>
    <n v="19000"/>
    <s v="White"/>
    <x v="0"/>
    <x v="2"/>
  </r>
  <r>
    <n v="40"/>
    <x v="3"/>
    <n v="19000"/>
    <s v="White"/>
    <x v="0"/>
    <x v="2"/>
  </r>
  <r>
    <n v="40"/>
    <x v="3"/>
    <n v="19000"/>
    <s v="White"/>
    <x v="0"/>
    <x v="2"/>
  </r>
  <r>
    <n v="40"/>
    <x v="3"/>
    <n v="19000"/>
    <s v="White"/>
    <x v="0"/>
    <x v="2"/>
  </r>
  <r>
    <n v="40"/>
    <x v="3"/>
    <n v="19000"/>
    <s v="White"/>
    <x v="1"/>
    <x v="2"/>
  </r>
  <r>
    <n v="40"/>
    <x v="3"/>
    <n v="19000"/>
    <s v="White"/>
    <x v="0"/>
    <x v="2"/>
  </r>
  <r>
    <n v="40"/>
    <x v="3"/>
    <n v="19000"/>
    <s v="White"/>
    <x v="0"/>
    <x v="2"/>
  </r>
  <r>
    <n v="40"/>
    <x v="3"/>
    <n v="19000"/>
    <s v="Black"/>
    <x v="0"/>
    <x v="2"/>
  </r>
  <r>
    <n v="40"/>
    <x v="3"/>
    <n v="19000"/>
    <s v="White"/>
    <x v="1"/>
    <x v="2"/>
  </r>
  <r>
    <n v="50"/>
    <x v="3"/>
    <n v="19000"/>
    <s v="White"/>
    <x v="0"/>
    <x v="2"/>
  </r>
  <r>
    <n v="40"/>
    <x v="3"/>
    <n v="19136"/>
    <s v="White"/>
    <x v="0"/>
    <x v="2"/>
  </r>
  <r>
    <n v="40"/>
    <x v="3"/>
    <n v="19200"/>
    <s v="White"/>
    <x v="1"/>
    <x v="2"/>
  </r>
  <r>
    <n v="40"/>
    <x v="3"/>
    <n v="19240"/>
    <s v="Black"/>
    <x v="0"/>
    <x v="2"/>
  </r>
  <r>
    <n v="40"/>
    <x v="3"/>
    <n v="19260"/>
    <s v="White"/>
    <x v="0"/>
    <x v="2"/>
  </r>
  <r>
    <n v="35"/>
    <x v="3"/>
    <n v="19294"/>
    <s v="White"/>
    <x v="1"/>
    <x v="2"/>
  </r>
  <r>
    <n v="45"/>
    <x v="3"/>
    <n v="19350"/>
    <s v="White"/>
    <x v="0"/>
    <x v="2"/>
  </r>
  <r>
    <n v="40"/>
    <x v="3"/>
    <n v="19500"/>
    <s v="White"/>
    <x v="1"/>
    <x v="2"/>
  </r>
  <r>
    <n v="45"/>
    <x v="3"/>
    <n v="19500"/>
    <s v="White"/>
    <x v="1"/>
    <x v="2"/>
  </r>
  <r>
    <n v="40"/>
    <x v="3"/>
    <n v="19698"/>
    <s v="White"/>
    <x v="0"/>
    <x v="2"/>
  </r>
  <r>
    <n v="40"/>
    <x v="3"/>
    <n v="19708"/>
    <s v="Black"/>
    <x v="0"/>
    <x v="2"/>
  </r>
  <r>
    <n v="40"/>
    <x v="3"/>
    <n v="19760"/>
    <s v="Black"/>
    <x v="1"/>
    <x v="2"/>
  </r>
  <r>
    <n v="40"/>
    <x v="3"/>
    <n v="19760"/>
    <s v="Black"/>
    <x v="0"/>
    <x v="2"/>
  </r>
  <r>
    <n v="50"/>
    <x v="3"/>
    <n v="19800"/>
    <s v="White"/>
    <x v="1"/>
    <x v="2"/>
  </r>
  <r>
    <n v="0"/>
    <x v="3"/>
    <n v="19900"/>
    <s v="White"/>
    <x v="0"/>
    <x v="2"/>
  </r>
  <r>
    <n v="48"/>
    <x v="3"/>
    <n v="20000"/>
    <s v="White"/>
    <x v="0"/>
    <x v="2"/>
  </r>
  <r>
    <n v="40"/>
    <x v="3"/>
    <n v="20000"/>
    <s v="White"/>
    <x v="1"/>
    <x v="2"/>
  </r>
  <r>
    <n v="40"/>
    <x v="3"/>
    <n v="20000"/>
    <s v="White"/>
    <x v="0"/>
    <x v="2"/>
  </r>
  <r>
    <n v="0"/>
    <x v="3"/>
    <n v="20000"/>
    <s v="White"/>
    <x v="0"/>
    <x v="2"/>
  </r>
  <r>
    <n v="40"/>
    <x v="3"/>
    <n v="20000"/>
    <s v="White"/>
    <x v="1"/>
    <x v="2"/>
  </r>
  <r>
    <n v="0"/>
    <x v="3"/>
    <n v="20000"/>
    <s v="White"/>
    <x v="0"/>
    <x v="2"/>
  </r>
  <r>
    <n v="40"/>
    <x v="3"/>
    <n v="20000"/>
    <s v="White"/>
    <x v="1"/>
    <x v="2"/>
  </r>
  <r>
    <n v="40"/>
    <x v="3"/>
    <n v="20000"/>
    <s v="White"/>
    <x v="1"/>
    <x v="2"/>
  </r>
  <r>
    <n v="40"/>
    <x v="3"/>
    <n v="20000"/>
    <s v="White"/>
    <x v="1"/>
    <x v="2"/>
  </r>
  <r>
    <n v="40"/>
    <x v="3"/>
    <n v="20000"/>
    <s v="White"/>
    <x v="0"/>
    <x v="2"/>
  </r>
  <r>
    <n v="40"/>
    <x v="3"/>
    <n v="20000"/>
    <s v="White"/>
    <x v="1"/>
    <x v="2"/>
  </r>
  <r>
    <n v="40"/>
    <x v="3"/>
    <n v="20000"/>
    <s v="White"/>
    <x v="0"/>
    <x v="2"/>
  </r>
  <r>
    <n v="40"/>
    <x v="3"/>
    <n v="20000"/>
    <s v="White"/>
    <x v="0"/>
    <x v="2"/>
  </r>
  <r>
    <n v="42"/>
    <x v="3"/>
    <n v="20000"/>
    <s v="White"/>
    <x v="1"/>
    <x v="2"/>
  </r>
  <r>
    <n v="40"/>
    <x v="3"/>
    <n v="20000"/>
    <s v="White"/>
    <x v="0"/>
    <x v="2"/>
  </r>
  <r>
    <n v="55"/>
    <x v="3"/>
    <n v="20000"/>
    <s v="White"/>
    <x v="1"/>
    <x v="2"/>
  </r>
  <r>
    <n v="40"/>
    <x v="3"/>
    <n v="20000"/>
    <s v="White"/>
    <x v="0"/>
    <x v="2"/>
  </r>
  <r>
    <n v="45"/>
    <x v="3"/>
    <n v="20000"/>
    <s v="Black"/>
    <x v="1"/>
    <x v="2"/>
  </r>
  <r>
    <n v="40"/>
    <x v="3"/>
    <n v="20000"/>
    <s v="Black"/>
    <x v="0"/>
    <x v="2"/>
  </r>
  <r>
    <n v="50"/>
    <x v="3"/>
    <n v="20000"/>
    <s v="White"/>
    <x v="1"/>
    <x v="2"/>
  </r>
  <r>
    <n v="40"/>
    <x v="3"/>
    <n v="20000"/>
    <s v="White"/>
    <x v="1"/>
    <x v="2"/>
  </r>
  <r>
    <n v="40"/>
    <x v="3"/>
    <n v="20000"/>
    <s v="White"/>
    <x v="1"/>
    <x v="2"/>
  </r>
  <r>
    <n v="40"/>
    <x v="3"/>
    <n v="20000"/>
    <s v="Black"/>
    <x v="0"/>
    <x v="2"/>
  </r>
  <r>
    <n v="40"/>
    <x v="3"/>
    <n v="20000"/>
    <s v="White"/>
    <x v="0"/>
    <x v="2"/>
  </r>
  <r>
    <n v="40"/>
    <x v="3"/>
    <n v="20000"/>
    <s v="AsianPI"/>
    <x v="1"/>
    <x v="2"/>
  </r>
  <r>
    <n v="0"/>
    <x v="3"/>
    <n v="20000"/>
    <s v="White"/>
    <x v="1"/>
    <x v="2"/>
  </r>
  <r>
    <n v="35"/>
    <x v="3"/>
    <n v="20000"/>
    <s v="White"/>
    <x v="0"/>
    <x v="2"/>
  </r>
  <r>
    <n v="65"/>
    <x v="3"/>
    <n v="20000"/>
    <s v="Black"/>
    <x v="1"/>
    <x v="2"/>
  </r>
  <r>
    <n v="40"/>
    <x v="3"/>
    <n v="20000"/>
    <s v="White"/>
    <x v="0"/>
    <x v="2"/>
  </r>
  <r>
    <n v="40"/>
    <x v="3"/>
    <n v="20000"/>
    <s v="White"/>
    <x v="0"/>
    <x v="2"/>
  </r>
  <r>
    <n v="50"/>
    <x v="3"/>
    <n v="20000"/>
    <s v="White"/>
    <x v="1"/>
    <x v="2"/>
  </r>
  <r>
    <n v="40"/>
    <x v="3"/>
    <n v="20000"/>
    <s v="White"/>
    <x v="0"/>
    <x v="2"/>
  </r>
  <r>
    <n v="40"/>
    <x v="3"/>
    <n v="20000"/>
    <s v="White"/>
    <x v="0"/>
    <x v="2"/>
  </r>
  <r>
    <n v="40"/>
    <x v="3"/>
    <n v="20000"/>
    <s v="White"/>
    <x v="1"/>
    <x v="2"/>
  </r>
  <r>
    <n v="40"/>
    <x v="3"/>
    <n v="20000"/>
    <s v="White"/>
    <x v="1"/>
    <x v="2"/>
  </r>
  <r>
    <n v="40"/>
    <x v="3"/>
    <n v="20000"/>
    <s v="Black"/>
    <x v="0"/>
    <x v="2"/>
  </r>
  <r>
    <n v="45"/>
    <x v="3"/>
    <n v="20000"/>
    <s v="White"/>
    <x v="0"/>
    <x v="2"/>
  </r>
  <r>
    <n v="37"/>
    <x v="3"/>
    <n v="20000"/>
    <s v="White"/>
    <x v="0"/>
    <x v="2"/>
  </r>
  <r>
    <n v="50"/>
    <x v="3"/>
    <n v="20000"/>
    <s v="White"/>
    <x v="1"/>
    <x v="2"/>
  </r>
  <r>
    <n v="54"/>
    <x v="3"/>
    <n v="20000"/>
    <s v="White"/>
    <x v="0"/>
    <x v="2"/>
  </r>
  <r>
    <n v="40"/>
    <x v="3"/>
    <n v="20000"/>
    <s v="White"/>
    <x v="1"/>
    <x v="2"/>
  </r>
  <r>
    <n v="40"/>
    <x v="3"/>
    <n v="20000"/>
    <s v="White"/>
    <x v="0"/>
    <x v="2"/>
  </r>
  <r>
    <n v="40"/>
    <x v="3"/>
    <n v="20000"/>
    <s v="White"/>
    <x v="0"/>
    <x v="2"/>
  </r>
  <r>
    <n v="40"/>
    <x v="3"/>
    <n v="20000"/>
    <s v="White"/>
    <x v="0"/>
    <x v="2"/>
  </r>
  <r>
    <n v="40"/>
    <x v="3"/>
    <n v="20000"/>
    <s v="White"/>
    <x v="1"/>
    <x v="2"/>
  </r>
  <r>
    <n v="40"/>
    <x v="3"/>
    <n v="20000"/>
    <s v="White"/>
    <x v="0"/>
    <x v="2"/>
  </r>
  <r>
    <n v="48"/>
    <x v="3"/>
    <n v="20052"/>
    <s v="White"/>
    <x v="0"/>
    <x v="2"/>
  </r>
  <r>
    <n v="52"/>
    <x v="3"/>
    <n v="20155"/>
    <s v="White"/>
    <x v="0"/>
    <x v="2"/>
  </r>
  <r>
    <n v="35"/>
    <x v="3"/>
    <n v="20400"/>
    <s v="Black"/>
    <x v="1"/>
    <x v="2"/>
  </r>
  <r>
    <n v="0"/>
    <x v="3"/>
    <n v="20500"/>
    <s v="White"/>
    <x v="0"/>
    <x v="2"/>
  </r>
  <r>
    <n v="40"/>
    <x v="3"/>
    <n v="20600"/>
    <s v="Black"/>
    <x v="1"/>
    <x v="2"/>
  </r>
  <r>
    <n v="40"/>
    <x v="3"/>
    <n v="20600"/>
    <s v="White"/>
    <x v="1"/>
    <x v="2"/>
  </r>
  <r>
    <n v="49"/>
    <x v="3"/>
    <n v="20616"/>
    <s v="White"/>
    <x v="0"/>
    <x v="2"/>
  </r>
  <r>
    <n v="40"/>
    <x v="3"/>
    <n v="20722"/>
    <s v="White"/>
    <x v="0"/>
    <x v="2"/>
  </r>
  <r>
    <n v="39"/>
    <x v="3"/>
    <n v="20722"/>
    <s v="White"/>
    <x v="0"/>
    <x v="2"/>
  </r>
  <r>
    <n v="60"/>
    <x v="3"/>
    <n v="20733"/>
    <s v="Black"/>
    <x v="0"/>
    <x v="2"/>
  </r>
  <r>
    <n v="40"/>
    <x v="3"/>
    <n v="20800"/>
    <s v="White"/>
    <x v="0"/>
    <x v="2"/>
  </r>
  <r>
    <n v="40"/>
    <x v="3"/>
    <n v="21000"/>
    <s v="White"/>
    <x v="1"/>
    <x v="2"/>
  </r>
  <r>
    <n v="40"/>
    <x v="3"/>
    <n v="21000"/>
    <s v="Black"/>
    <x v="0"/>
    <x v="2"/>
  </r>
  <r>
    <n v="40"/>
    <x v="3"/>
    <n v="21000"/>
    <s v="Black"/>
    <x v="1"/>
    <x v="2"/>
  </r>
  <r>
    <n v="40"/>
    <x v="3"/>
    <n v="21000"/>
    <s v="White"/>
    <x v="0"/>
    <x v="2"/>
  </r>
  <r>
    <n v="45"/>
    <x v="3"/>
    <n v="21000"/>
    <s v="White"/>
    <x v="0"/>
    <x v="2"/>
  </r>
  <r>
    <n v="40"/>
    <x v="3"/>
    <n v="21000"/>
    <s v="White"/>
    <x v="1"/>
    <x v="2"/>
  </r>
  <r>
    <n v="40"/>
    <x v="3"/>
    <n v="21000"/>
    <s v="White"/>
    <x v="0"/>
    <x v="2"/>
  </r>
  <r>
    <n v="40"/>
    <x v="3"/>
    <n v="21000"/>
    <s v="White"/>
    <x v="1"/>
    <x v="2"/>
  </r>
  <r>
    <n v="40"/>
    <x v="3"/>
    <n v="21000"/>
    <s v="White"/>
    <x v="0"/>
    <x v="2"/>
  </r>
  <r>
    <n v="40"/>
    <x v="3"/>
    <n v="21000"/>
    <s v="Black"/>
    <x v="0"/>
    <x v="2"/>
  </r>
  <r>
    <n v="40"/>
    <x v="3"/>
    <n v="21000"/>
    <s v="White"/>
    <x v="0"/>
    <x v="2"/>
  </r>
  <r>
    <n v="60"/>
    <x v="3"/>
    <n v="21000"/>
    <s v="White"/>
    <x v="1"/>
    <x v="2"/>
  </r>
  <r>
    <n v="40"/>
    <x v="3"/>
    <n v="21000"/>
    <s v="White"/>
    <x v="0"/>
    <x v="2"/>
  </r>
  <r>
    <n v="40"/>
    <x v="3"/>
    <n v="21000"/>
    <s v="White"/>
    <x v="0"/>
    <x v="2"/>
  </r>
  <r>
    <n v="40"/>
    <x v="3"/>
    <n v="21000"/>
    <s v="White"/>
    <x v="0"/>
    <x v="2"/>
  </r>
  <r>
    <n v="40"/>
    <x v="3"/>
    <n v="21375"/>
    <s v="Black"/>
    <x v="1"/>
    <x v="2"/>
  </r>
  <r>
    <n v="60"/>
    <x v="3"/>
    <n v="21526"/>
    <s v="White"/>
    <x v="0"/>
    <x v="2"/>
  </r>
  <r>
    <n v="40"/>
    <x v="3"/>
    <n v="21700"/>
    <s v="White"/>
    <x v="0"/>
    <x v="2"/>
  </r>
  <r>
    <n v="36"/>
    <x v="3"/>
    <n v="21800"/>
    <s v="White"/>
    <x v="0"/>
    <x v="2"/>
  </r>
  <r>
    <n v="40"/>
    <x v="3"/>
    <n v="21840"/>
    <s v="White"/>
    <x v="1"/>
    <x v="2"/>
  </r>
  <r>
    <n v="45"/>
    <x v="3"/>
    <n v="22000"/>
    <s v="Black"/>
    <x v="1"/>
    <x v="2"/>
  </r>
  <r>
    <n v="43"/>
    <x v="3"/>
    <n v="22000"/>
    <s v="White"/>
    <x v="1"/>
    <x v="2"/>
  </r>
  <r>
    <n v="40"/>
    <x v="3"/>
    <n v="22000"/>
    <s v="White"/>
    <x v="1"/>
    <x v="2"/>
  </r>
  <r>
    <n v="40"/>
    <x v="3"/>
    <n v="22000"/>
    <s v="White"/>
    <x v="0"/>
    <x v="2"/>
  </r>
  <r>
    <n v="0"/>
    <x v="3"/>
    <n v="22000"/>
    <s v="White"/>
    <x v="1"/>
    <x v="2"/>
  </r>
  <r>
    <n v="65"/>
    <x v="3"/>
    <n v="22000"/>
    <s v="White"/>
    <x v="0"/>
    <x v="2"/>
  </r>
  <r>
    <n v="40"/>
    <x v="3"/>
    <n v="22000"/>
    <s v="IndEsk"/>
    <x v="1"/>
    <x v="2"/>
  </r>
  <r>
    <n v="40"/>
    <x v="3"/>
    <n v="22000"/>
    <s v="White"/>
    <x v="1"/>
    <x v="2"/>
  </r>
  <r>
    <n v="40"/>
    <x v="3"/>
    <n v="22000"/>
    <s v="White"/>
    <x v="0"/>
    <x v="2"/>
  </r>
  <r>
    <n v="40"/>
    <x v="3"/>
    <n v="22000"/>
    <s v="Black"/>
    <x v="0"/>
    <x v="2"/>
  </r>
  <r>
    <n v="50"/>
    <x v="3"/>
    <n v="22000"/>
    <s v="White"/>
    <x v="0"/>
    <x v="2"/>
  </r>
  <r>
    <n v="40"/>
    <x v="3"/>
    <n v="22000"/>
    <s v="White"/>
    <x v="0"/>
    <x v="2"/>
  </r>
  <r>
    <n v="45"/>
    <x v="3"/>
    <n v="22000"/>
    <s v="Black"/>
    <x v="1"/>
    <x v="2"/>
  </r>
  <r>
    <n v="40"/>
    <x v="3"/>
    <n v="22000"/>
    <s v="White"/>
    <x v="0"/>
    <x v="2"/>
  </r>
  <r>
    <n v="40"/>
    <x v="3"/>
    <n v="22000"/>
    <s v="White"/>
    <x v="0"/>
    <x v="2"/>
  </r>
  <r>
    <n v="40"/>
    <x v="3"/>
    <n v="22000"/>
    <s v="White"/>
    <x v="0"/>
    <x v="2"/>
  </r>
  <r>
    <n v="57"/>
    <x v="3"/>
    <n v="22000"/>
    <s v="White"/>
    <x v="0"/>
    <x v="2"/>
  </r>
  <r>
    <n v="40"/>
    <x v="3"/>
    <n v="22000"/>
    <s v="White"/>
    <x v="1"/>
    <x v="2"/>
  </r>
  <r>
    <n v="40"/>
    <x v="3"/>
    <n v="22000"/>
    <s v="White"/>
    <x v="1"/>
    <x v="2"/>
  </r>
  <r>
    <n v="40"/>
    <x v="3"/>
    <n v="22000"/>
    <s v="White"/>
    <x v="0"/>
    <x v="2"/>
  </r>
  <r>
    <n v="40"/>
    <x v="3"/>
    <n v="22000"/>
    <s v="White"/>
    <x v="0"/>
    <x v="2"/>
  </r>
  <r>
    <n v="40"/>
    <x v="3"/>
    <n v="22000"/>
    <s v="White"/>
    <x v="1"/>
    <x v="2"/>
  </r>
  <r>
    <n v="40"/>
    <x v="3"/>
    <n v="22000"/>
    <s v="White"/>
    <x v="1"/>
    <x v="2"/>
  </r>
  <r>
    <n v="40"/>
    <x v="3"/>
    <n v="22000"/>
    <s v="White"/>
    <x v="0"/>
    <x v="2"/>
  </r>
  <r>
    <n v="40"/>
    <x v="3"/>
    <n v="22000"/>
    <s v="White"/>
    <x v="1"/>
    <x v="2"/>
  </r>
  <r>
    <n v="40"/>
    <x v="3"/>
    <n v="22000"/>
    <s v="White"/>
    <x v="0"/>
    <x v="2"/>
  </r>
  <r>
    <n v="38"/>
    <x v="3"/>
    <n v="22000"/>
    <s v="AsianPI"/>
    <x v="1"/>
    <x v="2"/>
  </r>
  <r>
    <n v="40"/>
    <x v="3"/>
    <n v="22000"/>
    <s v="White"/>
    <x v="0"/>
    <x v="2"/>
  </r>
  <r>
    <n v="60"/>
    <x v="3"/>
    <n v="22080"/>
    <s v="White"/>
    <x v="0"/>
    <x v="2"/>
  </r>
  <r>
    <n v="40"/>
    <x v="3"/>
    <n v="22100"/>
    <s v="Black"/>
    <x v="0"/>
    <x v="2"/>
  </r>
  <r>
    <n v="0"/>
    <x v="3"/>
    <n v="22200"/>
    <s v="White"/>
    <x v="1"/>
    <x v="2"/>
  </r>
  <r>
    <n v="42"/>
    <x v="3"/>
    <n v="22500"/>
    <s v="White"/>
    <x v="0"/>
    <x v="2"/>
  </r>
  <r>
    <n v="40"/>
    <x v="3"/>
    <n v="22500"/>
    <s v="White"/>
    <x v="0"/>
    <x v="2"/>
  </r>
  <r>
    <n v="0"/>
    <x v="3"/>
    <n v="22750"/>
    <s v="White"/>
    <x v="0"/>
    <x v="2"/>
  </r>
  <r>
    <n v="44"/>
    <x v="3"/>
    <n v="22900"/>
    <s v="White"/>
    <x v="0"/>
    <x v="2"/>
  </r>
  <r>
    <n v="45"/>
    <x v="3"/>
    <n v="22999"/>
    <s v="White"/>
    <x v="0"/>
    <x v="2"/>
  </r>
  <r>
    <n v="40"/>
    <x v="3"/>
    <n v="23000"/>
    <s v="White"/>
    <x v="0"/>
    <x v="2"/>
  </r>
  <r>
    <n v="55"/>
    <x v="3"/>
    <n v="23000"/>
    <s v="White"/>
    <x v="1"/>
    <x v="2"/>
  </r>
  <r>
    <n v="50"/>
    <x v="3"/>
    <n v="23000"/>
    <s v="White"/>
    <x v="0"/>
    <x v="2"/>
  </r>
  <r>
    <n v="40"/>
    <x v="3"/>
    <n v="23000"/>
    <s v="White"/>
    <x v="0"/>
    <x v="2"/>
  </r>
  <r>
    <n v="38"/>
    <x v="3"/>
    <n v="23000"/>
    <s v="Black"/>
    <x v="0"/>
    <x v="2"/>
  </r>
  <r>
    <n v="45"/>
    <x v="3"/>
    <n v="23000"/>
    <s v="White"/>
    <x v="1"/>
    <x v="2"/>
  </r>
  <r>
    <n v="40"/>
    <x v="3"/>
    <n v="23000"/>
    <s v="White"/>
    <x v="0"/>
    <x v="2"/>
  </r>
  <r>
    <n v="40"/>
    <x v="3"/>
    <n v="23000"/>
    <s v="White"/>
    <x v="0"/>
    <x v="2"/>
  </r>
  <r>
    <n v="40"/>
    <x v="3"/>
    <n v="23000"/>
    <s v="White"/>
    <x v="1"/>
    <x v="2"/>
  </r>
  <r>
    <n v="40"/>
    <x v="3"/>
    <n v="23000"/>
    <s v="White"/>
    <x v="1"/>
    <x v="2"/>
  </r>
  <r>
    <n v="40"/>
    <x v="3"/>
    <n v="23000"/>
    <s v="Black"/>
    <x v="0"/>
    <x v="2"/>
  </r>
  <r>
    <n v="40"/>
    <x v="3"/>
    <n v="23000"/>
    <s v="White"/>
    <x v="0"/>
    <x v="2"/>
  </r>
  <r>
    <n v="36"/>
    <x v="3"/>
    <n v="23000"/>
    <s v="White"/>
    <x v="1"/>
    <x v="2"/>
  </r>
  <r>
    <n v="40"/>
    <x v="3"/>
    <n v="23000"/>
    <s v="White"/>
    <x v="0"/>
    <x v="2"/>
  </r>
  <r>
    <n v="40"/>
    <x v="3"/>
    <n v="23000"/>
    <s v="White"/>
    <x v="0"/>
    <x v="2"/>
  </r>
  <r>
    <n v="40"/>
    <x v="3"/>
    <n v="23000"/>
    <s v="White"/>
    <x v="0"/>
    <x v="2"/>
  </r>
  <r>
    <n v="40"/>
    <x v="3"/>
    <n v="23000"/>
    <s v="White"/>
    <x v="1"/>
    <x v="2"/>
  </r>
  <r>
    <n v="40"/>
    <x v="3"/>
    <n v="23000"/>
    <s v="White"/>
    <x v="0"/>
    <x v="2"/>
  </r>
  <r>
    <n v="40"/>
    <x v="3"/>
    <n v="23000"/>
    <s v="Black"/>
    <x v="0"/>
    <x v="2"/>
  </r>
  <r>
    <n v="40"/>
    <x v="3"/>
    <n v="23000"/>
    <s v="White"/>
    <x v="1"/>
    <x v="2"/>
  </r>
  <r>
    <n v="40"/>
    <x v="3"/>
    <n v="23000"/>
    <s v="White"/>
    <x v="1"/>
    <x v="2"/>
  </r>
  <r>
    <n v="40"/>
    <x v="3"/>
    <n v="23000"/>
    <s v="White"/>
    <x v="1"/>
    <x v="2"/>
  </r>
  <r>
    <n v="42"/>
    <x v="3"/>
    <n v="23147"/>
    <s v="White"/>
    <x v="0"/>
    <x v="2"/>
  </r>
  <r>
    <n v="40"/>
    <x v="3"/>
    <n v="23300"/>
    <s v="Black"/>
    <x v="1"/>
    <x v="2"/>
  </r>
  <r>
    <n v="60"/>
    <x v="3"/>
    <n v="23400"/>
    <s v="White"/>
    <x v="1"/>
    <x v="2"/>
  </r>
  <r>
    <n v="55"/>
    <x v="3"/>
    <n v="23500"/>
    <s v="White"/>
    <x v="1"/>
    <x v="2"/>
  </r>
  <r>
    <n v="40"/>
    <x v="3"/>
    <n v="23500"/>
    <s v="White"/>
    <x v="0"/>
    <x v="2"/>
  </r>
  <r>
    <n v="40"/>
    <x v="3"/>
    <n v="23500"/>
    <s v="White"/>
    <x v="0"/>
    <x v="2"/>
  </r>
  <r>
    <n v="0"/>
    <x v="3"/>
    <n v="23600"/>
    <s v="White"/>
    <x v="1"/>
    <x v="2"/>
  </r>
  <r>
    <n v="48"/>
    <x v="3"/>
    <n v="23637"/>
    <s v="White"/>
    <x v="1"/>
    <x v="2"/>
  </r>
  <r>
    <n v="40"/>
    <x v="3"/>
    <n v="23800"/>
    <s v="Black"/>
    <x v="0"/>
    <x v="2"/>
  </r>
  <r>
    <n v="49"/>
    <x v="3"/>
    <n v="23900"/>
    <s v="White"/>
    <x v="0"/>
    <x v="2"/>
  </r>
  <r>
    <n v="40"/>
    <x v="3"/>
    <n v="23933"/>
    <s v="White"/>
    <x v="0"/>
    <x v="2"/>
  </r>
  <r>
    <n v="40"/>
    <x v="3"/>
    <n v="24000"/>
    <s v="White"/>
    <x v="1"/>
    <x v="2"/>
  </r>
  <r>
    <n v="40"/>
    <x v="3"/>
    <n v="24000"/>
    <s v="Black"/>
    <x v="0"/>
    <x v="2"/>
  </r>
  <r>
    <n v="55"/>
    <x v="3"/>
    <n v="24000"/>
    <s v="White"/>
    <x v="1"/>
    <x v="2"/>
  </r>
  <r>
    <n v="40"/>
    <x v="3"/>
    <n v="24000"/>
    <s v="White"/>
    <x v="0"/>
    <x v="2"/>
  </r>
  <r>
    <n v="56"/>
    <x v="3"/>
    <n v="24000"/>
    <s v="White"/>
    <x v="1"/>
    <x v="2"/>
  </r>
  <r>
    <n v="0"/>
    <x v="3"/>
    <n v="24000"/>
    <s v="White"/>
    <x v="1"/>
    <x v="2"/>
  </r>
  <r>
    <n v="43"/>
    <x v="3"/>
    <n v="24000"/>
    <s v="White"/>
    <x v="0"/>
    <x v="2"/>
  </r>
  <r>
    <n v="48"/>
    <x v="3"/>
    <n v="24000"/>
    <s v="White"/>
    <x v="0"/>
    <x v="2"/>
  </r>
  <r>
    <n v="40"/>
    <x v="3"/>
    <n v="24000"/>
    <s v="White"/>
    <x v="1"/>
    <x v="2"/>
  </r>
  <r>
    <n v="37"/>
    <x v="3"/>
    <n v="24000"/>
    <s v="Black"/>
    <x v="0"/>
    <x v="2"/>
  </r>
  <r>
    <n v="40"/>
    <x v="3"/>
    <n v="24000"/>
    <s v="White"/>
    <x v="1"/>
    <x v="2"/>
  </r>
  <r>
    <n v="40"/>
    <x v="3"/>
    <n v="24000"/>
    <s v="White"/>
    <x v="0"/>
    <x v="2"/>
  </r>
  <r>
    <n v="40"/>
    <x v="3"/>
    <n v="24000"/>
    <s v="White"/>
    <x v="0"/>
    <x v="2"/>
  </r>
  <r>
    <n v="40"/>
    <x v="3"/>
    <n v="24000"/>
    <s v="Black"/>
    <x v="0"/>
    <x v="2"/>
  </r>
  <r>
    <n v="0"/>
    <x v="3"/>
    <n v="24000"/>
    <s v="Black"/>
    <x v="0"/>
    <x v="2"/>
  </r>
  <r>
    <n v="40"/>
    <x v="3"/>
    <n v="24000"/>
    <s v="Black"/>
    <x v="0"/>
    <x v="2"/>
  </r>
  <r>
    <n v="40"/>
    <x v="3"/>
    <n v="24000"/>
    <s v="Black"/>
    <x v="0"/>
    <x v="2"/>
  </r>
  <r>
    <n v="40"/>
    <x v="3"/>
    <n v="24000"/>
    <s v="White"/>
    <x v="1"/>
    <x v="2"/>
  </r>
  <r>
    <n v="40"/>
    <x v="3"/>
    <n v="24000"/>
    <s v="White"/>
    <x v="0"/>
    <x v="2"/>
  </r>
  <r>
    <n v="45"/>
    <x v="3"/>
    <n v="24000"/>
    <s v="White"/>
    <x v="0"/>
    <x v="2"/>
  </r>
  <r>
    <n v="40"/>
    <x v="3"/>
    <n v="24000"/>
    <s v="White"/>
    <x v="0"/>
    <x v="2"/>
  </r>
  <r>
    <n v="40"/>
    <x v="3"/>
    <n v="24000"/>
    <s v="White"/>
    <x v="0"/>
    <x v="2"/>
  </r>
  <r>
    <n v="60"/>
    <x v="3"/>
    <n v="24000"/>
    <s v="White"/>
    <x v="0"/>
    <x v="2"/>
  </r>
  <r>
    <n v="40"/>
    <x v="3"/>
    <n v="24000"/>
    <s v="White"/>
    <x v="1"/>
    <x v="2"/>
  </r>
  <r>
    <n v="0"/>
    <x v="3"/>
    <n v="24000"/>
    <s v="White"/>
    <x v="0"/>
    <x v="2"/>
  </r>
  <r>
    <n v="45"/>
    <x v="3"/>
    <n v="24000"/>
    <s v="Black"/>
    <x v="1"/>
    <x v="2"/>
  </r>
  <r>
    <n v="44"/>
    <x v="3"/>
    <n v="24000"/>
    <s v="White"/>
    <x v="0"/>
    <x v="2"/>
  </r>
  <r>
    <n v="56"/>
    <x v="3"/>
    <n v="24000"/>
    <s v="White"/>
    <x v="1"/>
    <x v="2"/>
  </r>
  <r>
    <n v="45"/>
    <x v="3"/>
    <n v="24000"/>
    <s v="White"/>
    <x v="1"/>
    <x v="2"/>
  </r>
  <r>
    <n v="37"/>
    <x v="3"/>
    <n v="24138"/>
    <s v="White"/>
    <x v="0"/>
    <x v="2"/>
  </r>
  <r>
    <n v="38"/>
    <x v="3"/>
    <n v="24500"/>
    <s v="AsianPI"/>
    <x v="0"/>
    <x v="2"/>
  </r>
  <r>
    <n v="60"/>
    <x v="3"/>
    <n v="24500"/>
    <s v="Black"/>
    <x v="1"/>
    <x v="2"/>
  </r>
  <r>
    <n v="43"/>
    <x v="3"/>
    <n v="24500"/>
    <s v="White"/>
    <x v="0"/>
    <x v="2"/>
  </r>
  <r>
    <n v="40"/>
    <x v="3"/>
    <n v="24500"/>
    <s v="Black"/>
    <x v="0"/>
    <x v="2"/>
  </r>
  <r>
    <n v="50"/>
    <x v="3"/>
    <n v="24500"/>
    <s v="White"/>
    <x v="1"/>
    <x v="2"/>
  </r>
  <r>
    <n v="40"/>
    <x v="3"/>
    <n v="24800"/>
    <s v="White"/>
    <x v="0"/>
    <x v="2"/>
  </r>
  <r>
    <n v="40"/>
    <x v="3"/>
    <n v="24889"/>
    <s v="White"/>
    <x v="0"/>
    <x v="2"/>
  </r>
  <r>
    <n v="40"/>
    <x v="3"/>
    <n v="24960"/>
    <s v="White"/>
    <x v="1"/>
    <x v="2"/>
  </r>
  <r>
    <n v="40"/>
    <x v="3"/>
    <n v="25000"/>
    <s v="White"/>
    <x v="1"/>
    <x v="2"/>
  </r>
  <r>
    <n v="40"/>
    <x v="3"/>
    <n v="25000"/>
    <s v="White"/>
    <x v="0"/>
    <x v="2"/>
  </r>
  <r>
    <n v="40"/>
    <x v="3"/>
    <n v="25000"/>
    <s v="White"/>
    <x v="1"/>
    <x v="2"/>
  </r>
  <r>
    <n v="0"/>
    <x v="3"/>
    <n v="25000"/>
    <s v="Black"/>
    <x v="0"/>
    <x v="2"/>
  </r>
  <r>
    <n v="40"/>
    <x v="3"/>
    <n v="25000"/>
    <s v="Black"/>
    <x v="0"/>
    <x v="2"/>
  </r>
  <r>
    <n v="35"/>
    <x v="3"/>
    <n v="25000"/>
    <s v="White"/>
    <x v="1"/>
    <x v="2"/>
  </r>
  <r>
    <n v="36"/>
    <x v="3"/>
    <n v="25000"/>
    <s v="White"/>
    <x v="0"/>
    <x v="2"/>
  </r>
  <r>
    <n v="36"/>
    <x v="3"/>
    <n v="25000"/>
    <s v="White"/>
    <x v="1"/>
    <x v="2"/>
  </r>
  <r>
    <n v="50"/>
    <x v="3"/>
    <n v="25000"/>
    <s v="White"/>
    <x v="1"/>
    <x v="2"/>
  </r>
  <r>
    <n v="45"/>
    <x v="3"/>
    <n v="25000"/>
    <s v="White"/>
    <x v="0"/>
    <x v="2"/>
  </r>
  <r>
    <n v="45"/>
    <x v="3"/>
    <n v="25000"/>
    <s v="White"/>
    <x v="0"/>
    <x v="2"/>
  </r>
  <r>
    <n v="40"/>
    <x v="3"/>
    <n v="25000"/>
    <s v="Black"/>
    <x v="0"/>
    <x v="2"/>
  </r>
  <r>
    <n v="38"/>
    <x v="3"/>
    <n v="25000"/>
    <s v="White"/>
    <x v="0"/>
    <x v="2"/>
  </r>
  <r>
    <n v="40"/>
    <x v="3"/>
    <n v="25000"/>
    <s v="White"/>
    <x v="0"/>
    <x v="2"/>
  </r>
  <r>
    <n v="55"/>
    <x v="3"/>
    <n v="25000"/>
    <s v="White"/>
    <x v="0"/>
    <x v="2"/>
  </r>
  <r>
    <n v="40"/>
    <x v="3"/>
    <n v="25000"/>
    <s v="White"/>
    <x v="0"/>
    <x v="2"/>
  </r>
  <r>
    <n v="40"/>
    <x v="3"/>
    <n v="25000"/>
    <s v="White"/>
    <x v="0"/>
    <x v="2"/>
  </r>
  <r>
    <n v="40"/>
    <x v="3"/>
    <n v="25000"/>
    <s v="Black"/>
    <x v="0"/>
    <x v="2"/>
  </r>
  <r>
    <n v="40"/>
    <x v="3"/>
    <n v="25000"/>
    <s v="Black"/>
    <x v="1"/>
    <x v="2"/>
  </r>
  <r>
    <n v="40"/>
    <x v="3"/>
    <n v="25000"/>
    <s v="White"/>
    <x v="0"/>
    <x v="2"/>
  </r>
  <r>
    <n v="40"/>
    <x v="3"/>
    <n v="25000"/>
    <s v="White"/>
    <x v="0"/>
    <x v="2"/>
  </r>
  <r>
    <n v="45"/>
    <x v="3"/>
    <n v="25000"/>
    <s v="White"/>
    <x v="0"/>
    <x v="2"/>
  </r>
  <r>
    <n v="40"/>
    <x v="3"/>
    <n v="25000"/>
    <s v="White"/>
    <x v="1"/>
    <x v="2"/>
  </r>
  <r>
    <n v="40"/>
    <x v="3"/>
    <n v="25000"/>
    <s v="White"/>
    <x v="1"/>
    <x v="2"/>
  </r>
  <r>
    <n v="40"/>
    <x v="3"/>
    <n v="25000"/>
    <s v="White"/>
    <x v="0"/>
    <x v="2"/>
  </r>
  <r>
    <n v="40"/>
    <x v="3"/>
    <n v="25000"/>
    <s v="Black"/>
    <x v="1"/>
    <x v="2"/>
  </r>
  <r>
    <n v="40"/>
    <x v="3"/>
    <n v="25000"/>
    <s v="White"/>
    <x v="0"/>
    <x v="2"/>
  </r>
  <r>
    <n v="40"/>
    <x v="3"/>
    <n v="25000"/>
    <s v="White"/>
    <x v="0"/>
    <x v="2"/>
  </r>
  <r>
    <n v="40"/>
    <x v="3"/>
    <n v="25000"/>
    <s v="White"/>
    <x v="0"/>
    <x v="2"/>
  </r>
  <r>
    <n v="60"/>
    <x v="3"/>
    <n v="25000"/>
    <s v="White"/>
    <x v="1"/>
    <x v="2"/>
  </r>
  <r>
    <n v="40"/>
    <x v="3"/>
    <n v="25000"/>
    <s v="White"/>
    <x v="1"/>
    <x v="2"/>
  </r>
  <r>
    <n v="36"/>
    <x v="3"/>
    <n v="25236"/>
    <s v="White"/>
    <x v="0"/>
    <x v="2"/>
  </r>
  <r>
    <n v="40"/>
    <x v="3"/>
    <n v="25400"/>
    <s v="White"/>
    <x v="1"/>
    <x v="2"/>
  </r>
  <r>
    <n v="48"/>
    <x v="3"/>
    <n v="25640"/>
    <s v="White"/>
    <x v="0"/>
    <x v="2"/>
  </r>
  <r>
    <n v="38"/>
    <x v="3"/>
    <n v="25650"/>
    <s v="White"/>
    <x v="0"/>
    <x v="2"/>
  </r>
  <r>
    <n v="43"/>
    <x v="3"/>
    <n v="25650"/>
    <s v="White"/>
    <x v="1"/>
    <x v="2"/>
  </r>
  <r>
    <n v="40"/>
    <x v="3"/>
    <n v="25992"/>
    <s v="White"/>
    <x v="1"/>
    <x v="2"/>
  </r>
  <r>
    <n v="40"/>
    <x v="3"/>
    <n v="26000"/>
    <s v="White"/>
    <x v="0"/>
    <x v="2"/>
  </r>
  <r>
    <n v="40"/>
    <x v="3"/>
    <n v="26000"/>
    <s v="White"/>
    <x v="1"/>
    <x v="2"/>
  </r>
  <r>
    <n v="36"/>
    <x v="3"/>
    <n v="26000"/>
    <s v="White"/>
    <x v="0"/>
    <x v="2"/>
  </r>
  <r>
    <n v="50"/>
    <x v="3"/>
    <n v="26000"/>
    <s v="Black"/>
    <x v="1"/>
    <x v="2"/>
  </r>
  <r>
    <n v="0"/>
    <x v="3"/>
    <n v="26000"/>
    <s v="White"/>
    <x v="0"/>
    <x v="2"/>
  </r>
  <r>
    <n v="42"/>
    <x v="3"/>
    <n v="26000"/>
    <s v="White"/>
    <x v="1"/>
    <x v="2"/>
  </r>
  <r>
    <n v="40"/>
    <x v="3"/>
    <n v="26000"/>
    <s v="Black"/>
    <x v="0"/>
    <x v="2"/>
  </r>
  <r>
    <n v="50"/>
    <x v="3"/>
    <n v="26000"/>
    <s v="White"/>
    <x v="1"/>
    <x v="2"/>
  </r>
  <r>
    <n v="40"/>
    <x v="3"/>
    <n v="26000"/>
    <s v="White"/>
    <x v="0"/>
    <x v="2"/>
  </r>
  <r>
    <n v="45"/>
    <x v="3"/>
    <n v="26000"/>
    <s v="White"/>
    <x v="0"/>
    <x v="2"/>
  </r>
  <r>
    <n v="40"/>
    <x v="3"/>
    <n v="26000"/>
    <s v="White"/>
    <x v="0"/>
    <x v="2"/>
  </r>
  <r>
    <n v="60"/>
    <x v="3"/>
    <n v="26000"/>
    <s v="White"/>
    <x v="0"/>
    <x v="2"/>
  </r>
  <r>
    <n v="0"/>
    <x v="3"/>
    <n v="26000"/>
    <s v="White"/>
    <x v="1"/>
    <x v="2"/>
  </r>
  <r>
    <n v="47"/>
    <x v="3"/>
    <n v="26000"/>
    <s v="Black"/>
    <x v="0"/>
    <x v="2"/>
  </r>
  <r>
    <n v="45"/>
    <x v="3"/>
    <n v="26000"/>
    <s v="White"/>
    <x v="0"/>
    <x v="2"/>
  </r>
  <r>
    <n v="40"/>
    <x v="3"/>
    <n v="26000"/>
    <s v="White"/>
    <x v="1"/>
    <x v="2"/>
  </r>
  <r>
    <n v="0"/>
    <x v="3"/>
    <n v="26319"/>
    <s v="White"/>
    <x v="1"/>
    <x v="2"/>
  </r>
  <r>
    <n v="40"/>
    <x v="3"/>
    <n v="26400"/>
    <s v="White"/>
    <x v="1"/>
    <x v="2"/>
  </r>
  <r>
    <n v="40"/>
    <x v="3"/>
    <n v="26400"/>
    <s v="White"/>
    <x v="1"/>
    <x v="2"/>
  </r>
  <r>
    <n v="45"/>
    <x v="3"/>
    <n v="26775"/>
    <s v="White"/>
    <x v="0"/>
    <x v="2"/>
  </r>
  <r>
    <n v="40"/>
    <x v="3"/>
    <n v="26776"/>
    <s v="Black"/>
    <x v="1"/>
    <x v="2"/>
  </r>
  <r>
    <n v="40"/>
    <x v="3"/>
    <n v="26900"/>
    <s v="White"/>
    <x v="0"/>
    <x v="2"/>
  </r>
  <r>
    <n v="40"/>
    <x v="3"/>
    <n v="27000"/>
    <s v="White"/>
    <x v="1"/>
    <x v="2"/>
  </r>
  <r>
    <n v="0"/>
    <x v="3"/>
    <n v="27000"/>
    <s v="White"/>
    <x v="1"/>
    <x v="2"/>
  </r>
  <r>
    <n v="40"/>
    <x v="3"/>
    <n v="27000"/>
    <s v="White"/>
    <x v="1"/>
    <x v="2"/>
  </r>
  <r>
    <n v="60"/>
    <x v="3"/>
    <n v="27000"/>
    <s v="White"/>
    <x v="1"/>
    <x v="2"/>
  </r>
  <r>
    <n v="40"/>
    <x v="3"/>
    <n v="27000"/>
    <s v="White"/>
    <x v="0"/>
    <x v="2"/>
  </r>
  <r>
    <n v="40"/>
    <x v="3"/>
    <n v="27000"/>
    <s v="White"/>
    <x v="0"/>
    <x v="2"/>
  </r>
  <r>
    <n v="40"/>
    <x v="3"/>
    <n v="27000"/>
    <s v="Black"/>
    <x v="1"/>
    <x v="2"/>
  </r>
  <r>
    <n v="40"/>
    <x v="3"/>
    <n v="27000"/>
    <s v="White"/>
    <x v="1"/>
    <x v="2"/>
  </r>
  <r>
    <n v="50"/>
    <x v="3"/>
    <n v="27000"/>
    <s v="White"/>
    <x v="1"/>
    <x v="2"/>
  </r>
  <r>
    <n v="42"/>
    <x v="3"/>
    <n v="27000"/>
    <s v="White"/>
    <x v="1"/>
    <x v="2"/>
  </r>
  <r>
    <n v="40"/>
    <x v="3"/>
    <n v="27000"/>
    <s v="White"/>
    <x v="0"/>
    <x v="2"/>
  </r>
  <r>
    <n v="40"/>
    <x v="3"/>
    <n v="27000"/>
    <s v="Black"/>
    <x v="0"/>
    <x v="2"/>
  </r>
  <r>
    <n v="35"/>
    <x v="3"/>
    <n v="27000"/>
    <s v="White"/>
    <x v="0"/>
    <x v="2"/>
  </r>
  <r>
    <n v="56"/>
    <x v="3"/>
    <n v="27000"/>
    <s v="White"/>
    <x v="0"/>
    <x v="2"/>
  </r>
  <r>
    <n v="50"/>
    <x v="3"/>
    <n v="27000"/>
    <s v="White"/>
    <x v="0"/>
    <x v="2"/>
  </r>
  <r>
    <n v="40"/>
    <x v="3"/>
    <n v="27000"/>
    <s v="White"/>
    <x v="1"/>
    <x v="2"/>
  </r>
  <r>
    <n v="40"/>
    <x v="3"/>
    <n v="27000"/>
    <s v="White"/>
    <x v="0"/>
    <x v="2"/>
  </r>
  <r>
    <n v="40"/>
    <x v="3"/>
    <n v="27000"/>
    <s v="White"/>
    <x v="0"/>
    <x v="2"/>
  </r>
  <r>
    <n v="36"/>
    <x v="3"/>
    <n v="27000"/>
    <s v="White"/>
    <x v="0"/>
    <x v="2"/>
  </r>
  <r>
    <n v="44"/>
    <x v="3"/>
    <n v="27000"/>
    <s v="White"/>
    <x v="1"/>
    <x v="2"/>
  </r>
  <r>
    <n v="40"/>
    <x v="3"/>
    <n v="27000"/>
    <s v="White"/>
    <x v="0"/>
    <x v="2"/>
  </r>
  <r>
    <n v="40"/>
    <x v="3"/>
    <n v="27300"/>
    <s v="White"/>
    <x v="1"/>
    <x v="2"/>
  </r>
  <r>
    <n v="40"/>
    <x v="3"/>
    <n v="27500"/>
    <s v="Black"/>
    <x v="0"/>
    <x v="2"/>
  </r>
  <r>
    <n v="75"/>
    <x v="3"/>
    <n v="27568"/>
    <s v="White"/>
    <x v="1"/>
    <x v="2"/>
  </r>
  <r>
    <n v="48"/>
    <x v="3"/>
    <n v="27676"/>
    <s v="White"/>
    <x v="1"/>
    <x v="2"/>
  </r>
  <r>
    <n v="40"/>
    <x v="3"/>
    <n v="28000"/>
    <s v="White"/>
    <x v="0"/>
    <x v="2"/>
  </r>
  <r>
    <n v="55"/>
    <x v="3"/>
    <n v="28000"/>
    <s v="Black"/>
    <x v="1"/>
    <x v="2"/>
  </r>
  <r>
    <n v="40"/>
    <x v="3"/>
    <n v="28000"/>
    <s v="White"/>
    <x v="1"/>
    <x v="2"/>
  </r>
  <r>
    <n v="55"/>
    <x v="3"/>
    <n v="28000"/>
    <s v="Black"/>
    <x v="1"/>
    <x v="2"/>
  </r>
  <r>
    <n v="40"/>
    <x v="3"/>
    <n v="28000"/>
    <s v="White"/>
    <x v="0"/>
    <x v="2"/>
  </r>
  <r>
    <n v="50"/>
    <x v="3"/>
    <n v="28000"/>
    <s v="White"/>
    <x v="1"/>
    <x v="2"/>
  </r>
  <r>
    <n v="45"/>
    <x v="3"/>
    <n v="28000"/>
    <s v="Black"/>
    <x v="1"/>
    <x v="2"/>
  </r>
  <r>
    <n v="40"/>
    <x v="3"/>
    <n v="28000"/>
    <s v="White"/>
    <x v="0"/>
    <x v="2"/>
  </r>
  <r>
    <n v="40"/>
    <x v="3"/>
    <n v="28000"/>
    <s v="White"/>
    <x v="1"/>
    <x v="2"/>
  </r>
  <r>
    <n v="48"/>
    <x v="3"/>
    <n v="28000"/>
    <s v="White"/>
    <x v="1"/>
    <x v="2"/>
  </r>
  <r>
    <n v="40"/>
    <x v="3"/>
    <n v="28000"/>
    <s v="White"/>
    <x v="1"/>
    <x v="2"/>
  </r>
  <r>
    <n v="42"/>
    <x v="3"/>
    <n v="28000"/>
    <s v="White"/>
    <x v="0"/>
    <x v="2"/>
  </r>
  <r>
    <n v="0"/>
    <x v="3"/>
    <n v="28000"/>
    <s v="White"/>
    <x v="1"/>
    <x v="2"/>
  </r>
  <r>
    <n v="40"/>
    <x v="3"/>
    <n v="28000"/>
    <s v="White"/>
    <x v="1"/>
    <x v="2"/>
  </r>
  <r>
    <n v="58"/>
    <x v="3"/>
    <n v="28000"/>
    <s v="White"/>
    <x v="1"/>
    <x v="2"/>
  </r>
  <r>
    <n v="40"/>
    <x v="3"/>
    <n v="28000"/>
    <s v="White"/>
    <x v="0"/>
    <x v="2"/>
  </r>
  <r>
    <n v="45"/>
    <x v="3"/>
    <n v="28000"/>
    <s v="White"/>
    <x v="0"/>
    <x v="2"/>
  </r>
  <r>
    <n v="40"/>
    <x v="3"/>
    <n v="28000"/>
    <s v="AsianPI"/>
    <x v="1"/>
    <x v="2"/>
  </r>
  <r>
    <n v="50"/>
    <x v="3"/>
    <n v="28000"/>
    <s v="White"/>
    <x v="0"/>
    <x v="2"/>
  </r>
  <r>
    <n v="40"/>
    <x v="3"/>
    <n v="28000"/>
    <s v="White"/>
    <x v="0"/>
    <x v="2"/>
  </r>
  <r>
    <n v="40"/>
    <x v="3"/>
    <n v="28000"/>
    <s v="Black"/>
    <x v="0"/>
    <x v="2"/>
  </r>
  <r>
    <n v="40"/>
    <x v="3"/>
    <n v="28000"/>
    <s v="White"/>
    <x v="1"/>
    <x v="2"/>
  </r>
  <r>
    <n v="40"/>
    <x v="3"/>
    <n v="28000"/>
    <s v="White"/>
    <x v="0"/>
    <x v="2"/>
  </r>
  <r>
    <n v="40"/>
    <x v="3"/>
    <n v="28000"/>
    <s v="White"/>
    <x v="0"/>
    <x v="2"/>
  </r>
  <r>
    <n v="45"/>
    <x v="3"/>
    <n v="28000"/>
    <s v="White"/>
    <x v="1"/>
    <x v="2"/>
  </r>
  <r>
    <n v="40"/>
    <x v="3"/>
    <n v="28000"/>
    <s v="White"/>
    <x v="0"/>
    <x v="2"/>
  </r>
  <r>
    <n v="40"/>
    <x v="3"/>
    <n v="28000"/>
    <s v="Black"/>
    <x v="1"/>
    <x v="2"/>
  </r>
  <r>
    <n v="40"/>
    <x v="3"/>
    <n v="28000"/>
    <s v="White"/>
    <x v="0"/>
    <x v="2"/>
  </r>
  <r>
    <n v="40"/>
    <x v="3"/>
    <n v="28500"/>
    <s v="White"/>
    <x v="0"/>
    <x v="2"/>
  </r>
  <r>
    <n v="49"/>
    <x v="3"/>
    <n v="28500"/>
    <s v="White"/>
    <x v="0"/>
    <x v="2"/>
  </r>
  <r>
    <n v="40"/>
    <x v="3"/>
    <n v="28580"/>
    <s v="White"/>
    <x v="0"/>
    <x v="2"/>
  </r>
  <r>
    <n v="40"/>
    <x v="3"/>
    <n v="28600"/>
    <s v="White"/>
    <x v="1"/>
    <x v="2"/>
  </r>
  <r>
    <n v="40"/>
    <x v="3"/>
    <n v="28600"/>
    <s v="Black"/>
    <x v="0"/>
    <x v="2"/>
  </r>
  <r>
    <n v="40"/>
    <x v="3"/>
    <n v="28692"/>
    <s v="White"/>
    <x v="1"/>
    <x v="2"/>
  </r>
  <r>
    <n v="40"/>
    <x v="3"/>
    <n v="28700"/>
    <s v="White"/>
    <x v="1"/>
    <x v="2"/>
  </r>
  <r>
    <n v="40"/>
    <x v="3"/>
    <n v="28700"/>
    <s v="White"/>
    <x v="1"/>
    <x v="2"/>
  </r>
  <r>
    <n v="40"/>
    <x v="3"/>
    <n v="28750"/>
    <s v="White"/>
    <x v="1"/>
    <x v="2"/>
  </r>
  <r>
    <n v="50"/>
    <x v="3"/>
    <n v="28756"/>
    <s v="White"/>
    <x v="0"/>
    <x v="2"/>
  </r>
  <r>
    <n v="0"/>
    <x v="3"/>
    <n v="28756"/>
    <s v="White"/>
    <x v="0"/>
    <x v="2"/>
  </r>
  <r>
    <n v="80"/>
    <x v="3"/>
    <n v="28800"/>
    <s v="White"/>
    <x v="1"/>
    <x v="2"/>
  </r>
  <r>
    <n v="55"/>
    <x v="3"/>
    <n v="28998"/>
    <s v="White"/>
    <x v="1"/>
    <x v="2"/>
  </r>
  <r>
    <n v="0"/>
    <x v="3"/>
    <n v="29000"/>
    <s v="White"/>
    <x v="0"/>
    <x v="2"/>
  </r>
  <r>
    <n v="55"/>
    <x v="3"/>
    <n v="29000"/>
    <s v="White"/>
    <x v="0"/>
    <x v="2"/>
  </r>
  <r>
    <n v="40"/>
    <x v="3"/>
    <n v="29000"/>
    <s v="IndEsk"/>
    <x v="0"/>
    <x v="2"/>
  </r>
  <r>
    <n v="40"/>
    <x v="3"/>
    <n v="29000"/>
    <s v="White"/>
    <x v="1"/>
    <x v="2"/>
  </r>
  <r>
    <n v="40"/>
    <x v="3"/>
    <n v="29000"/>
    <s v="White"/>
    <x v="1"/>
    <x v="2"/>
  </r>
  <r>
    <n v="40"/>
    <x v="3"/>
    <n v="29000"/>
    <s v="White"/>
    <x v="0"/>
    <x v="2"/>
  </r>
  <r>
    <n v="44"/>
    <x v="3"/>
    <n v="29000"/>
    <s v="White"/>
    <x v="1"/>
    <x v="2"/>
  </r>
  <r>
    <n v="40"/>
    <x v="3"/>
    <n v="29000"/>
    <s v="White"/>
    <x v="0"/>
    <x v="2"/>
  </r>
  <r>
    <n v="55"/>
    <x v="3"/>
    <n v="29000"/>
    <s v="White"/>
    <x v="1"/>
    <x v="2"/>
  </r>
  <r>
    <n v="40"/>
    <x v="3"/>
    <n v="29000"/>
    <s v="White"/>
    <x v="1"/>
    <x v="2"/>
  </r>
  <r>
    <n v="40"/>
    <x v="3"/>
    <n v="29000"/>
    <s v="Black"/>
    <x v="0"/>
    <x v="2"/>
  </r>
  <r>
    <n v="40"/>
    <x v="3"/>
    <n v="29000"/>
    <s v="Black"/>
    <x v="0"/>
    <x v="2"/>
  </r>
  <r>
    <n v="35"/>
    <x v="3"/>
    <n v="29000"/>
    <s v="White"/>
    <x v="1"/>
    <x v="2"/>
  </r>
  <r>
    <n v="45"/>
    <x v="3"/>
    <n v="29000"/>
    <s v="White"/>
    <x v="0"/>
    <x v="2"/>
  </r>
  <r>
    <n v="40"/>
    <x v="3"/>
    <n v="29000"/>
    <s v="White"/>
    <x v="0"/>
    <x v="2"/>
  </r>
  <r>
    <n v="45"/>
    <x v="3"/>
    <n v="29000"/>
    <s v="White"/>
    <x v="0"/>
    <x v="2"/>
  </r>
  <r>
    <n v="0"/>
    <x v="3"/>
    <n v="29000"/>
    <s v="White"/>
    <x v="0"/>
    <x v="2"/>
  </r>
  <r>
    <n v="40"/>
    <x v="3"/>
    <n v="29000"/>
    <s v="White"/>
    <x v="1"/>
    <x v="2"/>
  </r>
  <r>
    <n v="40"/>
    <x v="3"/>
    <n v="29000"/>
    <s v="White"/>
    <x v="1"/>
    <x v="2"/>
  </r>
  <r>
    <n v="40"/>
    <x v="3"/>
    <n v="29000"/>
    <s v="White"/>
    <x v="1"/>
    <x v="2"/>
  </r>
  <r>
    <n v="40"/>
    <x v="3"/>
    <n v="29120"/>
    <s v="White"/>
    <x v="1"/>
    <x v="2"/>
  </r>
  <r>
    <n v="40"/>
    <x v="3"/>
    <n v="29120"/>
    <s v="White"/>
    <x v="1"/>
    <x v="2"/>
  </r>
  <r>
    <n v="50"/>
    <x v="3"/>
    <n v="29380"/>
    <s v="White"/>
    <x v="1"/>
    <x v="2"/>
  </r>
  <r>
    <n v="45"/>
    <x v="3"/>
    <n v="29500"/>
    <s v="White"/>
    <x v="1"/>
    <x v="2"/>
  </r>
  <r>
    <n v="40"/>
    <x v="3"/>
    <n v="29500"/>
    <s v="White"/>
    <x v="1"/>
    <x v="2"/>
  </r>
  <r>
    <n v="40"/>
    <x v="3"/>
    <n v="29500"/>
    <s v="White"/>
    <x v="1"/>
    <x v="2"/>
  </r>
  <r>
    <n v="40"/>
    <x v="3"/>
    <n v="29500"/>
    <s v="White"/>
    <x v="0"/>
    <x v="2"/>
  </r>
  <r>
    <n v="40"/>
    <x v="3"/>
    <n v="29500"/>
    <s v="White"/>
    <x v="0"/>
    <x v="2"/>
  </r>
  <r>
    <n v="40"/>
    <x v="3"/>
    <n v="29600"/>
    <s v="White"/>
    <x v="0"/>
    <x v="2"/>
  </r>
  <r>
    <n v="0"/>
    <x v="3"/>
    <n v="29690"/>
    <s v="White"/>
    <x v="0"/>
    <x v="2"/>
  </r>
  <r>
    <n v="45"/>
    <x v="3"/>
    <n v="29800"/>
    <s v="White"/>
    <x v="0"/>
    <x v="2"/>
  </r>
  <r>
    <n v="40"/>
    <x v="3"/>
    <n v="29963"/>
    <s v="White"/>
    <x v="0"/>
    <x v="2"/>
  </r>
  <r>
    <n v="40"/>
    <x v="3"/>
    <n v="29963"/>
    <s v="White"/>
    <x v="0"/>
    <x v="2"/>
  </r>
  <r>
    <n v="40"/>
    <x v="3"/>
    <n v="29963"/>
    <s v="White"/>
    <x v="0"/>
    <x v="2"/>
  </r>
  <r>
    <n v="40"/>
    <x v="3"/>
    <n v="30000"/>
    <s v="White"/>
    <x v="1"/>
    <x v="2"/>
  </r>
  <r>
    <n v="40"/>
    <x v="3"/>
    <n v="30000"/>
    <s v="White"/>
    <x v="0"/>
    <x v="2"/>
  </r>
  <r>
    <n v="40"/>
    <x v="3"/>
    <n v="30000"/>
    <s v="AsianPI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60"/>
    <x v="3"/>
    <n v="30000"/>
    <s v="White"/>
    <x v="0"/>
    <x v="2"/>
  </r>
  <r>
    <n v="40"/>
    <x v="3"/>
    <n v="30000"/>
    <s v="White"/>
    <x v="0"/>
    <x v="2"/>
  </r>
  <r>
    <n v="40"/>
    <x v="3"/>
    <n v="30000"/>
    <s v="White"/>
    <x v="0"/>
    <x v="2"/>
  </r>
  <r>
    <n v="50"/>
    <x v="3"/>
    <n v="30000"/>
    <s v="White"/>
    <x v="1"/>
    <x v="2"/>
  </r>
  <r>
    <n v="40"/>
    <x v="3"/>
    <n v="30000"/>
    <s v="White"/>
    <x v="0"/>
    <x v="2"/>
  </r>
  <r>
    <n v="50"/>
    <x v="3"/>
    <n v="30000"/>
    <s v="White"/>
    <x v="1"/>
    <x v="2"/>
  </r>
  <r>
    <n v="40"/>
    <x v="3"/>
    <n v="30000"/>
    <s v="Black"/>
    <x v="1"/>
    <x v="2"/>
  </r>
  <r>
    <n v="0"/>
    <x v="3"/>
    <n v="30000"/>
    <s v="White"/>
    <x v="1"/>
    <x v="2"/>
  </r>
  <r>
    <n v="48"/>
    <x v="3"/>
    <n v="30000"/>
    <s v="White"/>
    <x v="0"/>
    <x v="2"/>
  </r>
  <r>
    <n v="40"/>
    <x v="3"/>
    <n v="30000"/>
    <s v="White"/>
    <x v="0"/>
    <x v="2"/>
  </r>
  <r>
    <n v="40"/>
    <x v="3"/>
    <n v="30000"/>
    <s v="Black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0"/>
    <x v="3"/>
    <n v="30000"/>
    <s v="White"/>
    <x v="0"/>
    <x v="2"/>
  </r>
  <r>
    <n v="40"/>
    <x v="3"/>
    <n v="30000"/>
    <s v="White"/>
    <x v="0"/>
    <x v="2"/>
  </r>
  <r>
    <n v="40"/>
    <x v="3"/>
    <n v="30000"/>
    <s v="White"/>
    <x v="0"/>
    <x v="2"/>
  </r>
  <r>
    <n v="60"/>
    <x v="3"/>
    <n v="30000"/>
    <s v="AsianPI"/>
    <x v="1"/>
    <x v="2"/>
  </r>
  <r>
    <n v="40"/>
    <x v="3"/>
    <n v="30000"/>
    <s v="White"/>
    <x v="0"/>
    <x v="2"/>
  </r>
  <r>
    <n v="40"/>
    <x v="3"/>
    <n v="30000"/>
    <s v="White"/>
    <x v="0"/>
    <x v="2"/>
  </r>
  <r>
    <n v="56"/>
    <x v="3"/>
    <n v="30000"/>
    <s v="Black"/>
    <x v="1"/>
    <x v="2"/>
  </r>
  <r>
    <n v="40"/>
    <x v="3"/>
    <n v="30000"/>
    <s v="White"/>
    <x v="0"/>
    <x v="2"/>
  </r>
  <r>
    <n v="40"/>
    <x v="3"/>
    <n v="30000"/>
    <s v="White"/>
    <x v="1"/>
    <x v="2"/>
  </r>
  <r>
    <n v="50"/>
    <x v="3"/>
    <n v="30000"/>
    <s v="White"/>
    <x v="1"/>
    <x v="2"/>
  </r>
  <r>
    <n v="50"/>
    <x v="3"/>
    <n v="30000"/>
    <s v="White"/>
    <x v="0"/>
    <x v="2"/>
  </r>
  <r>
    <n v="40"/>
    <x v="3"/>
    <n v="30000"/>
    <s v="Black"/>
    <x v="0"/>
    <x v="2"/>
  </r>
  <r>
    <n v="40"/>
    <x v="3"/>
    <n v="30000"/>
    <s v="Black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50"/>
    <x v="3"/>
    <n v="30000"/>
    <s v="White"/>
    <x v="1"/>
    <x v="2"/>
  </r>
  <r>
    <n v="40"/>
    <x v="3"/>
    <n v="30000"/>
    <s v="White"/>
    <x v="1"/>
    <x v="2"/>
  </r>
  <r>
    <n v="65"/>
    <x v="3"/>
    <n v="30000"/>
    <s v="White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50"/>
    <x v="3"/>
    <n v="30000"/>
    <s v="Black"/>
    <x v="1"/>
    <x v="2"/>
  </r>
  <r>
    <n v="40"/>
    <x v="3"/>
    <n v="30000"/>
    <s v="White"/>
    <x v="0"/>
    <x v="2"/>
  </r>
  <r>
    <n v="0"/>
    <x v="3"/>
    <n v="30000"/>
    <s v="White"/>
    <x v="1"/>
    <x v="2"/>
  </r>
  <r>
    <n v="48"/>
    <x v="3"/>
    <n v="30000"/>
    <s v="White"/>
    <x v="0"/>
    <x v="2"/>
  </r>
  <r>
    <n v="0"/>
    <x v="3"/>
    <n v="30000"/>
    <s v="Black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50"/>
    <x v="3"/>
    <n v="30000"/>
    <s v="White"/>
    <x v="1"/>
    <x v="2"/>
  </r>
  <r>
    <n v="60"/>
    <x v="3"/>
    <n v="30000"/>
    <s v="White"/>
    <x v="1"/>
    <x v="2"/>
  </r>
  <r>
    <n v="45"/>
    <x v="3"/>
    <n v="30000"/>
    <s v="White"/>
    <x v="1"/>
    <x v="2"/>
  </r>
  <r>
    <n v="60"/>
    <x v="3"/>
    <n v="30000"/>
    <s v="White"/>
    <x v="1"/>
    <x v="2"/>
  </r>
  <r>
    <n v="48"/>
    <x v="3"/>
    <n v="30000"/>
    <s v="White"/>
    <x v="1"/>
    <x v="2"/>
  </r>
  <r>
    <n v="40"/>
    <x v="3"/>
    <n v="30000"/>
    <s v="White"/>
    <x v="1"/>
    <x v="2"/>
  </r>
  <r>
    <n v="40"/>
    <x v="3"/>
    <n v="30000"/>
    <s v="White"/>
    <x v="1"/>
    <x v="2"/>
  </r>
  <r>
    <n v="36"/>
    <x v="3"/>
    <n v="30000"/>
    <s v="White"/>
    <x v="1"/>
    <x v="2"/>
  </r>
  <r>
    <n v="40"/>
    <x v="3"/>
    <n v="30493"/>
    <s v="White"/>
    <x v="0"/>
    <x v="2"/>
  </r>
  <r>
    <n v="40"/>
    <x v="3"/>
    <n v="30500"/>
    <s v="White"/>
    <x v="1"/>
    <x v="2"/>
  </r>
  <r>
    <n v="40"/>
    <x v="3"/>
    <n v="30740"/>
    <s v="White"/>
    <x v="1"/>
    <x v="2"/>
  </r>
  <r>
    <n v="40"/>
    <x v="3"/>
    <n v="30748"/>
    <s v="White"/>
    <x v="1"/>
    <x v="2"/>
  </r>
  <r>
    <n v="50"/>
    <x v="3"/>
    <n v="30748"/>
    <s v="White"/>
    <x v="1"/>
    <x v="2"/>
  </r>
  <r>
    <n v="40"/>
    <x v="3"/>
    <n v="30900"/>
    <s v="White"/>
    <x v="1"/>
    <x v="2"/>
  </r>
  <r>
    <n v="42"/>
    <x v="3"/>
    <n v="31000"/>
    <s v="White"/>
    <x v="0"/>
    <x v="2"/>
  </r>
  <r>
    <n v="40"/>
    <x v="3"/>
    <n v="31000"/>
    <s v="White"/>
    <x v="1"/>
    <x v="2"/>
  </r>
  <r>
    <n v="40"/>
    <x v="3"/>
    <n v="31000"/>
    <s v="Black"/>
    <x v="0"/>
    <x v="2"/>
  </r>
  <r>
    <n v="45"/>
    <x v="3"/>
    <n v="31000"/>
    <s v="White"/>
    <x v="1"/>
    <x v="2"/>
  </r>
  <r>
    <n v="47"/>
    <x v="3"/>
    <n v="31000"/>
    <s v="White"/>
    <x v="0"/>
    <x v="2"/>
  </r>
  <r>
    <n v="38"/>
    <x v="3"/>
    <n v="31000"/>
    <s v="White"/>
    <x v="1"/>
    <x v="2"/>
  </r>
  <r>
    <n v="45"/>
    <x v="3"/>
    <n v="31000"/>
    <s v="White"/>
    <x v="1"/>
    <x v="2"/>
  </r>
  <r>
    <n v="40"/>
    <x v="3"/>
    <n v="31000"/>
    <s v="White"/>
    <x v="1"/>
    <x v="2"/>
  </r>
  <r>
    <n v="40"/>
    <x v="3"/>
    <n v="31000"/>
    <s v="Black"/>
    <x v="0"/>
    <x v="2"/>
  </r>
  <r>
    <n v="40"/>
    <x v="3"/>
    <n v="31000"/>
    <s v="White"/>
    <x v="0"/>
    <x v="2"/>
  </r>
  <r>
    <n v="37"/>
    <x v="3"/>
    <n v="31000"/>
    <s v="White"/>
    <x v="0"/>
    <x v="2"/>
  </r>
  <r>
    <n v="40"/>
    <x v="3"/>
    <n v="31000"/>
    <s v="White"/>
    <x v="1"/>
    <x v="2"/>
  </r>
  <r>
    <n v="40"/>
    <x v="3"/>
    <n v="31000"/>
    <s v="White"/>
    <x v="0"/>
    <x v="2"/>
  </r>
  <r>
    <n v="40"/>
    <x v="3"/>
    <n v="31000"/>
    <s v="White"/>
    <x v="0"/>
    <x v="2"/>
  </r>
  <r>
    <n v="40"/>
    <x v="3"/>
    <n v="31000"/>
    <s v="White"/>
    <x v="0"/>
    <x v="2"/>
  </r>
  <r>
    <n v="45"/>
    <x v="3"/>
    <n v="31000"/>
    <s v="White"/>
    <x v="1"/>
    <x v="2"/>
  </r>
  <r>
    <n v="40"/>
    <x v="3"/>
    <n v="31004"/>
    <s v="White"/>
    <x v="0"/>
    <x v="2"/>
  </r>
  <r>
    <n v="50"/>
    <x v="3"/>
    <n v="31009"/>
    <s v="White"/>
    <x v="0"/>
    <x v="2"/>
  </r>
  <r>
    <n v="40"/>
    <x v="3"/>
    <n v="31014"/>
    <s v="White"/>
    <x v="1"/>
    <x v="2"/>
  </r>
  <r>
    <n v="45"/>
    <x v="3"/>
    <n v="31200"/>
    <s v="White"/>
    <x v="1"/>
    <x v="2"/>
  </r>
  <r>
    <n v="40"/>
    <x v="3"/>
    <n v="31200"/>
    <s v="Black"/>
    <x v="0"/>
    <x v="2"/>
  </r>
  <r>
    <n v="40"/>
    <x v="3"/>
    <n v="31200"/>
    <s v="Black"/>
    <x v="0"/>
    <x v="2"/>
  </r>
  <r>
    <n v="70"/>
    <x v="3"/>
    <n v="31360"/>
    <s v="Black"/>
    <x v="0"/>
    <x v="2"/>
  </r>
  <r>
    <n v="70"/>
    <x v="3"/>
    <n v="31500"/>
    <s v="White"/>
    <x v="1"/>
    <x v="2"/>
  </r>
  <r>
    <n v="52"/>
    <x v="3"/>
    <n v="31620"/>
    <s v="White"/>
    <x v="0"/>
    <x v="2"/>
  </r>
  <r>
    <n v="45"/>
    <x v="3"/>
    <n v="32000"/>
    <s v="White"/>
    <x v="1"/>
    <x v="2"/>
  </r>
  <r>
    <n v="40"/>
    <x v="3"/>
    <n v="32000"/>
    <s v="White"/>
    <x v="0"/>
    <x v="2"/>
  </r>
  <r>
    <n v="40"/>
    <x v="3"/>
    <n v="32000"/>
    <s v="White"/>
    <x v="0"/>
    <x v="2"/>
  </r>
  <r>
    <n v="40"/>
    <x v="3"/>
    <n v="32000"/>
    <s v="White"/>
    <x v="1"/>
    <x v="2"/>
  </r>
  <r>
    <n v="40"/>
    <x v="3"/>
    <n v="32000"/>
    <s v="White"/>
    <x v="1"/>
    <x v="2"/>
  </r>
  <r>
    <n v="38"/>
    <x v="3"/>
    <n v="32000"/>
    <s v="White"/>
    <x v="1"/>
    <x v="2"/>
  </r>
  <r>
    <n v="45"/>
    <x v="3"/>
    <n v="32000"/>
    <s v="White"/>
    <x v="0"/>
    <x v="2"/>
  </r>
  <r>
    <n v="55"/>
    <x v="3"/>
    <n v="32000"/>
    <s v="White"/>
    <x v="0"/>
    <x v="2"/>
  </r>
  <r>
    <n v="40"/>
    <x v="3"/>
    <n v="32000"/>
    <s v="White"/>
    <x v="1"/>
    <x v="2"/>
  </r>
  <r>
    <n v="40"/>
    <x v="3"/>
    <n v="32000"/>
    <s v="Black"/>
    <x v="0"/>
    <x v="2"/>
  </r>
  <r>
    <n v="40"/>
    <x v="3"/>
    <n v="32000"/>
    <s v="White"/>
    <x v="1"/>
    <x v="2"/>
  </r>
  <r>
    <n v="40"/>
    <x v="3"/>
    <n v="32000"/>
    <s v="White"/>
    <x v="1"/>
    <x v="2"/>
  </r>
  <r>
    <n v="36"/>
    <x v="3"/>
    <n v="32000"/>
    <s v="Black"/>
    <x v="0"/>
    <x v="2"/>
  </r>
  <r>
    <n v="40"/>
    <x v="3"/>
    <n v="32000"/>
    <s v="White"/>
    <x v="1"/>
    <x v="2"/>
  </r>
  <r>
    <n v="40"/>
    <x v="3"/>
    <n v="32000"/>
    <s v="White"/>
    <x v="1"/>
    <x v="2"/>
  </r>
  <r>
    <n v="40"/>
    <x v="3"/>
    <n v="32000"/>
    <s v="White"/>
    <x v="1"/>
    <x v="2"/>
  </r>
  <r>
    <n v="40"/>
    <x v="3"/>
    <n v="32000"/>
    <s v="White"/>
    <x v="0"/>
    <x v="2"/>
  </r>
  <r>
    <n v="39"/>
    <x v="3"/>
    <n v="32000"/>
    <s v="White"/>
    <x v="1"/>
    <x v="2"/>
  </r>
  <r>
    <n v="0"/>
    <x v="3"/>
    <n v="32000"/>
    <s v="Black"/>
    <x v="0"/>
    <x v="2"/>
  </r>
  <r>
    <n v="48"/>
    <x v="3"/>
    <n v="32000"/>
    <s v="Black"/>
    <x v="1"/>
    <x v="2"/>
  </r>
  <r>
    <n v="40"/>
    <x v="3"/>
    <n v="32000"/>
    <s v="Black"/>
    <x v="0"/>
    <x v="2"/>
  </r>
  <r>
    <n v="40"/>
    <x v="3"/>
    <n v="32000"/>
    <s v="Black"/>
    <x v="1"/>
    <x v="2"/>
  </r>
  <r>
    <n v="50"/>
    <x v="3"/>
    <n v="32000"/>
    <s v="White"/>
    <x v="1"/>
    <x v="2"/>
  </r>
  <r>
    <n v="40"/>
    <x v="3"/>
    <n v="32214"/>
    <s v="White"/>
    <x v="1"/>
    <x v="2"/>
  </r>
  <r>
    <n v="40"/>
    <x v="3"/>
    <n v="32286"/>
    <s v="White"/>
    <x v="1"/>
    <x v="2"/>
  </r>
  <r>
    <n v="40"/>
    <x v="3"/>
    <n v="32500"/>
    <s v="White"/>
    <x v="0"/>
    <x v="2"/>
  </r>
  <r>
    <n v="45"/>
    <x v="3"/>
    <n v="32764"/>
    <s v="White"/>
    <x v="1"/>
    <x v="2"/>
  </r>
  <r>
    <n v="40"/>
    <x v="3"/>
    <n v="32882"/>
    <s v="White"/>
    <x v="0"/>
    <x v="2"/>
  </r>
  <r>
    <n v="40"/>
    <x v="3"/>
    <n v="32895"/>
    <s v="Black"/>
    <x v="0"/>
    <x v="2"/>
  </r>
  <r>
    <n v="38"/>
    <x v="3"/>
    <n v="33000"/>
    <s v="White"/>
    <x v="0"/>
    <x v="2"/>
  </r>
  <r>
    <n v="47"/>
    <x v="3"/>
    <n v="33000"/>
    <s v="White"/>
    <x v="0"/>
    <x v="2"/>
  </r>
  <r>
    <n v="40"/>
    <x v="3"/>
    <n v="33000"/>
    <s v="White"/>
    <x v="1"/>
    <x v="2"/>
  </r>
  <r>
    <n v="40"/>
    <x v="3"/>
    <n v="33000"/>
    <s v="White"/>
    <x v="0"/>
    <x v="2"/>
  </r>
  <r>
    <n v="40"/>
    <x v="3"/>
    <n v="33000"/>
    <s v="White"/>
    <x v="0"/>
    <x v="2"/>
  </r>
  <r>
    <n v="40"/>
    <x v="3"/>
    <n v="33000"/>
    <s v="White"/>
    <x v="0"/>
    <x v="2"/>
  </r>
  <r>
    <n v="40"/>
    <x v="3"/>
    <n v="33000"/>
    <s v="White"/>
    <x v="0"/>
    <x v="2"/>
  </r>
  <r>
    <n v="45"/>
    <x v="3"/>
    <n v="33000"/>
    <s v="White"/>
    <x v="0"/>
    <x v="2"/>
  </r>
  <r>
    <n v="40"/>
    <x v="3"/>
    <n v="33000"/>
    <s v="AsianPI"/>
    <x v="0"/>
    <x v="2"/>
  </r>
  <r>
    <n v="60"/>
    <x v="3"/>
    <n v="33000"/>
    <s v="White"/>
    <x v="1"/>
    <x v="2"/>
  </r>
  <r>
    <n v="45"/>
    <x v="3"/>
    <n v="33000"/>
    <s v="White"/>
    <x v="0"/>
    <x v="2"/>
  </r>
  <r>
    <n v="40"/>
    <x v="3"/>
    <n v="33000"/>
    <s v="White"/>
    <x v="1"/>
    <x v="2"/>
  </r>
  <r>
    <n v="40"/>
    <x v="3"/>
    <n v="33000"/>
    <s v="Black"/>
    <x v="0"/>
    <x v="2"/>
  </r>
  <r>
    <n v="48"/>
    <x v="3"/>
    <n v="33000"/>
    <s v="White"/>
    <x v="0"/>
    <x v="2"/>
  </r>
  <r>
    <n v="40"/>
    <x v="3"/>
    <n v="33000"/>
    <s v="White"/>
    <x v="1"/>
    <x v="2"/>
  </r>
  <r>
    <n v="45"/>
    <x v="3"/>
    <n v="33000"/>
    <s v="White"/>
    <x v="0"/>
    <x v="2"/>
  </r>
  <r>
    <n v="40"/>
    <x v="3"/>
    <n v="33000"/>
    <s v="White"/>
    <x v="0"/>
    <x v="2"/>
  </r>
  <r>
    <n v="42"/>
    <x v="3"/>
    <n v="33075"/>
    <s v="White"/>
    <x v="1"/>
    <x v="2"/>
  </r>
  <r>
    <n v="40"/>
    <x v="3"/>
    <n v="33500"/>
    <s v="Black"/>
    <x v="0"/>
    <x v="2"/>
  </r>
  <r>
    <n v="40"/>
    <x v="3"/>
    <n v="33600"/>
    <s v="White"/>
    <x v="1"/>
    <x v="2"/>
  </r>
  <r>
    <n v="40"/>
    <x v="3"/>
    <n v="33900"/>
    <s v="White"/>
    <x v="0"/>
    <x v="2"/>
  </r>
  <r>
    <n v="40"/>
    <x v="3"/>
    <n v="34000"/>
    <s v="White"/>
    <x v="1"/>
    <x v="2"/>
  </r>
  <r>
    <n v="40"/>
    <x v="3"/>
    <n v="34000"/>
    <s v="White"/>
    <x v="1"/>
    <x v="2"/>
  </r>
  <r>
    <n v="55"/>
    <x v="3"/>
    <n v="34000"/>
    <s v="White"/>
    <x v="0"/>
    <x v="2"/>
  </r>
  <r>
    <n v="50"/>
    <x v="3"/>
    <n v="34000"/>
    <s v="White"/>
    <x v="0"/>
    <x v="2"/>
  </r>
  <r>
    <n v="0"/>
    <x v="3"/>
    <n v="34000"/>
    <s v="White"/>
    <x v="1"/>
    <x v="2"/>
  </r>
  <r>
    <n v="60"/>
    <x v="3"/>
    <n v="34000"/>
    <s v="White"/>
    <x v="1"/>
    <x v="2"/>
  </r>
  <r>
    <n v="73"/>
    <x v="3"/>
    <n v="34000"/>
    <s v="White"/>
    <x v="1"/>
    <x v="2"/>
  </r>
  <r>
    <n v="58"/>
    <x v="3"/>
    <n v="34000"/>
    <s v="White"/>
    <x v="1"/>
    <x v="2"/>
  </r>
  <r>
    <n v="40"/>
    <x v="3"/>
    <n v="34000"/>
    <s v="Black"/>
    <x v="0"/>
    <x v="2"/>
  </r>
  <r>
    <n v="46"/>
    <x v="3"/>
    <n v="34000"/>
    <s v="White"/>
    <x v="1"/>
    <x v="2"/>
  </r>
  <r>
    <n v="48"/>
    <x v="3"/>
    <n v="34000"/>
    <s v="White"/>
    <x v="1"/>
    <x v="2"/>
  </r>
  <r>
    <n v="40"/>
    <x v="3"/>
    <n v="34000"/>
    <s v="White"/>
    <x v="0"/>
    <x v="2"/>
  </r>
  <r>
    <n v="40"/>
    <x v="3"/>
    <n v="34000"/>
    <s v="White"/>
    <x v="1"/>
    <x v="2"/>
  </r>
  <r>
    <n v="50"/>
    <x v="3"/>
    <n v="34500"/>
    <s v="White"/>
    <x v="1"/>
    <x v="2"/>
  </r>
  <r>
    <n v="70"/>
    <x v="3"/>
    <n v="34500"/>
    <s v="Black"/>
    <x v="0"/>
    <x v="2"/>
  </r>
  <r>
    <n v="90"/>
    <x v="3"/>
    <n v="34700"/>
    <s v="White"/>
    <x v="1"/>
    <x v="2"/>
  </r>
  <r>
    <n v="40"/>
    <x v="3"/>
    <n v="34896"/>
    <s v="Black"/>
    <x v="1"/>
    <x v="2"/>
  </r>
  <r>
    <n v="50"/>
    <x v="3"/>
    <n v="34971"/>
    <s v="White"/>
    <x v="1"/>
    <x v="2"/>
  </r>
  <r>
    <n v="0"/>
    <x v="3"/>
    <n v="35000"/>
    <s v="White"/>
    <x v="1"/>
    <x v="2"/>
  </r>
  <r>
    <n v="40"/>
    <x v="3"/>
    <n v="35000"/>
    <s v="White"/>
    <x v="0"/>
    <x v="2"/>
  </r>
  <r>
    <n v="40"/>
    <x v="3"/>
    <n v="35000"/>
    <s v="White"/>
    <x v="1"/>
    <x v="2"/>
  </r>
  <r>
    <n v="40"/>
    <x v="3"/>
    <n v="35000"/>
    <s v="White"/>
    <x v="1"/>
    <x v="2"/>
  </r>
  <r>
    <n v="50"/>
    <x v="3"/>
    <n v="35000"/>
    <s v="White"/>
    <x v="1"/>
    <x v="2"/>
  </r>
  <r>
    <n v="40"/>
    <x v="3"/>
    <n v="35000"/>
    <s v="White"/>
    <x v="1"/>
    <x v="2"/>
  </r>
  <r>
    <n v="40"/>
    <x v="3"/>
    <n v="35000"/>
    <s v="White"/>
    <x v="1"/>
    <x v="2"/>
  </r>
  <r>
    <n v="40"/>
    <x v="3"/>
    <n v="35000"/>
    <s v="Black"/>
    <x v="1"/>
    <x v="2"/>
  </r>
  <r>
    <n v="40"/>
    <x v="3"/>
    <n v="35000"/>
    <s v="White"/>
    <x v="1"/>
    <x v="2"/>
  </r>
  <r>
    <n v="40"/>
    <x v="3"/>
    <n v="35000"/>
    <s v="White"/>
    <x v="1"/>
    <x v="2"/>
  </r>
  <r>
    <n v="38"/>
    <x v="3"/>
    <n v="35000"/>
    <s v="White"/>
    <x v="1"/>
    <x v="2"/>
  </r>
  <r>
    <n v="0"/>
    <x v="3"/>
    <n v="35000"/>
    <s v="White"/>
    <x v="1"/>
    <x v="2"/>
  </r>
  <r>
    <n v="45"/>
    <x v="3"/>
    <n v="35000"/>
    <s v="White"/>
    <x v="0"/>
    <x v="2"/>
  </r>
  <r>
    <n v="0"/>
    <x v="3"/>
    <n v="35000"/>
    <s v="White"/>
    <x v="1"/>
    <x v="2"/>
  </r>
  <r>
    <n v="40"/>
    <x v="3"/>
    <n v="35000"/>
    <s v="White"/>
    <x v="1"/>
    <x v="2"/>
  </r>
  <r>
    <n v="40"/>
    <x v="3"/>
    <n v="35000"/>
    <s v="White"/>
    <x v="1"/>
    <x v="2"/>
  </r>
  <r>
    <n v="40"/>
    <x v="3"/>
    <n v="35000"/>
    <s v="White"/>
    <x v="1"/>
    <x v="2"/>
  </r>
  <r>
    <n v="40"/>
    <x v="3"/>
    <n v="35000"/>
    <s v="Black"/>
    <x v="1"/>
    <x v="2"/>
  </r>
  <r>
    <n v="50"/>
    <x v="3"/>
    <n v="35000"/>
    <s v="White"/>
    <x v="1"/>
    <x v="2"/>
  </r>
  <r>
    <n v="40"/>
    <x v="3"/>
    <n v="35000"/>
    <s v="Black"/>
    <x v="0"/>
    <x v="2"/>
  </r>
  <r>
    <n v="40"/>
    <x v="3"/>
    <n v="35000"/>
    <s v="Black"/>
    <x v="0"/>
    <x v="2"/>
  </r>
  <r>
    <n v="40"/>
    <x v="3"/>
    <n v="35000"/>
    <s v="White"/>
    <x v="1"/>
    <x v="2"/>
  </r>
  <r>
    <n v="40"/>
    <x v="3"/>
    <n v="35000"/>
    <s v="White"/>
    <x v="1"/>
    <x v="2"/>
  </r>
  <r>
    <n v="40"/>
    <x v="3"/>
    <n v="35000"/>
    <s v="Black"/>
    <x v="0"/>
    <x v="2"/>
  </r>
  <r>
    <n v="43"/>
    <x v="3"/>
    <n v="35000"/>
    <s v="White"/>
    <x v="0"/>
    <x v="2"/>
  </r>
  <r>
    <n v="44"/>
    <x v="3"/>
    <n v="35000"/>
    <s v="White"/>
    <x v="0"/>
    <x v="2"/>
  </r>
  <r>
    <n v="40"/>
    <x v="3"/>
    <n v="35000"/>
    <s v="Black"/>
    <x v="1"/>
    <x v="2"/>
  </r>
  <r>
    <n v="0"/>
    <x v="3"/>
    <n v="35000"/>
    <s v="Black"/>
    <x v="1"/>
    <x v="2"/>
  </r>
  <r>
    <n v="50"/>
    <x v="3"/>
    <n v="35000"/>
    <s v="White"/>
    <x v="1"/>
    <x v="2"/>
  </r>
  <r>
    <n v="60"/>
    <x v="3"/>
    <n v="35000"/>
    <s v="White"/>
    <x v="1"/>
    <x v="2"/>
  </r>
  <r>
    <n v="40"/>
    <x v="3"/>
    <n v="35000"/>
    <s v="White"/>
    <x v="1"/>
    <x v="2"/>
  </r>
  <r>
    <n v="0"/>
    <x v="3"/>
    <n v="35000"/>
    <s v="White"/>
    <x v="1"/>
    <x v="2"/>
  </r>
  <r>
    <n v="47"/>
    <x v="3"/>
    <n v="35000"/>
    <s v="White"/>
    <x v="0"/>
    <x v="2"/>
  </r>
  <r>
    <n v="44"/>
    <x v="3"/>
    <n v="35017"/>
    <s v="White"/>
    <x v="0"/>
    <x v="2"/>
  </r>
  <r>
    <n v="41"/>
    <x v="3"/>
    <n v="35148"/>
    <s v="White"/>
    <x v="1"/>
    <x v="2"/>
  </r>
  <r>
    <n v="40"/>
    <x v="3"/>
    <n v="35400"/>
    <s v="White"/>
    <x v="0"/>
    <x v="2"/>
  </r>
  <r>
    <n v="0"/>
    <x v="3"/>
    <n v="35400"/>
    <s v="White"/>
    <x v="1"/>
    <x v="2"/>
  </r>
  <r>
    <n v="40"/>
    <x v="3"/>
    <n v="35442"/>
    <s v="White"/>
    <x v="0"/>
    <x v="2"/>
  </r>
  <r>
    <n v="40"/>
    <x v="3"/>
    <n v="35700"/>
    <s v="White"/>
    <x v="1"/>
    <x v="2"/>
  </r>
  <r>
    <n v="38"/>
    <x v="3"/>
    <n v="35961"/>
    <s v="White"/>
    <x v="0"/>
    <x v="2"/>
  </r>
  <r>
    <n v="38"/>
    <x v="3"/>
    <n v="35999"/>
    <s v="White"/>
    <x v="0"/>
    <x v="2"/>
  </r>
  <r>
    <n v="40"/>
    <x v="3"/>
    <n v="36000"/>
    <s v="Black"/>
    <x v="0"/>
    <x v="2"/>
  </r>
  <r>
    <n v="60"/>
    <x v="3"/>
    <n v="36000"/>
    <s v="White"/>
    <x v="1"/>
    <x v="2"/>
  </r>
  <r>
    <n v="40"/>
    <x v="3"/>
    <n v="36000"/>
    <s v="White"/>
    <x v="0"/>
    <x v="2"/>
  </r>
  <r>
    <n v="45"/>
    <x v="3"/>
    <n v="36000"/>
    <s v="White"/>
    <x v="1"/>
    <x v="2"/>
  </r>
  <r>
    <n v="40"/>
    <x v="3"/>
    <n v="36000"/>
    <s v="White"/>
    <x v="0"/>
    <x v="2"/>
  </r>
  <r>
    <n v="40"/>
    <x v="3"/>
    <n v="36000"/>
    <s v="White"/>
    <x v="0"/>
    <x v="2"/>
  </r>
  <r>
    <n v="40"/>
    <x v="3"/>
    <n v="36000"/>
    <s v="White"/>
    <x v="1"/>
    <x v="2"/>
  </r>
  <r>
    <n v="55"/>
    <x v="3"/>
    <n v="36000"/>
    <s v="White"/>
    <x v="1"/>
    <x v="2"/>
  </r>
  <r>
    <n v="40"/>
    <x v="3"/>
    <n v="36000"/>
    <s v="Black"/>
    <x v="1"/>
    <x v="2"/>
  </r>
  <r>
    <n v="40"/>
    <x v="3"/>
    <n v="36000"/>
    <s v="White"/>
    <x v="1"/>
    <x v="2"/>
  </r>
  <r>
    <n v="40"/>
    <x v="3"/>
    <n v="36000"/>
    <s v="Black"/>
    <x v="1"/>
    <x v="2"/>
  </r>
  <r>
    <n v="54"/>
    <x v="3"/>
    <n v="36000"/>
    <s v="White"/>
    <x v="1"/>
    <x v="2"/>
  </r>
  <r>
    <n v="38"/>
    <x v="3"/>
    <n v="36400"/>
    <s v="White"/>
    <x v="0"/>
    <x v="2"/>
  </r>
  <r>
    <n v="40"/>
    <x v="3"/>
    <n v="36400"/>
    <s v="Black"/>
    <x v="0"/>
    <x v="2"/>
  </r>
  <r>
    <n v="40"/>
    <x v="3"/>
    <n v="36400"/>
    <s v="Black"/>
    <x v="0"/>
    <x v="2"/>
  </r>
  <r>
    <n v="40"/>
    <x v="3"/>
    <n v="36400"/>
    <s v="Black"/>
    <x v="0"/>
    <x v="2"/>
  </r>
  <r>
    <n v="48"/>
    <x v="3"/>
    <n v="36400"/>
    <s v="White"/>
    <x v="1"/>
    <x v="2"/>
  </r>
  <r>
    <n v="46"/>
    <x v="3"/>
    <n v="36440"/>
    <s v="White"/>
    <x v="0"/>
    <x v="2"/>
  </r>
  <r>
    <n v="44"/>
    <x v="3"/>
    <n v="36500"/>
    <s v="Black"/>
    <x v="1"/>
    <x v="2"/>
  </r>
  <r>
    <n v="58"/>
    <x v="3"/>
    <n v="36500"/>
    <s v="White"/>
    <x v="0"/>
    <x v="2"/>
  </r>
  <r>
    <n v="45"/>
    <x v="3"/>
    <n v="36500"/>
    <s v="White"/>
    <x v="1"/>
    <x v="2"/>
  </r>
  <r>
    <n v="40"/>
    <x v="3"/>
    <n v="37000"/>
    <s v="Black"/>
    <x v="0"/>
    <x v="2"/>
  </r>
  <r>
    <n v="40"/>
    <x v="3"/>
    <n v="37000"/>
    <s v="White"/>
    <x v="1"/>
    <x v="2"/>
  </r>
  <r>
    <n v="40"/>
    <x v="3"/>
    <n v="37000"/>
    <s v="White"/>
    <x v="1"/>
    <x v="2"/>
  </r>
  <r>
    <n v="45"/>
    <x v="3"/>
    <n v="37000"/>
    <s v="White"/>
    <x v="1"/>
    <x v="2"/>
  </r>
  <r>
    <n v="40"/>
    <x v="3"/>
    <n v="37000"/>
    <s v="White"/>
    <x v="0"/>
    <x v="2"/>
  </r>
  <r>
    <n v="40"/>
    <x v="3"/>
    <n v="37000"/>
    <s v="White"/>
    <x v="0"/>
    <x v="2"/>
  </r>
  <r>
    <n v="40"/>
    <x v="3"/>
    <n v="37000"/>
    <s v="White"/>
    <x v="1"/>
    <x v="2"/>
  </r>
  <r>
    <n v="60"/>
    <x v="3"/>
    <n v="37000"/>
    <s v="White"/>
    <x v="1"/>
    <x v="2"/>
  </r>
  <r>
    <n v="55"/>
    <x v="3"/>
    <n v="37000"/>
    <s v="Black"/>
    <x v="1"/>
    <x v="2"/>
  </r>
  <r>
    <n v="72"/>
    <x v="3"/>
    <n v="37000"/>
    <s v="White"/>
    <x v="1"/>
    <x v="2"/>
  </r>
  <r>
    <n v="40"/>
    <x v="3"/>
    <n v="37440"/>
    <s v="White"/>
    <x v="1"/>
    <x v="2"/>
  </r>
  <r>
    <n v="40"/>
    <x v="3"/>
    <n v="37500"/>
    <s v="White"/>
    <x v="1"/>
    <x v="2"/>
  </r>
  <r>
    <n v="40"/>
    <x v="3"/>
    <n v="37990"/>
    <s v="White"/>
    <x v="0"/>
    <x v="2"/>
  </r>
  <r>
    <n v="50"/>
    <x v="3"/>
    <n v="38000"/>
    <s v="White"/>
    <x v="1"/>
    <x v="2"/>
  </r>
  <r>
    <n v="40"/>
    <x v="3"/>
    <n v="38000"/>
    <s v="White"/>
    <x v="0"/>
    <x v="2"/>
  </r>
  <r>
    <n v="40"/>
    <x v="3"/>
    <n v="38000"/>
    <s v="White"/>
    <x v="1"/>
    <x v="2"/>
  </r>
  <r>
    <n v="49"/>
    <x v="3"/>
    <n v="38000"/>
    <s v="White"/>
    <x v="0"/>
    <x v="2"/>
  </r>
  <r>
    <n v="40"/>
    <x v="3"/>
    <n v="38000"/>
    <s v="White"/>
    <x v="1"/>
    <x v="2"/>
  </r>
  <r>
    <n v="40"/>
    <x v="3"/>
    <n v="38000"/>
    <s v="White"/>
    <x v="0"/>
    <x v="2"/>
  </r>
  <r>
    <n v="40"/>
    <x v="3"/>
    <n v="38000"/>
    <s v="White"/>
    <x v="1"/>
    <x v="2"/>
  </r>
  <r>
    <n v="40"/>
    <x v="3"/>
    <n v="38000"/>
    <s v="White"/>
    <x v="1"/>
    <x v="2"/>
  </r>
  <r>
    <n v="40"/>
    <x v="3"/>
    <n v="38000"/>
    <s v="White"/>
    <x v="1"/>
    <x v="2"/>
  </r>
  <r>
    <n v="60"/>
    <x v="3"/>
    <n v="38000"/>
    <s v="Black"/>
    <x v="1"/>
    <x v="2"/>
  </r>
  <r>
    <n v="38"/>
    <x v="3"/>
    <n v="38000"/>
    <s v="White"/>
    <x v="1"/>
    <x v="2"/>
  </r>
  <r>
    <n v="55"/>
    <x v="3"/>
    <n v="38000"/>
    <s v="White"/>
    <x v="0"/>
    <x v="2"/>
  </r>
  <r>
    <n v="40"/>
    <x v="3"/>
    <n v="38000"/>
    <s v="Black"/>
    <x v="0"/>
    <x v="2"/>
  </r>
  <r>
    <n v="40"/>
    <x v="3"/>
    <n v="38000"/>
    <s v="White"/>
    <x v="1"/>
    <x v="2"/>
  </r>
  <r>
    <n v="0"/>
    <x v="3"/>
    <n v="38072"/>
    <s v="White"/>
    <x v="1"/>
    <x v="2"/>
  </r>
  <r>
    <n v="50"/>
    <x v="3"/>
    <n v="38500"/>
    <s v="White"/>
    <x v="0"/>
    <x v="2"/>
  </r>
  <r>
    <n v="55"/>
    <x v="3"/>
    <n v="38800"/>
    <s v="White"/>
    <x v="1"/>
    <x v="2"/>
  </r>
  <r>
    <n v="40"/>
    <x v="3"/>
    <n v="38900"/>
    <s v="White"/>
    <x v="1"/>
    <x v="2"/>
  </r>
  <r>
    <n v="45"/>
    <x v="3"/>
    <n v="38990"/>
    <s v="White"/>
    <x v="1"/>
    <x v="2"/>
  </r>
  <r>
    <n v="40"/>
    <x v="3"/>
    <n v="39000"/>
    <s v="White"/>
    <x v="1"/>
    <x v="2"/>
  </r>
  <r>
    <n v="40"/>
    <x v="3"/>
    <n v="39000"/>
    <s v="White"/>
    <x v="1"/>
    <x v="2"/>
  </r>
  <r>
    <n v="40"/>
    <x v="3"/>
    <n v="39000"/>
    <s v="White"/>
    <x v="1"/>
    <x v="2"/>
  </r>
  <r>
    <n v="55"/>
    <x v="3"/>
    <n v="39000"/>
    <s v="White"/>
    <x v="1"/>
    <x v="2"/>
  </r>
  <r>
    <n v="40"/>
    <x v="3"/>
    <n v="39000"/>
    <s v="White"/>
    <x v="1"/>
    <x v="2"/>
  </r>
  <r>
    <n v="40"/>
    <x v="3"/>
    <n v="39000"/>
    <s v="White"/>
    <x v="1"/>
    <x v="2"/>
  </r>
  <r>
    <n v="40"/>
    <x v="3"/>
    <n v="39000"/>
    <s v="White"/>
    <x v="1"/>
    <x v="2"/>
  </r>
  <r>
    <n v="40"/>
    <x v="3"/>
    <n v="39000"/>
    <s v="White"/>
    <x v="1"/>
    <x v="2"/>
  </r>
  <r>
    <n v="40"/>
    <x v="3"/>
    <n v="39400"/>
    <s v="White"/>
    <x v="0"/>
    <x v="2"/>
  </r>
  <r>
    <n v="40"/>
    <x v="3"/>
    <n v="39400"/>
    <s v="White"/>
    <x v="0"/>
    <x v="2"/>
  </r>
  <r>
    <n v="40"/>
    <x v="3"/>
    <n v="39500"/>
    <s v="White"/>
    <x v="0"/>
    <x v="2"/>
  </r>
  <r>
    <n v="36"/>
    <x v="3"/>
    <n v="39500"/>
    <s v="White"/>
    <x v="0"/>
    <x v="2"/>
  </r>
  <r>
    <n v="50"/>
    <x v="3"/>
    <n v="40000"/>
    <s v="White"/>
    <x v="0"/>
    <x v="2"/>
  </r>
  <r>
    <n v="0"/>
    <x v="3"/>
    <n v="40000"/>
    <s v="Black"/>
    <x v="0"/>
    <x v="2"/>
  </r>
  <r>
    <n v="42"/>
    <x v="3"/>
    <n v="40000"/>
    <s v="White"/>
    <x v="1"/>
    <x v="2"/>
  </r>
  <r>
    <n v="40"/>
    <x v="3"/>
    <n v="40000"/>
    <s v="White"/>
    <x v="1"/>
    <x v="2"/>
  </r>
  <r>
    <n v="40"/>
    <x v="3"/>
    <n v="40000"/>
    <s v="White"/>
    <x v="0"/>
    <x v="2"/>
  </r>
  <r>
    <n v="36"/>
    <x v="3"/>
    <n v="40000"/>
    <s v="White"/>
    <x v="0"/>
    <x v="2"/>
  </r>
  <r>
    <n v="40"/>
    <x v="3"/>
    <n v="40000"/>
    <s v="White"/>
    <x v="1"/>
    <x v="2"/>
  </r>
  <r>
    <n v="40"/>
    <x v="3"/>
    <n v="40000"/>
    <s v="White"/>
    <x v="1"/>
    <x v="2"/>
  </r>
  <r>
    <n v="45"/>
    <x v="3"/>
    <n v="40000"/>
    <s v="White"/>
    <x v="1"/>
    <x v="2"/>
  </r>
  <r>
    <n v="40"/>
    <x v="3"/>
    <n v="40000"/>
    <s v="Black"/>
    <x v="1"/>
    <x v="2"/>
  </r>
  <r>
    <n v="35"/>
    <x v="3"/>
    <n v="40000"/>
    <s v="White"/>
    <x v="1"/>
    <x v="2"/>
  </r>
  <r>
    <n v="40"/>
    <x v="3"/>
    <n v="40000"/>
    <s v="White"/>
    <x v="1"/>
    <x v="2"/>
  </r>
  <r>
    <n v="0"/>
    <x v="3"/>
    <n v="40000"/>
    <s v="White"/>
    <x v="1"/>
    <x v="2"/>
  </r>
  <r>
    <n v="50"/>
    <x v="3"/>
    <n v="40000"/>
    <s v="White"/>
    <x v="1"/>
    <x v="2"/>
  </r>
  <r>
    <n v="40"/>
    <x v="3"/>
    <n v="40000"/>
    <s v="White"/>
    <x v="1"/>
    <x v="2"/>
  </r>
  <r>
    <n v="35"/>
    <x v="3"/>
    <n v="40000"/>
    <s v="White"/>
    <x v="0"/>
    <x v="2"/>
  </r>
  <r>
    <n v="40"/>
    <x v="3"/>
    <n v="40000"/>
    <s v="White"/>
    <x v="1"/>
    <x v="2"/>
  </r>
  <r>
    <n v="40"/>
    <x v="3"/>
    <n v="40000"/>
    <s v="White"/>
    <x v="0"/>
    <x v="2"/>
  </r>
  <r>
    <n v="50"/>
    <x v="3"/>
    <n v="40000"/>
    <s v="White"/>
    <x v="1"/>
    <x v="2"/>
  </r>
  <r>
    <n v="45"/>
    <x v="3"/>
    <n v="40000"/>
    <s v="White"/>
    <x v="1"/>
    <x v="2"/>
  </r>
  <r>
    <n v="50"/>
    <x v="3"/>
    <n v="40000"/>
    <s v="White"/>
    <x v="1"/>
    <x v="2"/>
  </r>
  <r>
    <n v="65"/>
    <x v="3"/>
    <n v="40000"/>
    <s v="White"/>
    <x v="1"/>
    <x v="2"/>
  </r>
  <r>
    <n v="40"/>
    <x v="3"/>
    <n v="40000"/>
    <s v="White"/>
    <x v="1"/>
    <x v="2"/>
  </r>
  <r>
    <n v="40"/>
    <x v="3"/>
    <n v="40000"/>
    <s v="White"/>
    <x v="0"/>
    <x v="2"/>
  </r>
  <r>
    <n v="40"/>
    <x v="3"/>
    <n v="40000"/>
    <s v="White"/>
    <x v="1"/>
    <x v="2"/>
  </r>
  <r>
    <n v="40"/>
    <x v="3"/>
    <n v="40000"/>
    <s v="AsianPI"/>
    <x v="0"/>
    <x v="2"/>
  </r>
  <r>
    <n v="43"/>
    <x v="3"/>
    <n v="40000"/>
    <s v="White"/>
    <x v="1"/>
    <x v="2"/>
  </r>
  <r>
    <n v="45"/>
    <x v="3"/>
    <n v="40000"/>
    <s v="White"/>
    <x v="1"/>
    <x v="2"/>
  </r>
  <r>
    <n v="50"/>
    <x v="3"/>
    <n v="40000"/>
    <s v="White"/>
    <x v="0"/>
    <x v="2"/>
  </r>
  <r>
    <n v="40"/>
    <x v="3"/>
    <n v="40000"/>
    <s v="White"/>
    <x v="1"/>
    <x v="2"/>
  </r>
  <r>
    <n v="60"/>
    <x v="3"/>
    <n v="40000"/>
    <s v="White"/>
    <x v="1"/>
    <x v="2"/>
  </r>
  <r>
    <n v="40"/>
    <x v="3"/>
    <n v="40000"/>
    <s v="Black"/>
    <x v="0"/>
    <x v="2"/>
  </r>
  <r>
    <n v="43"/>
    <x v="3"/>
    <n v="40000"/>
    <s v="White"/>
    <x v="0"/>
    <x v="2"/>
  </r>
  <r>
    <n v="60"/>
    <x v="3"/>
    <n v="40000"/>
    <s v="White"/>
    <x v="1"/>
    <x v="2"/>
  </r>
  <r>
    <n v="40"/>
    <x v="3"/>
    <n v="40000"/>
    <s v="Black"/>
    <x v="1"/>
    <x v="2"/>
  </r>
  <r>
    <n v="37"/>
    <x v="3"/>
    <n v="40000"/>
    <s v="White"/>
    <x v="0"/>
    <x v="2"/>
  </r>
  <r>
    <n v="60"/>
    <x v="3"/>
    <n v="40000"/>
    <s v="White"/>
    <x v="1"/>
    <x v="2"/>
  </r>
  <r>
    <n v="40"/>
    <x v="3"/>
    <n v="40000"/>
    <s v="White"/>
    <x v="0"/>
    <x v="2"/>
  </r>
  <r>
    <n v="0"/>
    <x v="3"/>
    <n v="40000"/>
    <s v="White"/>
    <x v="1"/>
    <x v="2"/>
  </r>
  <r>
    <n v="45"/>
    <x v="3"/>
    <n v="40000"/>
    <s v="White"/>
    <x v="1"/>
    <x v="2"/>
  </r>
  <r>
    <n v="40"/>
    <x v="3"/>
    <n v="40000"/>
    <s v="White"/>
    <x v="0"/>
    <x v="2"/>
  </r>
  <r>
    <n v="40"/>
    <x v="3"/>
    <n v="40000"/>
    <s v="White"/>
    <x v="1"/>
    <x v="2"/>
  </r>
  <r>
    <n v="50"/>
    <x v="3"/>
    <n v="40000"/>
    <s v="Black"/>
    <x v="0"/>
    <x v="2"/>
  </r>
  <r>
    <n v="40"/>
    <x v="3"/>
    <n v="40000"/>
    <s v="Black"/>
    <x v="0"/>
    <x v="2"/>
  </r>
  <r>
    <n v="40"/>
    <x v="3"/>
    <n v="40000"/>
    <s v="White"/>
    <x v="1"/>
    <x v="2"/>
  </r>
  <r>
    <n v="40"/>
    <x v="3"/>
    <n v="40000"/>
    <s v="White"/>
    <x v="1"/>
    <x v="2"/>
  </r>
  <r>
    <n v="75"/>
    <x v="3"/>
    <n v="40000"/>
    <s v="White"/>
    <x v="1"/>
    <x v="2"/>
  </r>
  <r>
    <n v="40"/>
    <x v="3"/>
    <n v="40000"/>
    <s v="White"/>
    <x v="1"/>
    <x v="2"/>
  </r>
  <r>
    <n v="40"/>
    <x v="3"/>
    <n v="40000"/>
    <s v="Black"/>
    <x v="0"/>
    <x v="2"/>
  </r>
  <r>
    <n v="50"/>
    <x v="3"/>
    <n v="40000"/>
    <s v="White"/>
    <x v="0"/>
    <x v="2"/>
  </r>
  <r>
    <n v="40"/>
    <x v="3"/>
    <n v="40000"/>
    <s v="White"/>
    <x v="1"/>
    <x v="2"/>
  </r>
  <r>
    <n v="40"/>
    <x v="3"/>
    <n v="40000"/>
    <s v="White"/>
    <x v="1"/>
    <x v="2"/>
  </r>
  <r>
    <n v="40"/>
    <x v="3"/>
    <n v="40000"/>
    <s v="White"/>
    <x v="1"/>
    <x v="2"/>
  </r>
  <r>
    <n v="55"/>
    <x v="3"/>
    <n v="40000"/>
    <s v="White"/>
    <x v="1"/>
    <x v="2"/>
  </r>
  <r>
    <n v="48"/>
    <x v="3"/>
    <n v="40000"/>
    <s v="White"/>
    <x v="1"/>
    <x v="2"/>
  </r>
  <r>
    <n v="45"/>
    <x v="3"/>
    <n v="40000"/>
    <s v="White"/>
    <x v="1"/>
    <x v="2"/>
  </r>
  <r>
    <n v="45"/>
    <x v="3"/>
    <n v="40000"/>
    <s v="White"/>
    <x v="0"/>
    <x v="2"/>
  </r>
  <r>
    <n v="40"/>
    <x v="3"/>
    <n v="40000"/>
    <s v="White"/>
    <x v="1"/>
    <x v="2"/>
  </r>
  <r>
    <n v="45"/>
    <x v="3"/>
    <n v="40000"/>
    <s v="White"/>
    <x v="1"/>
    <x v="2"/>
  </r>
  <r>
    <n v="40"/>
    <x v="3"/>
    <n v="40560"/>
    <s v="White"/>
    <x v="1"/>
    <x v="2"/>
  </r>
  <r>
    <n v="45"/>
    <x v="3"/>
    <n v="41000"/>
    <s v="White"/>
    <x v="1"/>
    <x v="2"/>
  </r>
  <r>
    <n v="0"/>
    <x v="3"/>
    <n v="41000"/>
    <s v="White"/>
    <x v="1"/>
    <x v="2"/>
  </r>
  <r>
    <n v="40"/>
    <x v="3"/>
    <n v="41000"/>
    <s v="White"/>
    <x v="1"/>
    <x v="2"/>
  </r>
  <r>
    <n v="40"/>
    <x v="3"/>
    <n v="41000"/>
    <s v="Black"/>
    <x v="1"/>
    <x v="2"/>
  </r>
  <r>
    <n v="40"/>
    <x v="3"/>
    <n v="41000"/>
    <s v="White"/>
    <x v="0"/>
    <x v="2"/>
  </r>
  <r>
    <n v="40"/>
    <x v="3"/>
    <n v="41000"/>
    <s v="White"/>
    <x v="1"/>
    <x v="2"/>
  </r>
  <r>
    <n v="60"/>
    <x v="3"/>
    <n v="41000"/>
    <s v="White"/>
    <x v="1"/>
    <x v="2"/>
  </r>
  <r>
    <n v="55"/>
    <x v="3"/>
    <n v="41000"/>
    <s v="White"/>
    <x v="0"/>
    <x v="2"/>
  </r>
  <r>
    <n v="0"/>
    <x v="3"/>
    <n v="41000"/>
    <s v="White"/>
    <x v="1"/>
    <x v="2"/>
  </r>
  <r>
    <n v="40"/>
    <x v="3"/>
    <n v="41066"/>
    <s v="White"/>
    <x v="1"/>
    <x v="2"/>
  </r>
  <r>
    <n v="45"/>
    <x v="3"/>
    <n v="41100"/>
    <s v="White"/>
    <x v="1"/>
    <x v="2"/>
  </r>
  <r>
    <n v="40"/>
    <x v="3"/>
    <n v="41200"/>
    <s v="White"/>
    <x v="0"/>
    <x v="2"/>
  </r>
  <r>
    <n v="40"/>
    <x v="3"/>
    <n v="41291"/>
    <s v="White"/>
    <x v="0"/>
    <x v="2"/>
  </r>
  <r>
    <n v="40"/>
    <x v="3"/>
    <n v="41344"/>
    <s v="White"/>
    <x v="1"/>
    <x v="2"/>
  </r>
  <r>
    <n v="40"/>
    <x v="3"/>
    <n v="41374"/>
    <s v="White"/>
    <x v="1"/>
    <x v="2"/>
  </r>
  <r>
    <n v="40"/>
    <x v="3"/>
    <n v="41500"/>
    <s v="White"/>
    <x v="1"/>
    <x v="2"/>
  </r>
  <r>
    <n v="50"/>
    <x v="3"/>
    <n v="41500"/>
    <s v="White"/>
    <x v="1"/>
    <x v="2"/>
  </r>
  <r>
    <n v="0"/>
    <x v="3"/>
    <n v="41600"/>
    <s v="White"/>
    <x v="1"/>
    <x v="2"/>
  </r>
  <r>
    <n v="50"/>
    <x v="3"/>
    <n v="41600"/>
    <s v="White"/>
    <x v="1"/>
    <x v="2"/>
  </r>
  <r>
    <n v="40"/>
    <x v="3"/>
    <n v="41600"/>
    <s v="White"/>
    <x v="0"/>
    <x v="2"/>
  </r>
  <r>
    <n v="56"/>
    <x v="3"/>
    <n v="41800"/>
    <s v="White"/>
    <x v="0"/>
    <x v="2"/>
  </r>
  <r>
    <n v="40"/>
    <x v="3"/>
    <n v="42000"/>
    <s v="White"/>
    <x v="0"/>
    <x v="2"/>
  </r>
  <r>
    <n v="50"/>
    <x v="3"/>
    <n v="42000"/>
    <s v="White"/>
    <x v="1"/>
    <x v="2"/>
  </r>
  <r>
    <n v="40"/>
    <x v="3"/>
    <n v="42000"/>
    <s v="White"/>
    <x v="1"/>
    <x v="2"/>
  </r>
  <r>
    <n v="40"/>
    <x v="3"/>
    <n v="42000"/>
    <s v="Black"/>
    <x v="1"/>
    <x v="2"/>
  </r>
  <r>
    <n v="40"/>
    <x v="3"/>
    <n v="42000"/>
    <s v="White"/>
    <x v="0"/>
    <x v="2"/>
  </r>
  <r>
    <n v="40"/>
    <x v="3"/>
    <n v="42000"/>
    <s v="White"/>
    <x v="0"/>
    <x v="2"/>
  </r>
  <r>
    <n v="44"/>
    <x v="3"/>
    <n v="42000"/>
    <s v="White"/>
    <x v="1"/>
    <x v="2"/>
  </r>
  <r>
    <n v="0"/>
    <x v="3"/>
    <n v="42000"/>
    <s v="White"/>
    <x v="1"/>
    <x v="2"/>
  </r>
  <r>
    <n v="40"/>
    <x v="3"/>
    <n v="42000"/>
    <s v="White"/>
    <x v="1"/>
    <x v="2"/>
  </r>
  <r>
    <n v="0"/>
    <x v="3"/>
    <n v="42000"/>
    <s v="White"/>
    <x v="1"/>
    <x v="2"/>
  </r>
  <r>
    <n v="60"/>
    <x v="3"/>
    <n v="42000"/>
    <s v="White"/>
    <x v="1"/>
    <x v="2"/>
  </r>
  <r>
    <n v="40"/>
    <x v="3"/>
    <n v="42000"/>
    <s v="White"/>
    <x v="1"/>
    <x v="2"/>
  </r>
  <r>
    <n v="45"/>
    <x v="3"/>
    <n v="42000"/>
    <s v="White"/>
    <x v="1"/>
    <x v="2"/>
  </r>
  <r>
    <n v="40"/>
    <x v="3"/>
    <n v="42000"/>
    <s v="White"/>
    <x v="0"/>
    <x v="2"/>
  </r>
  <r>
    <n v="55"/>
    <x v="3"/>
    <n v="42000"/>
    <s v="White"/>
    <x v="1"/>
    <x v="2"/>
  </r>
  <r>
    <n v="40"/>
    <x v="3"/>
    <n v="42000"/>
    <s v="White"/>
    <x v="1"/>
    <x v="2"/>
  </r>
  <r>
    <n v="40"/>
    <x v="3"/>
    <n v="42000"/>
    <s v="Black"/>
    <x v="0"/>
    <x v="2"/>
  </r>
  <r>
    <n v="40"/>
    <x v="3"/>
    <n v="42000"/>
    <s v="Black"/>
    <x v="0"/>
    <x v="2"/>
  </r>
  <r>
    <n v="40"/>
    <x v="3"/>
    <n v="42000"/>
    <s v="White"/>
    <x v="1"/>
    <x v="2"/>
  </r>
  <r>
    <n v="0"/>
    <x v="3"/>
    <n v="42000"/>
    <s v="White"/>
    <x v="1"/>
    <x v="2"/>
  </r>
  <r>
    <n v="40"/>
    <x v="3"/>
    <n v="42000"/>
    <s v="White"/>
    <x v="1"/>
    <x v="2"/>
  </r>
  <r>
    <n v="40"/>
    <x v="3"/>
    <n v="42000"/>
    <s v="White"/>
    <x v="1"/>
    <x v="2"/>
  </r>
  <r>
    <n v="45"/>
    <x v="3"/>
    <n v="42200"/>
    <s v="White"/>
    <x v="1"/>
    <x v="2"/>
  </r>
  <r>
    <n v="40"/>
    <x v="3"/>
    <n v="42500"/>
    <s v="White"/>
    <x v="1"/>
    <x v="2"/>
  </r>
  <r>
    <n v="40"/>
    <x v="3"/>
    <n v="42500"/>
    <s v="Black"/>
    <x v="0"/>
    <x v="2"/>
  </r>
  <r>
    <n v="60"/>
    <x v="3"/>
    <n v="43000"/>
    <s v="White"/>
    <x v="1"/>
    <x v="2"/>
  </r>
  <r>
    <n v="50"/>
    <x v="3"/>
    <n v="43000"/>
    <s v="White"/>
    <x v="1"/>
    <x v="2"/>
  </r>
  <r>
    <n v="40"/>
    <x v="3"/>
    <n v="43000"/>
    <s v="White"/>
    <x v="0"/>
    <x v="2"/>
  </r>
  <r>
    <n v="55"/>
    <x v="3"/>
    <n v="43000"/>
    <s v="White"/>
    <x v="1"/>
    <x v="2"/>
  </r>
  <r>
    <n v="51"/>
    <x v="3"/>
    <n v="43000"/>
    <s v="White"/>
    <x v="1"/>
    <x v="2"/>
  </r>
  <r>
    <n v="55"/>
    <x v="3"/>
    <n v="43000"/>
    <s v="White"/>
    <x v="0"/>
    <x v="2"/>
  </r>
  <r>
    <n v="45"/>
    <x v="3"/>
    <n v="43000"/>
    <s v="White"/>
    <x v="1"/>
    <x v="2"/>
  </r>
  <r>
    <n v="50"/>
    <x v="3"/>
    <n v="43000"/>
    <s v="White"/>
    <x v="1"/>
    <x v="2"/>
  </r>
  <r>
    <n v="40"/>
    <x v="3"/>
    <n v="43275"/>
    <s v="White"/>
    <x v="1"/>
    <x v="2"/>
  </r>
  <r>
    <n v="48"/>
    <x v="3"/>
    <n v="43500"/>
    <s v="White"/>
    <x v="1"/>
    <x v="2"/>
  </r>
  <r>
    <n v="45"/>
    <x v="3"/>
    <n v="43600"/>
    <s v="White"/>
    <x v="1"/>
    <x v="2"/>
  </r>
  <r>
    <n v="40"/>
    <x v="3"/>
    <n v="43808"/>
    <s v="White"/>
    <x v="0"/>
    <x v="2"/>
  </r>
  <r>
    <n v="40"/>
    <x v="3"/>
    <n v="44000"/>
    <s v="White"/>
    <x v="1"/>
    <x v="2"/>
  </r>
  <r>
    <n v="50"/>
    <x v="3"/>
    <n v="44000"/>
    <s v="White"/>
    <x v="1"/>
    <x v="2"/>
  </r>
  <r>
    <n v="42"/>
    <x v="3"/>
    <n v="44000"/>
    <s v="White"/>
    <x v="0"/>
    <x v="2"/>
  </r>
  <r>
    <n v="40"/>
    <x v="3"/>
    <n v="44000"/>
    <s v="White"/>
    <x v="0"/>
    <x v="2"/>
  </r>
  <r>
    <n v="60"/>
    <x v="3"/>
    <n v="44000"/>
    <s v="White"/>
    <x v="0"/>
    <x v="2"/>
  </r>
  <r>
    <n v="40"/>
    <x v="3"/>
    <n v="44000"/>
    <s v="White"/>
    <x v="1"/>
    <x v="2"/>
  </r>
  <r>
    <n v="55"/>
    <x v="3"/>
    <n v="44400"/>
    <s v="White"/>
    <x v="1"/>
    <x v="2"/>
  </r>
  <r>
    <n v="0"/>
    <x v="3"/>
    <n v="44800"/>
    <s v="White"/>
    <x v="1"/>
    <x v="2"/>
  </r>
  <r>
    <n v="40"/>
    <x v="3"/>
    <n v="44900"/>
    <s v="White"/>
    <x v="1"/>
    <x v="2"/>
  </r>
  <r>
    <n v="40"/>
    <x v="3"/>
    <n v="45000"/>
    <s v="White"/>
    <x v="1"/>
    <x v="2"/>
  </r>
  <r>
    <n v="40"/>
    <x v="3"/>
    <n v="45000"/>
    <s v="White"/>
    <x v="1"/>
    <x v="2"/>
  </r>
  <r>
    <n v="40"/>
    <x v="3"/>
    <n v="45000"/>
    <s v="White"/>
    <x v="1"/>
    <x v="2"/>
  </r>
  <r>
    <n v="40"/>
    <x v="3"/>
    <n v="45000"/>
    <s v="White"/>
    <x v="1"/>
    <x v="2"/>
  </r>
  <r>
    <n v="40"/>
    <x v="3"/>
    <n v="45000"/>
    <s v="White"/>
    <x v="1"/>
    <x v="2"/>
  </r>
  <r>
    <n v="60"/>
    <x v="3"/>
    <n v="45000"/>
    <s v="White"/>
    <x v="0"/>
    <x v="2"/>
  </r>
  <r>
    <n v="40"/>
    <x v="3"/>
    <n v="45000"/>
    <s v="White"/>
    <x v="1"/>
    <x v="2"/>
  </r>
  <r>
    <n v="40"/>
    <x v="3"/>
    <n v="45000"/>
    <s v="White"/>
    <x v="0"/>
    <x v="2"/>
  </r>
  <r>
    <n v="45"/>
    <x v="3"/>
    <n v="45000"/>
    <s v="White"/>
    <x v="1"/>
    <x v="2"/>
  </r>
  <r>
    <n v="40"/>
    <x v="3"/>
    <n v="45000"/>
    <s v="White"/>
    <x v="1"/>
    <x v="2"/>
  </r>
  <r>
    <n v="0"/>
    <x v="3"/>
    <n v="45000"/>
    <s v="White"/>
    <x v="0"/>
    <x v="2"/>
  </r>
  <r>
    <n v="60"/>
    <x v="3"/>
    <n v="45000"/>
    <s v="White"/>
    <x v="1"/>
    <x v="2"/>
  </r>
  <r>
    <n v="40"/>
    <x v="3"/>
    <n v="45000"/>
    <s v="White"/>
    <x v="1"/>
    <x v="2"/>
  </r>
  <r>
    <n v="50"/>
    <x v="3"/>
    <n v="45000"/>
    <s v="White"/>
    <x v="1"/>
    <x v="2"/>
  </r>
  <r>
    <n v="40"/>
    <x v="3"/>
    <n v="45000"/>
    <s v="White"/>
    <x v="1"/>
    <x v="2"/>
  </r>
  <r>
    <n v="45"/>
    <x v="3"/>
    <n v="45000"/>
    <s v="Black"/>
    <x v="0"/>
    <x v="2"/>
  </r>
  <r>
    <n v="50"/>
    <x v="3"/>
    <n v="45000"/>
    <s v="White"/>
    <x v="1"/>
    <x v="2"/>
  </r>
  <r>
    <n v="48"/>
    <x v="3"/>
    <n v="45000"/>
    <s v="White"/>
    <x v="0"/>
    <x v="2"/>
  </r>
  <r>
    <n v="45"/>
    <x v="3"/>
    <n v="45000"/>
    <s v="White"/>
    <x v="1"/>
    <x v="2"/>
  </r>
  <r>
    <n v="40"/>
    <x v="3"/>
    <n v="45000"/>
    <s v="White"/>
    <x v="1"/>
    <x v="2"/>
  </r>
  <r>
    <n v="40"/>
    <x v="3"/>
    <n v="45000"/>
    <s v="White"/>
    <x v="1"/>
    <x v="2"/>
  </r>
  <r>
    <n v="36"/>
    <x v="3"/>
    <n v="45000"/>
    <s v="White"/>
    <x v="0"/>
    <x v="2"/>
  </r>
  <r>
    <n v="40"/>
    <x v="3"/>
    <n v="45000"/>
    <s v="White"/>
    <x v="1"/>
    <x v="2"/>
  </r>
  <r>
    <n v="65"/>
    <x v="3"/>
    <n v="45000"/>
    <s v="White"/>
    <x v="1"/>
    <x v="2"/>
  </r>
  <r>
    <n v="45"/>
    <x v="3"/>
    <n v="45000"/>
    <s v="White"/>
    <x v="1"/>
    <x v="2"/>
  </r>
  <r>
    <n v="40"/>
    <x v="3"/>
    <n v="45000"/>
    <s v="White"/>
    <x v="1"/>
    <x v="2"/>
  </r>
  <r>
    <n v="40"/>
    <x v="3"/>
    <n v="45000"/>
    <s v="White"/>
    <x v="0"/>
    <x v="2"/>
  </r>
  <r>
    <n v="40"/>
    <x v="3"/>
    <n v="45000"/>
    <s v="White"/>
    <x v="1"/>
    <x v="2"/>
  </r>
  <r>
    <n v="45"/>
    <x v="3"/>
    <n v="45000"/>
    <s v="White"/>
    <x v="1"/>
    <x v="2"/>
  </r>
  <r>
    <n v="45"/>
    <x v="3"/>
    <n v="45000"/>
    <s v="White"/>
    <x v="0"/>
    <x v="2"/>
  </r>
  <r>
    <n v="45"/>
    <x v="3"/>
    <n v="45000"/>
    <s v="White"/>
    <x v="1"/>
    <x v="2"/>
  </r>
  <r>
    <n v="40"/>
    <x v="3"/>
    <n v="45000"/>
    <s v="White"/>
    <x v="1"/>
    <x v="2"/>
  </r>
  <r>
    <n v="0"/>
    <x v="3"/>
    <n v="45240"/>
    <s v="White"/>
    <x v="1"/>
    <x v="2"/>
  </r>
  <r>
    <n v="68"/>
    <x v="3"/>
    <n v="45400"/>
    <s v="White"/>
    <x v="1"/>
    <x v="2"/>
  </r>
  <r>
    <n v="45"/>
    <x v="3"/>
    <n v="45500"/>
    <s v="White"/>
    <x v="0"/>
    <x v="2"/>
  </r>
  <r>
    <n v="0"/>
    <x v="3"/>
    <n v="45562"/>
    <s v="White"/>
    <x v="1"/>
    <x v="2"/>
  </r>
  <r>
    <n v="46"/>
    <x v="3"/>
    <n v="45760"/>
    <s v="White"/>
    <x v="1"/>
    <x v="2"/>
  </r>
  <r>
    <n v="0"/>
    <x v="3"/>
    <n v="46000"/>
    <s v="White"/>
    <x v="0"/>
    <x v="2"/>
  </r>
  <r>
    <n v="50"/>
    <x v="3"/>
    <n v="46000"/>
    <s v="White"/>
    <x v="0"/>
    <x v="2"/>
  </r>
  <r>
    <n v="48"/>
    <x v="3"/>
    <n v="46000"/>
    <s v="Black"/>
    <x v="1"/>
    <x v="2"/>
  </r>
  <r>
    <n v="40"/>
    <x v="3"/>
    <n v="46000"/>
    <s v="White"/>
    <x v="1"/>
    <x v="2"/>
  </r>
  <r>
    <n v="0"/>
    <x v="3"/>
    <n v="46000"/>
    <s v="White"/>
    <x v="0"/>
    <x v="2"/>
  </r>
  <r>
    <n v="40"/>
    <x v="3"/>
    <n v="46000"/>
    <s v="White"/>
    <x v="1"/>
    <x v="2"/>
  </r>
  <r>
    <n v="40"/>
    <x v="3"/>
    <n v="46000"/>
    <s v="White"/>
    <x v="1"/>
    <x v="2"/>
  </r>
  <r>
    <n v="50"/>
    <x v="3"/>
    <n v="46000"/>
    <s v="White"/>
    <x v="1"/>
    <x v="2"/>
  </r>
  <r>
    <n v="60"/>
    <x v="3"/>
    <n v="46500"/>
    <s v="White"/>
    <x v="1"/>
    <x v="2"/>
  </r>
  <r>
    <n v="40"/>
    <x v="3"/>
    <n v="46636"/>
    <s v="White"/>
    <x v="1"/>
    <x v="2"/>
  </r>
  <r>
    <n v="0"/>
    <x v="3"/>
    <n v="46636"/>
    <s v="White"/>
    <x v="1"/>
    <x v="2"/>
  </r>
  <r>
    <n v="40"/>
    <x v="3"/>
    <n v="46821"/>
    <s v="White"/>
    <x v="1"/>
    <x v="2"/>
  </r>
  <r>
    <n v="40"/>
    <x v="3"/>
    <n v="47000"/>
    <s v="White"/>
    <x v="1"/>
    <x v="2"/>
  </r>
  <r>
    <n v="40"/>
    <x v="3"/>
    <n v="47635"/>
    <s v="White"/>
    <x v="0"/>
    <x v="2"/>
  </r>
  <r>
    <n v="65"/>
    <x v="3"/>
    <n v="47800"/>
    <s v="White"/>
    <x v="1"/>
    <x v="2"/>
  </r>
  <r>
    <n v="40"/>
    <x v="3"/>
    <n v="48000"/>
    <s v="Black"/>
    <x v="0"/>
    <x v="2"/>
  </r>
  <r>
    <n v="0"/>
    <x v="3"/>
    <n v="48000"/>
    <s v="White"/>
    <x v="1"/>
    <x v="2"/>
  </r>
  <r>
    <n v="40"/>
    <x v="3"/>
    <n v="48000"/>
    <s v="White"/>
    <x v="1"/>
    <x v="2"/>
  </r>
  <r>
    <n v="40"/>
    <x v="3"/>
    <n v="48000"/>
    <s v="White"/>
    <x v="1"/>
    <x v="2"/>
  </r>
  <r>
    <n v="45"/>
    <x v="3"/>
    <n v="48000"/>
    <s v="White"/>
    <x v="1"/>
    <x v="2"/>
  </r>
  <r>
    <n v="50"/>
    <x v="3"/>
    <n v="48000"/>
    <s v="White"/>
    <x v="1"/>
    <x v="2"/>
  </r>
  <r>
    <n v="70"/>
    <x v="3"/>
    <n v="48000"/>
    <s v="White"/>
    <x v="1"/>
    <x v="2"/>
  </r>
  <r>
    <n v="50"/>
    <x v="3"/>
    <n v="48000"/>
    <s v="White"/>
    <x v="1"/>
    <x v="2"/>
  </r>
  <r>
    <n v="40"/>
    <x v="3"/>
    <n v="48000"/>
    <s v="White"/>
    <x v="0"/>
    <x v="2"/>
  </r>
  <r>
    <n v="56"/>
    <x v="3"/>
    <n v="48000"/>
    <s v="White"/>
    <x v="1"/>
    <x v="2"/>
  </r>
  <r>
    <n v="56"/>
    <x v="3"/>
    <n v="48000"/>
    <s v="White"/>
    <x v="1"/>
    <x v="2"/>
  </r>
  <r>
    <n v="42"/>
    <x v="3"/>
    <n v="48500"/>
    <s v="White"/>
    <x v="1"/>
    <x v="2"/>
  </r>
  <r>
    <n v="40"/>
    <x v="3"/>
    <n v="48916"/>
    <s v="White"/>
    <x v="1"/>
    <x v="2"/>
  </r>
  <r>
    <n v="50"/>
    <x v="3"/>
    <n v="48916"/>
    <s v="White"/>
    <x v="1"/>
    <x v="2"/>
  </r>
  <r>
    <n v="45"/>
    <x v="3"/>
    <n v="49000"/>
    <s v="White"/>
    <x v="1"/>
    <x v="2"/>
  </r>
  <r>
    <n v="50"/>
    <x v="3"/>
    <n v="49000"/>
    <s v="White"/>
    <x v="1"/>
    <x v="2"/>
  </r>
  <r>
    <n v="40"/>
    <x v="3"/>
    <n v="49000"/>
    <s v="White"/>
    <x v="1"/>
    <x v="2"/>
  </r>
  <r>
    <n v="40"/>
    <x v="3"/>
    <n v="49000"/>
    <s v="Black"/>
    <x v="0"/>
    <x v="2"/>
  </r>
  <r>
    <n v="50"/>
    <x v="3"/>
    <n v="49000"/>
    <s v="White"/>
    <x v="1"/>
    <x v="2"/>
  </r>
  <r>
    <n v="40"/>
    <x v="3"/>
    <n v="49000"/>
    <s v="White"/>
    <x v="0"/>
    <x v="2"/>
  </r>
  <r>
    <n v="40"/>
    <x v="3"/>
    <n v="49800"/>
    <s v="White"/>
    <x v="1"/>
    <x v="2"/>
  </r>
  <r>
    <n v="40"/>
    <x v="3"/>
    <n v="50000"/>
    <s v="White"/>
    <x v="1"/>
    <x v="2"/>
  </r>
  <r>
    <n v="45"/>
    <x v="3"/>
    <n v="50000"/>
    <s v="White"/>
    <x v="1"/>
    <x v="2"/>
  </r>
  <r>
    <n v="40"/>
    <x v="3"/>
    <n v="50000"/>
    <s v="White"/>
    <x v="1"/>
    <x v="2"/>
  </r>
  <r>
    <n v="40"/>
    <x v="3"/>
    <n v="50000"/>
    <s v="White"/>
    <x v="1"/>
    <x v="2"/>
  </r>
  <r>
    <n v="40"/>
    <x v="3"/>
    <n v="50000"/>
    <s v="White"/>
    <x v="1"/>
    <x v="2"/>
  </r>
  <r>
    <n v="45"/>
    <x v="3"/>
    <n v="50000"/>
    <s v="White"/>
    <x v="0"/>
    <x v="2"/>
  </r>
  <r>
    <n v="36"/>
    <x v="3"/>
    <n v="50000"/>
    <s v="White"/>
    <x v="0"/>
    <x v="2"/>
  </r>
  <r>
    <n v="50"/>
    <x v="3"/>
    <n v="50000"/>
    <s v="White"/>
    <x v="1"/>
    <x v="2"/>
  </r>
  <r>
    <n v="40"/>
    <x v="3"/>
    <n v="50000"/>
    <s v="AsianPI"/>
    <x v="0"/>
    <x v="2"/>
  </r>
  <r>
    <n v="40"/>
    <x v="3"/>
    <n v="50000"/>
    <s v="White"/>
    <x v="1"/>
    <x v="2"/>
  </r>
  <r>
    <n v="40"/>
    <x v="3"/>
    <n v="50000"/>
    <s v="Black"/>
    <x v="0"/>
    <x v="2"/>
  </r>
  <r>
    <n v="40"/>
    <x v="3"/>
    <n v="50000"/>
    <s v="White"/>
    <x v="1"/>
    <x v="2"/>
  </r>
  <r>
    <n v="60"/>
    <x v="3"/>
    <n v="50000"/>
    <s v="White"/>
    <x v="1"/>
    <x v="2"/>
  </r>
  <r>
    <n v="40"/>
    <x v="3"/>
    <n v="50000"/>
    <s v="White"/>
    <x v="1"/>
    <x v="2"/>
  </r>
  <r>
    <n v="40"/>
    <x v="3"/>
    <n v="50000"/>
    <s v="White"/>
    <x v="1"/>
    <x v="2"/>
  </r>
  <r>
    <n v="52"/>
    <x v="3"/>
    <n v="50000"/>
    <s v="White"/>
    <x v="1"/>
    <x v="2"/>
  </r>
  <r>
    <n v="50"/>
    <x v="3"/>
    <n v="50000"/>
    <s v="White"/>
    <x v="1"/>
    <x v="2"/>
  </r>
  <r>
    <n v="40"/>
    <x v="3"/>
    <n v="50000"/>
    <s v="White"/>
    <x v="1"/>
    <x v="2"/>
  </r>
  <r>
    <n v="0"/>
    <x v="3"/>
    <n v="50000"/>
    <s v="White"/>
    <x v="1"/>
    <x v="2"/>
  </r>
  <r>
    <n v="40"/>
    <x v="3"/>
    <n v="50000"/>
    <s v="Black"/>
    <x v="1"/>
    <x v="2"/>
  </r>
  <r>
    <n v="40"/>
    <x v="3"/>
    <n v="50000"/>
    <s v="Black"/>
    <x v="1"/>
    <x v="2"/>
  </r>
  <r>
    <n v="40"/>
    <x v="3"/>
    <n v="50000"/>
    <s v="White"/>
    <x v="1"/>
    <x v="2"/>
  </r>
  <r>
    <n v="50"/>
    <x v="3"/>
    <n v="50000"/>
    <s v="White"/>
    <x v="0"/>
    <x v="2"/>
  </r>
  <r>
    <n v="40"/>
    <x v="3"/>
    <n v="50000"/>
    <s v="White"/>
    <x v="1"/>
    <x v="2"/>
  </r>
  <r>
    <n v="40"/>
    <x v="3"/>
    <n v="50000"/>
    <s v="White"/>
    <x v="1"/>
    <x v="2"/>
  </r>
  <r>
    <n v="55"/>
    <x v="3"/>
    <n v="50000"/>
    <s v="White"/>
    <x v="1"/>
    <x v="2"/>
  </r>
  <r>
    <n v="40"/>
    <x v="3"/>
    <n v="50000"/>
    <s v="Black"/>
    <x v="1"/>
    <x v="2"/>
  </r>
  <r>
    <n v="40"/>
    <x v="3"/>
    <n v="50000"/>
    <s v="Black"/>
    <x v="0"/>
    <x v="2"/>
  </r>
  <r>
    <n v="60"/>
    <x v="3"/>
    <n v="50000"/>
    <s v="White"/>
    <x v="1"/>
    <x v="2"/>
  </r>
  <r>
    <n v="50"/>
    <x v="3"/>
    <n v="50000"/>
    <s v="White"/>
    <x v="1"/>
    <x v="2"/>
  </r>
  <r>
    <n v="40"/>
    <x v="3"/>
    <n v="50000"/>
    <s v="White"/>
    <x v="0"/>
    <x v="2"/>
  </r>
  <r>
    <n v="35"/>
    <x v="3"/>
    <n v="50000"/>
    <s v="White"/>
    <x v="0"/>
    <x v="2"/>
  </r>
  <r>
    <n v="70"/>
    <x v="3"/>
    <n v="50000"/>
    <s v="White"/>
    <x v="1"/>
    <x v="2"/>
  </r>
  <r>
    <n v="40"/>
    <x v="3"/>
    <n v="50000"/>
    <s v="White"/>
    <x v="1"/>
    <x v="2"/>
  </r>
  <r>
    <n v="0"/>
    <x v="3"/>
    <n v="50000"/>
    <s v="White"/>
    <x v="1"/>
    <x v="2"/>
  </r>
  <r>
    <n v="50"/>
    <x v="3"/>
    <n v="50000"/>
    <s v="White"/>
    <x v="1"/>
    <x v="2"/>
  </r>
  <r>
    <n v="40"/>
    <x v="3"/>
    <n v="50000"/>
    <s v="White"/>
    <x v="1"/>
    <x v="2"/>
  </r>
  <r>
    <n v="45"/>
    <x v="3"/>
    <n v="50000"/>
    <s v="White"/>
    <x v="1"/>
    <x v="2"/>
  </r>
  <r>
    <n v="45"/>
    <x v="3"/>
    <n v="50000"/>
    <s v="White"/>
    <x v="1"/>
    <x v="2"/>
  </r>
  <r>
    <n v="40"/>
    <x v="3"/>
    <n v="50000"/>
    <s v="White"/>
    <x v="0"/>
    <x v="2"/>
  </r>
  <r>
    <n v="60"/>
    <x v="3"/>
    <n v="50000"/>
    <s v="White"/>
    <x v="1"/>
    <x v="2"/>
  </r>
  <r>
    <n v="40"/>
    <x v="3"/>
    <n v="50000"/>
    <s v="White"/>
    <x v="1"/>
    <x v="2"/>
  </r>
  <r>
    <n v="56"/>
    <x v="3"/>
    <n v="50000"/>
    <s v="White"/>
    <x v="1"/>
    <x v="2"/>
  </r>
  <r>
    <n v="45"/>
    <x v="3"/>
    <n v="50000"/>
    <s v="White"/>
    <x v="1"/>
    <x v="2"/>
  </r>
  <r>
    <n v="40"/>
    <x v="3"/>
    <n v="50000"/>
    <s v="White"/>
    <x v="1"/>
    <x v="2"/>
  </r>
  <r>
    <n v="80"/>
    <x v="3"/>
    <n v="50000"/>
    <s v="White"/>
    <x v="1"/>
    <x v="2"/>
  </r>
  <r>
    <n v="60"/>
    <x v="3"/>
    <n v="50150"/>
    <s v="Black"/>
    <x v="1"/>
    <x v="2"/>
  </r>
  <r>
    <n v="60"/>
    <x v="3"/>
    <n v="51000"/>
    <s v="Black"/>
    <x v="1"/>
    <x v="2"/>
  </r>
  <r>
    <n v="40"/>
    <x v="3"/>
    <n v="51000"/>
    <s v="White"/>
    <x v="1"/>
    <x v="2"/>
  </r>
  <r>
    <n v="50"/>
    <x v="3"/>
    <n v="51000"/>
    <s v="White"/>
    <x v="0"/>
    <x v="2"/>
  </r>
  <r>
    <n v="40"/>
    <x v="3"/>
    <n v="51000"/>
    <s v="White"/>
    <x v="1"/>
    <x v="2"/>
  </r>
  <r>
    <n v="40"/>
    <x v="3"/>
    <n v="51000"/>
    <s v="Black"/>
    <x v="0"/>
    <x v="2"/>
  </r>
  <r>
    <n v="50"/>
    <x v="3"/>
    <n v="51000"/>
    <s v="White"/>
    <x v="1"/>
    <x v="2"/>
  </r>
  <r>
    <n v="50"/>
    <x v="3"/>
    <n v="51000"/>
    <s v="White"/>
    <x v="1"/>
    <x v="2"/>
  </r>
  <r>
    <n v="40"/>
    <x v="3"/>
    <n v="51500"/>
    <s v="White"/>
    <x v="1"/>
    <x v="2"/>
  </r>
  <r>
    <n v="40"/>
    <x v="3"/>
    <n v="52000"/>
    <s v="White"/>
    <x v="0"/>
    <x v="2"/>
  </r>
  <r>
    <n v="51"/>
    <x v="3"/>
    <n v="52000"/>
    <s v="IndEsk"/>
    <x v="1"/>
    <x v="2"/>
  </r>
  <r>
    <n v="40"/>
    <x v="3"/>
    <n v="52000"/>
    <s v="White"/>
    <x v="1"/>
    <x v="2"/>
  </r>
  <r>
    <n v="40"/>
    <x v="3"/>
    <n v="52000"/>
    <s v="White"/>
    <x v="1"/>
    <x v="2"/>
  </r>
  <r>
    <n v="50"/>
    <x v="3"/>
    <n v="52000"/>
    <s v="White"/>
    <x v="1"/>
    <x v="2"/>
  </r>
  <r>
    <n v="40"/>
    <x v="3"/>
    <n v="52000"/>
    <s v="White"/>
    <x v="1"/>
    <x v="2"/>
  </r>
  <r>
    <n v="40"/>
    <x v="3"/>
    <n v="52000"/>
    <s v="White"/>
    <x v="1"/>
    <x v="2"/>
  </r>
  <r>
    <n v="40"/>
    <x v="3"/>
    <n v="52000"/>
    <s v="White"/>
    <x v="1"/>
    <x v="2"/>
  </r>
  <r>
    <n v="40"/>
    <x v="3"/>
    <n v="52000"/>
    <s v="White"/>
    <x v="1"/>
    <x v="2"/>
  </r>
  <r>
    <n v="40"/>
    <x v="3"/>
    <n v="52000"/>
    <s v="White"/>
    <x v="1"/>
    <x v="2"/>
  </r>
  <r>
    <n v="45"/>
    <x v="3"/>
    <n v="52000"/>
    <s v="Black"/>
    <x v="1"/>
    <x v="2"/>
  </r>
  <r>
    <n v="40"/>
    <x v="3"/>
    <n v="52000"/>
    <s v="White"/>
    <x v="0"/>
    <x v="2"/>
  </r>
  <r>
    <n v="50"/>
    <x v="3"/>
    <n v="52000"/>
    <s v="White"/>
    <x v="1"/>
    <x v="2"/>
  </r>
  <r>
    <n v="90"/>
    <x v="3"/>
    <n v="52000"/>
    <s v="White"/>
    <x v="0"/>
    <x v="2"/>
  </r>
  <r>
    <n v="40"/>
    <x v="3"/>
    <n v="52000"/>
    <s v="White"/>
    <x v="1"/>
    <x v="2"/>
  </r>
  <r>
    <n v="40"/>
    <x v="3"/>
    <n v="52000"/>
    <s v="White"/>
    <x v="0"/>
    <x v="2"/>
  </r>
  <r>
    <n v="45"/>
    <x v="3"/>
    <n v="52200"/>
    <s v="White"/>
    <x v="1"/>
    <x v="2"/>
  </r>
  <r>
    <n v="40"/>
    <x v="3"/>
    <n v="52322"/>
    <s v="White"/>
    <x v="0"/>
    <x v="2"/>
  </r>
  <r>
    <n v="64"/>
    <x v="3"/>
    <n v="53000"/>
    <s v="White"/>
    <x v="1"/>
    <x v="2"/>
  </r>
  <r>
    <n v="45"/>
    <x v="3"/>
    <n v="53000"/>
    <s v="White"/>
    <x v="1"/>
    <x v="2"/>
  </r>
  <r>
    <n v="50"/>
    <x v="3"/>
    <n v="53000"/>
    <s v="White"/>
    <x v="0"/>
    <x v="2"/>
  </r>
  <r>
    <n v="50"/>
    <x v="3"/>
    <n v="53000"/>
    <s v="White"/>
    <x v="1"/>
    <x v="2"/>
  </r>
  <r>
    <n v="44"/>
    <x v="3"/>
    <n v="53200"/>
    <s v="White"/>
    <x v="1"/>
    <x v="2"/>
  </r>
  <r>
    <n v="54"/>
    <x v="3"/>
    <n v="53300"/>
    <s v="White"/>
    <x v="1"/>
    <x v="2"/>
  </r>
  <r>
    <n v="46"/>
    <x v="3"/>
    <n v="53560"/>
    <s v="White"/>
    <x v="1"/>
    <x v="2"/>
  </r>
  <r>
    <n v="60"/>
    <x v="3"/>
    <n v="54000"/>
    <s v="White"/>
    <x v="1"/>
    <x v="2"/>
  </r>
  <r>
    <n v="0"/>
    <x v="3"/>
    <n v="54000"/>
    <s v="White"/>
    <x v="1"/>
    <x v="2"/>
  </r>
  <r>
    <n v="50"/>
    <x v="3"/>
    <n v="55000"/>
    <s v="Black"/>
    <x v="1"/>
    <x v="2"/>
  </r>
  <r>
    <n v="48"/>
    <x v="3"/>
    <n v="55000"/>
    <s v="White"/>
    <x v="1"/>
    <x v="2"/>
  </r>
  <r>
    <n v="40"/>
    <x v="3"/>
    <n v="55000"/>
    <s v="White"/>
    <x v="1"/>
    <x v="2"/>
  </r>
  <r>
    <n v="40"/>
    <x v="3"/>
    <n v="55000"/>
    <s v="White"/>
    <x v="1"/>
    <x v="2"/>
  </r>
  <r>
    <n v="40"/>
    <x v="3"/>
    <n v="55000"/>
    <s v="White"/>
    <x v="1"/>
    <x v="2"/>
  </r>
  <r>
    <n v="40"/>
    <x v="3"/>
    <n v="55000"/>
    <s v="White"/>
    <x v="0"/>
    <x v="2"/>
  </r>
  <r>
    <n v="45"/>
    <x v="3"/>
    <n v="55000"/>
    <s v="White"/>
    <x v="1"/>
    <x v="2"/>
  </r>
  <r>
    <n v="50"/>
    <x v="3"/>
    <n v="55000"/>
    <s v="White"/>
    <x v="1"/>
    <x v="2"/>
  </r>
  <r>
    <n v="40"/>
    <x v="3"/>
    <n v="55000"/>
    <s v="White"/>
    <x v="1"/>
    <x v="2"/>
  </r>
  <r>
    <n v="40"/>
    <x v="3"/>
    <n v="55000"/>
    <s v="White"/>
    <x v="1"/>
    <x v="2"/>
  </r>
  <r>
    <n v="45"/>
    <x v="3"/>
    <n v="55000"/>
    <s v="White"/>
    <x v="1"/>
    <x v="2"/>
  </r>
  <r>
    <n v="40"/>
    <x v="3"/>
    <n v="55173"/>
    <s v="White"/>
    <x v="1"/>
    <x v="2"/>
  </r>
  <r>
    <n v="40"/>
    <x v="3"/>
    <n v="55200"/>
    <s v="White"/>
    <x v="0"/>
    <x v="2"/>
  </r>
  <r>
    <n v="47"/>
    <x v="3"/>
    <n v="55500"/>
    <s v="White"/>
    <x v="1"/>
    <x v="2"/>
  </r>
  <r>
    <n v="45"/>
    <x v="3"/>
    <n v="55992"/>
    <s v="White"/>
    <x v="1"/>
    <x v="2"/>
  </r>
  <r>
    <n v="40"/>
    <x v="3"/>
    <n v="56000"/>
    <s v="Black"/>
    <x v="1"/>
    <x v="2"/>
  </r>
  <r>
    <n v="40"/>
    <x v="3"/>
    <n v="56000"/>
    <s v="White"/>
    <x v="1"/>
    <x v="2"/>
  </r>
  <r>
    <n v="40"/>
    <x v="3"/>
    <n v="56000"/>
    <s v="White"/>
    <x v="1"/>
    <x v="2"/>
  </r>
  <r>
    <n v="52"/>
    <x v="3"/>
    <n v="56402"/>
    <s v="White"/>
    <x v="1"/>
    <x v="2"/>
  </r>
  <r>
    <n v="40"/>
    <x v="3"/>
    <n v="56426"/>
    <s v="White"/>
    <x v="1"/>
    <x v="2"/>
  </r>
  <r>
    <n v="40"/>
    <x v="3"/>
    <n v="56842"/>
    <s v="White"/>
    <x v="1"/>
    <x v="2"/>
  </r>
  <r>
    <n v="38"/>
    <x v="3"/>
    <n v="57000"/>
    <s v="White"/>
    <x v="0"/>
    <x v="2"/>
  </r>
  <r>
    <n v="40"/>
    <x v="3"/>
    <n v="57000"/>
    <s v="White"/>
    <x v="0"/>
    <x v="2"/>
  </r>
  <r>
    <n v="45"/>
    <x v="3"/>
    <n v="57000"/>
    <s v="White"/>
    <x v="1"/>
    <x v="2"/>
  </r>
  <r>
    <n v="50"/>
    <x v="3"/>
    <n v="57000"/>
    <s v="White"/>
    <x v="1"/>
    <x v="2"/>
  </r>
  <r>
    <n v="55"/>
    <x v="3"/>
    <n v="57000"/>
    <s v="White"/>
    <x v="1"/>
    <x v="2"/>
  </r>
  <r>
    <n v="40"/>
    <x v="3"/>
    <n v="57000"/>
    <s v="White"/>
    <x v="1"/>
    <x v="2"/>
  </r>
  <r>
    <n v="55"/>
    <x v="3"/>
    <n v="58000"/>
    <s v="IndEsk"/>
    <x v="1"/>
    <x v="2"/>
  </r>
  <r>
    <n v="0"/>
    <x v="3"/>
    <n v="58000"/>
    <s v="White"/>
    <x v="1"/>
    <x v="2"/>
  </r>
  <r>
    <n v="40"/>
    <x v="3"/>
    <n v="58000"/>
    <s v="White"/>
    <x v="1"/>
    <x v="2"/>
  </r>
  <r>
    <n v="50"/>
    <x v="3"/>
    <n v="58000"/>
    <s v="White"/>
    <x v="1"/>
    <x v="2"/>
  </r>
  <r>
    <n v="40"/>
    <x v="3"/>
    <n v="58000"/>
    <s v="White"/>
    <x v="1"/>
    <x v="2"/>
  </r>
  <r>
    <n v="40"/>
    <x v="3"/>
    <n v="58000"/>
    <s v="White"/>
    <x v="1"/>
    <x v="2"/>
  </r>
  <r>
    <n v="40"/>
    <x v="3"/>
    <n v="58000"/>
    <s v="White"/>
    <x v="1"/>
    <x v="2"/>
  </r>
  <r>
    <n v="40"/>
    <x v="3"/>
    <n v="58000"/>
    <s v="White"/>
    <x v="1"/>
    <x v="2"/>
  </r>
  <r>
    <n v="40"/>
    <x v="3"/>
    <n v="58500"/>
    <s v="White"/>
    <x v="1"/>
    <x v="2"/>
  </r>
  <r>
    <n v="40"/>
    <x v="3"/>
    <n v="59000"/>
    <s v="Black"/>
    <x v="1"/>
    <x v="2"/>
  </r>
  <r>
    <n v="40"/>
    <x v="3"/>
    <n v="59000"/>
    <s v="White"/>
    <x v="1"/>
    <x v="2"/>
  </r>
  <r>
    <n v="42"/>
    <x v="3"/>
    <n v="59000"/>
    <s v="White"/>
    <x v="1"/>
    <x v="2"/>
  </r>
  <r>
    <n v="50"/>
    <x v="3"/>
    <n v="59000"/>
    <s v="White"/>
    <x v="1"/>
    <x v="2"/>
  </r>
  <r>
    <n v="60"/>
    <x v="3"/>
    <n v="59000"/>
    <s v="White"/>
    <x v="1"/>
    <x v="2"/>
  </r>
  <r>
    <n v="40"/>
    <x v="3"/>
    <n v="59314"/>
    <s v="White"/>
    <x v="1"/>
    <x v="2"/>
  </r>
  <r>
    <n v="0"/>
    <x v="3"/>
    <n v="59925"/>
    <s v="White"/>
    <x v="1"/>
    <x v="2"/>
  </r>
  <r>
    <n v="40"/>
    <x v="3"/>
    <n v="59925"/>
    <s v="White"/>
    <x v="1"/>
    <x v="2"/>
  </r>
  <r>
    <n v="40"/>
    <x v="3"/>
    <n v="60000"/>
    <s v="White"/>
    <x v="1"/>
    <x v="2"/>
  </r>
  <r>
    <n v="48"/>
    <x v="3"/>
    <n v="60000"/>
    <s v="White"/>
    <x v="1"/>
    <x v="2"/>
  </r>
  <r>
    <n v="45"/>
    <x v="3"/>
    <n v="60000"/>
    <s v="White"/>
    <x v="0"/>
    <x v="2"/>
  </r>
  <r>
    <n v="40"/>
    <x v="3"/>
    <n v="60000"/>
    <s v="White"/>
    <x v="1"/>
    <x v="2"/>
  </r>
  <r>
    <n v="0"/>
    <x v="3"/>
    <n v="60000"/>
    <s v="Black"/>
    <x v="1"/>
    <x v="2"/>
  </r>
  <r>
    <n v="40"/>
    <x v="3"/>
    <n v="60000"/>
    <s v="White"/>
    <x v="1"/>
    <x v="2"/>
  </r>
  <r>
    <n v="50"/>
    <x v="3"/>
    <n v="60000"/>
    <s v="White"/>
    <x v="1"/>
    <x v="2"/>
  </r>
  <r>
    <n v="45"/>
    <x v="3"/>
    <n v="60000"/>
    <s v="White"/>
    <x v="1"/>
    <x v="2"/>
  </r>
  <r>
    <n v="60"/>
    <x v="3"/>
    <n v="60000"/>
    <s v="White"/>
    <x v="1"/>
    <x v="2"/>
  </r>
  <r>
    <n v="60"/>
    <x v="3"/>
    <n v="60000"/>
    <s v="White"/>
    <x v="0"/>
    <x v="2"/>
  </r>
  <r>
    <n v="40"/>
    <x v="3"/>
    <n v="60000"/>
    <s v="White"/>
    <x v="1"/>
    <x v="2"/>
  </r>
  <r>
    <n v="50"/>
    <x v="3"/>
    <n v="60000"/>
    <s v="White"/>
    <x v="0"/>
    <x v="2"/>
  </r>
  <r>
    <n v="40"/>
    <x v="3"/>
    <n v="60000"/>
    <s v="White"/>
    <x v="1"/>
    <x v="2"/>
  </r>
  <r>
    <n v="40"/>
    <x v="3"/>
    <n v="60000"/>
    <s v="White"/>
    <x v="1"/>
    <x v="2"/>
  </r>
  <r>
    <n v="0"/>
    <x v="3"/>
    <n v="60000"/>
    <s v="White"/>
    <x v="1"/>
    <x v="2"/>
  </r>
  <r>
    <n v="40"/>
    <x v="3"/>
    <n v="60000"/>
    <s v="White"/>
    <x v="1"/>
    <x v="2"/>
  </r>
  <r>
    <n v="40"/>
    <x v="3"/>
    <n v="60000"/>
    <s v="White"/>
    <x v="1"/>
    <x v="2"/>
  </r>
  <r>
    <n v="40"/>
    <x v="3"/>
    <n v="60000"/>
    <s v="White"/>
    <x v="1"/>
    <x v="2"/>
  </r>
  <r>
    <n v="60"/>
    <x v="3"/>
    <n v="60000"/>
    <s v="White"/>
    <x v="1"/>
    <x v="2"/>
  </r>
  <r>
    <n v="60"/>
    <x v="3"/>
    <n v="60000"/>
    <s v="White"/>
    <x v="1"/>
    <x v="2"/>
  </r>
  <r>
    <n v="85"/>
    <x v="3"/>
    <n v="60000"/>
    <s v="White"/>
    <x v="1"/>
    <x v="2"/>
  </r>
  <r>
    <n v="60"/>
    <x v="3"/>
    <n v="60000"/>
    <s v="White"/>
    <x v="1"/>
    <x v="2"/>
  </r>
  <r>
    <n v="40"/>
    <x v="3"/>
    <n v="60000"/>
    <s v="White"/>
    <x v="1"/>
    <x v="2"/>
  </r>
  <r>
    <n v="40"/>
    <x v="3"/>
    <n v="60000"/>
    <s v="White"/>
    <x v="1"/>
    <x v="2"/>
  </r>
  <r>
    <n v="40"/>
    <x v="3"/>
    <n v="60000"/>
    <s v="White"/>
    <x v="0"/>
    <x v="2"/>
  </r>
  <r>
    <n v="60"/>
    <x v="3"/>
    <n v="60000"/>
    <s v="White"/>
    <x v="1"/>
    <x v="2"/>
  </r>
  <r>
    <n v="40"/>
    <x v="3"/>
    <n v="60000"/>
    <s v="White"/>
    <x v="1"/>
    <x v="2"/>
  </r>
  <r>
    <n v="40"/>
    <x v="3"/>
    <n v="60000"/>
    <s v="White"/>
    <x v="1"/>
    <x v="2"/>
  </r>
  <r>
    <n v="50"/>
    <x v="3"/>
    <n v="60838"/>
    <s v="White"/>
    <x v="0"/>
    <x v="2"/>
  </r>
  <r>
    <n v="40"/>
    <x v="3"/>
    <n v="61000"/>
    <s v="White"/>
    <x v="0"/>
    <x v="2"/>
  </r>
  <r>
    <n v="40"/>
    <x v="3"/>
    <n v="62000"/>
    <s v="White"/>
    <x v="1"/>
    <x v="2"/>
  </r>
  <r>
    <n v="48"/>
    <x v="3"/>
    <n v="62000"/>
    <s v="White"/>
    <x v="0"/>
    <x v="2"/>
  </r>
  <r>
    <n v="40"/>
    <x v="3"/>
    <n v="62000"/>
    <s v="White"/>
    <x v="1"/>
    <x v="2"/>
  </r>
  <r>
    <n v="82"/>
    <x v="3"/>
    <n v="62000"/>
    <s v="White"/>
    <x v="1"/>
    <x v="2"/>
  </r>
  <r>
    <n v="40"/>
    <x v="3"/>
    <n v="62000"/>
    <s v="White"/>
    <x v="1"/>
    <x v="2"/>
  </r>
  <r>
    <n v="50"/>
    <x v="3"/>
    <n v="62000"/>
    <s v="White"/>
    <x v="1"/>
    <x v="2"/>
  </r>
  <r>
    <n v="40"/>
    <x v="3"/>
    <n v="62000"/>
    <s v="White"/>
    <x v="1"/>
    <x v="2"/>
  </r>
  <r>
    <n v="40"/>
    <x v="3"/>
    <n v="62089"/>
    <s v="White"/>
    <x v="1"/>
    <x v="2"/>
  </r>
  <r>
    <n v="40"/>
    <x v="3"/>
    <n v="62365"/>
    <s v="White"/>
    <x v="1"/>
    <x v="2"/>
  </r>
  <r>
    <n v="45"/>
    <x v="3"/>
    <n v="62400"/>
    <s v="White"/>
    <x v="1"/>
    <x v="2"/>
  </r>
  <r>
    <n v="55"/>
    <x v="3"/>
    <n v="63000"/>
    <s v="White"/>
    <x v="0"/>
    <x v="2"/>
  </r>
  <r>
    <n v="45"/>
    <x v="3"/>
    <n v="63000"/>
    <s v="White"/>
    <x v="1"/>
    <x v="2"/>
  </r>
  <r>
    <n v="40"/>
    <x v="3"/>
    <n v="63000"/>
    <s v="White"/>
    <x v="0"/>
    <x v="2"/>
  </r>
  <r>
    <n v="40"/>
    <x v="3"/>
    <n v="63114"/>
    <s v="White"/>
    <x v="1"/>
    <x v="2"/>
  </r>
  <r>
    <n v="45"/>
    <x v="3"/>
    <n v="64500"/>
    <s v="White"/>
    <x v="1"/>
    <x v="2"/>
  </r>
  <r>
    <n v="37"/>
    <x v="3"/>
    <n v="65000"/>
    <s v="White"/>
    <x v="0"/>
    <x v="2"/>
  </r>
  <r>
    <n v="40"/>
    <x v="3"/>
    <n v="65000"/>
    <s v="White"/>
    <x v="1"/>
    <x v="2"/>
  </r>
  <r>
    <n v="55"/>
    <x v="3"/>
    <n v="65000"/>
    <s v="White"/>
    <x v="1"/>
    <x v="2"/>
  </r>
  <r>
    <n v="50"/>
    <x v="3"/>
    <n v="65000"/>
    <s v="White"/>
    <x v="1"/>
    <x v="2"/>
  </r>
  <r>
    <n v="40"/>
    <x v="3"/>
    <n v="65000"/>
    <s v="White"/>
    <x v="1"/>
    <x v="2"/>
  </r>
  <r>
    <n v="50"/>
    <x v="3"/>
    <n v="65000"/>
    <s v="White"/>
    <x v="1"/>
    <x v="2"/>
  </r>
  <r>
    <n v="40"/>
    <x v="3"/>
    <n v="65000"/>
    <s v="White"/>
    <x v="1"/>
    <x v="2"/>
  </r>
  <r>
    <n v="40"/>
    <x v="3"/>
    <n v="65000"/>
    <s v="White"/>
    <x v="1"/>
    <x v="2"/>
  </r>
  <r>
    <n v="75"/>
    <x v="3"/>
    <n v="65000"/>
    <s v="White"/>
    <x v="0"/>
    <x v="2"/>
  </r>
  <r>
    <n v="40"/>
    <x v="3"/>
    <n v="65000"/>
    <s v="White"/>
    <x v="1"/>
    <x v="2"/>
  </r>
  <r>
    <n v="55"/>
    <x v="3"/>
    <n v="65000"/>
    <s v="White"/>
    <x v="1"/>
    <x v="2"/>
  </r>
  <r>
    <n v="58"/>
    <x v="3"/>
    <n v="65000"/>
    <s v="White"/>
    <x v="1"/>
    <x v="2"/>
  </r>
  <r>
    <n v="45"/>
    <x v="3"/>
    <n v="65000"/>
    <s v="White"/>
    <x v="1"/>
    <x v="2"/>
  </r>
  <r>
    <n v="50"/>
    <x v="3"/>
    <n v="65000"/>
    <s v="White"/>
    <x v="1"/>
    <x v="2"/>
  </r>
  <r>
    <n v="50"/>
    <x v="3"/>
    <n v="65406"/>
    <s v="White"/>
    <x v="1"/>
    <x v="2"/>
  </r>
  <r>
    <n v="40"/>
    <x v="3"/>
    <n v="65625"/>
    <s v="White"/>
    <x v="1"/>
    <x v="2"/>
  </r>
  <r>
    <n v="40"/>
    <x v="3"/>
    <n v="65625"/>
    <s v="White"/>
    <x v="1"/>
    <x v="2"/>
  </r>
  <r>
    <n v="60"/>
    <x v="3"/>
    <n v="67000"/>
    <s v="White"/>
    <x v="1"/>
    <x v="2"/>
  </r>
  <r>
    <n v="55"/>
    <x v="3"/>
    <n v="68000"/>
    <s v="White"/>
    <x v="0"/>
    <x v="2"/>
  </r>
  <r>
    <n v="40"/>
    <x v="3"/>
    <n v="68000"/>
    <s v="White"/>
    <x v="1"/>
    <x v="2"/>
  </r>
  <r>
    <n v="45"/>
    <x v="3"/>
    <n v="69000"/>
    <s v="White"/>
    <x v="1"/>
    <x v="2"/>
  </r>
  <r>
    <n v="40"/>
    <x v="3"/>
    <n v="69000"/>
    <s v="White"/>
    <x v="1"/>
    <x v="2"/>
  </r>
  <r>
    <n v="50"/>
    <x v="3"/>
    <n v="69000"/>
    <s v="White"/>
    <x v="1"/>
    <x v="2"/>
  </r>
  <r>
    <n v="50"/>
    <x v="3"/>
    <n v="70000"/>
    <s v="White"/>
    <x v="1"/>
    <x v="2"/>
  </r>
  <r>
    <n v="40"/>
    <x v="3"/>
    <n v="70000"/>
    <s v="White"/>
    <x v="1"/>
    <x v="2"/>
  </r>
  <r>
    <n v="45"/>
    <x v="3"/>
    <n v="70000"/>
    <s v="White"/>
    <x v="1"/>
    <x v="2"/>
  </r>
  <r>
    <n v="40"/>
    <x v="3"/>
    <n v="70000"/>
    <s v="White"/>
    <x v="1"/>
    <x v="2"/>
  </r>
  <r>
    <n v="40"/>
    <x v="3"/>
    <n v="70000"/>
    <s v="White"/>
    <x v="1"/>
    <x v="2"/>
  </r>
  <r>
    <n v="55"/>
    <x v="3"/>
    <n v="70000"/>
    <s v="White"/>
    <x v="1"/>
    <x v="2"/>
  </r>
  <r>
    <n v="40"/>
    <x v="3"/>
    <n v="70000"/>
    <s v="White"/>
    <x v="1"/>
    <x v="2"/>
  </r>
  <r>
    <n v="40"/>
    <x v="3"/>
    <n v="70000"/>
    <s v="White"/>
    <x v="1"/>
    <x v="2"/>
  </r>
  <r>
    <n v="50"/>
    <x v="3"/>
    <n v="70000"/>
    <s v="White"/>
    <x v="1"/>
    <x v="2"/>
  </r>
  <r>
    <n v="40"/>
    <x v="3"/>
    <n v="70000"/>
    <s v="Black"/>
    <x v="0"/>
    <x v="2"/>
  </r>
  <r>
    <n v="60"/>
    <x v="3"/>
    <n v="70000"/>
    <s v="White"/>
    <x v="1"/>
    <x v="2"/>
  </r>
  <r>
    <n v="50"/>
    <x v="3"/>
    <n v="70000"/>
    <s v="White"/>
    <x v="1"/>
    <x v="2"/>
  </r>
  <r>
    <n v="45"/>
    <x v="3"/>
    <n v="70000"/>
    <s v="White"/>
    <x v="1"/>
    <x v="2"/>
  </r>
  <r>
    <n v="50"/>
    <x v="3"/>
    <n v="70000"/>
    <s v="White"/>
    <x v="1"/>
    <x v="2"/>
  </r>
  <r>
    <n v="40"/>
    <x v="3"/>
    <n v="72000"/>
    <s v="White"/>
    <x v="1"/>
    <x v="2"/>
  </r>
  <r>
    <n v="40"/>
    <x v="3"/>
    <n v="72000"/>
    <s v="White"/>
    <x v="1"/>
    <x v="2"/>
  </r>
  <r>
    <n v="40"/>
    <x v="3"/>
    <n v="72000"/>
    <s v="White"/>
    <x v="1"/>
    <x v="2"/>
  </r>
  <r>
    <n v="55"/>
    <x v="3"/>
    <n v="73000"/>
    <s v="White"/>
    <x v="1"/>
    <x v="2"/>
  </r>
  <r>
    <n v="45"/>
    <x v="3"/>
    <n v="73000"/>
    <s v="White"/>
    <x v="0"/>
    <x v="2"/>
  </r>
  <r>
    <n v="64"/>
    <x v="3"/>
    <n v="74546"/>
    <s v="White"/>
    <x v="1"/>
    <x v="2"/>
  </r>
  <r>
    <n v="40"/>
    <x v="3"/>
    <n v="75000"/>
    <s v="White"/>
    <x v="1"/>
    <x v="2"/>
  </r>
  <r>
    <n v="120"/>
    <x v="3"/>
    <n v="75000"/>
    <s v="White"/>
    <x v="1"/>
    <x v="2"/>
  </r>
  <r>
    <n v="40"/>
    <x v="3"/>
    <n v="75000"/>
    <s v="White"/>
    <x v="1"/>
    <x v="2"/>
  </r>
  <r>
    <n v="56"/>
    <x v="3"/>
    <n v="75000"/>
    <s v="White"/>
    <x v="1"/>
    <x v="2"/>
  </r>
  <r>
    <n v="40"/>
    <x v="3"/>
    <n v="75000"/>
    <s v="White"/>
    <x v="1"/>
    <x v="2"/>
  </r>
  <r>
    <n v="58"/>
    <x v="3"/>
    <n v="75000"/>
    <s v="White"/>
    <x v="1"/>
    <x v="2"/>
  </r>
  <r>
    <n v="40"/>
    <x v="3"/>
    <n v="75000"/>
    <s v="White"/>
    <x v="1"/>
    <x v="2"/>
  </r>
  <r>
    <n v="90"/>
    <x v="3"/>
    <n v="75000"/>
    <s v="White"/>
    <x v="1"/>
    <x v="2"/>
  </r>
  <r>
    <n v="50"/>
    <x v="3"/>
    <n v="75000"/>
    <s v="White"/>
    <x v="1"/>
    <x v="2"/>
  </r>
  <r>
    <n v="40"/>
    <x v="3"/>
    <n v="75583"/>
    <s v="White"/>
    <x v="0"/>
    <x v="2"/>
  </r>
  <r>
    <n v="48"/>
    <x v="3"/>
    <n v="76000"/>
    <s v="White"/>
    <x v="1"/>
    <x v="2"/>
  </r>
  <r>
    <n v="40"/>
    <x v="3"/>
    <n v="76000"/>
    <s v="White"/>
    <x v="1"/>
    <x v="2"/>
  </r>
  <r>
    <n v="50"/>
    <x v="3"/>
    <n v="78000"/>
    <s v="White"/>
    <x v="1"/>
    <x v="2"/>
  </r>
  <r>
    <n v="40"/>
    <x v="3"/>
    <n v="78000"/>
    <s v="White"/>
    <x v="0"/>
    <x v="2"/>
  </r>
  <r>
    <n v="56"/>
    <x v="3"/>
    <n v="79000"/>
    <s v="White"/>
    <x v="1"/>
    <x v="2"/>
  </r>
  <r>
    <n v="0"/>
    <x v="3"/>
    <n v="80000"/>
    <s v="White"/>
    <x v="1"/>
    <x v="2"/>
  </r>
  <r>
    <n v="40"/>
    <x v="3"/>
    <n v="80000"/>
    <s v="White"/>
    <x v="1"/>
    <x v="2"/>
  </r>
  <r>
    <n v="40"/>
    <x v="3"/>
    <n v="80000"/>
    <s v="AsianPI"/>
    <x v="1"/>
    <x v="2"/>
  </r>
  <r>
    <n v="62"/>
    <x v="3"/>
    <n v="80000"/>
    <s v="White"/>
    <x v="1"/>
    <x v="2"/>
  </r>
  <r>
    <n v="40"/>
    <x v="3"/>
    <n v="80000"/>
    <s v="White"/>
    <x v="1"/>
    <x v="2"/>
  </r>
  <r>
    <n v="60"/>
    <x v="3"/>
    <n v="80000"/>
    <s v="White"/>
    <x v="1"/>
    <x v="2"/>
  </r>
  <r>
    <n v="40"/>
    <x v="3"/>
    <n v="80000"/>
    <s v="White"/>
    <x v="1"/>
    <x v="2"/>
  </r>
  <r>
    <n v="40"/>
    <x v="3"/>
    <n v="80000"/>
    <s v="White"/>
    <x v="1"/>
    <x v="2"/>
  </r>
  <r>
    <n v="60"/>
    <x v="3"/>
    <n v="81000"/>
    <s v="White"/>
    <x v="1"/>
    <x v="2"/>
  </r>
  <r>
    <n v="0"/>
    <x v="3"/>
    <n v="81400"/>
    <s v="White"/>
    <x v="1"/>
    <x v="2"/>
  </r>
  <r>
    <n v="82"/>
    <x v="3"/>
    <n v="83000"/>
    <s v="White"/>
    <x v="1"/>
    <x v="2"/>
  </r>
  <r>
    <n v="50"/>
    <x v="3"/>
    <n v="84000"/>
    <s v="White"/>
    <x v="1"/>
    <x v="2"/>
  </r>
  <r>
    <n v="75"/>
    <x v="3"/>
    <n v="84925"/>
    <s v="White"/>
    <x v="1"/>
    <x v="2"/>
  </r>
  <r>
    <n v="65"/>
    <x v="3"/>
    <n v="85000"/>
    <s v="White"/>
    <x v="0"/>
    <x v="2"/>
  </r>
  <r>
    <n v="40"/>
    <x v="3"/>
    <n v="85000"/>
    <s v="White"/>
    <x v="1"/>
    <x v="2"/>
  </r>
  <r>
    <n v="65"/>
    <x v="3"/>
    <n v="85000"/>
    <s v="White"/>
    <x v="0"/>
    <x v="2"/>
  </r>
  <r>
    <n v="48"/>
    <x v="3"/>
    <n v="86000"/>
    <s v="Black"/>
    <x v="1"/>
    <x v="2"/>
  </r>
  <r>
    <n v="50"/>
    <x v="3"/>
    <n v="88000"/>
    <s v="White"/>
    <x v="1"/>
    <x v="2"/>
  </r>
  <r>
    <n v="55"/>
    <x v="3"/>
    <n v="88000"/>
    <s v="White"/>
    <x v="1"/>
    <x v="2"/>
  </r>
  <r>
    <n v="0"/>
    <x v="3"/>
    <n v="89925"/>
    <s v="White"/>
    <x v="1"/>
    <x v="2"/>
  </r>
  <r>
    <n v="80"/>
    <x v="3"/>
    <n v="89925"/>
    <s v="White"/>
    <x v="1"/>
    <x v="2"/>
  </r>
  <r>
    <n v="50"/>
    <x v="3"/>
    <n v="89925"/>
    <s v="White"/>
    <x v="1"/>
    <x v="2"/>
  </r>
  <r>
    <n v="60"/>
    <x v="3"/>
    <n v="91000"/>
    <s v="White"/>
    <x v="0"/>
    <x v="2"/>
  </r>
  <r>
    <n v="65"/>
    <x v="3"/>
    <n v="95000"/>
    <s v="White"/>
    <x v="1"/>
    <x v="2"/>
  </r>
  <r>
    <n v="46"/>
    <x v="3"/>
    <n v="97000"/>
    <s v="White"/>
    <x v="1"/>
    <x v="2"/>
  </r>
  <r>
    <n v="50"/>
    <x v="3"/>
    <n v="97000"/>
    <s v="White"/>
    <x v="0"/>
    <x v="2"/>
  </r>
  <r>
    <n v="40"/>
    <x v="3"/>
    <n v="98000"/>
    <s v="White"/>
    <x v="1"/>
    <x v="2"/>
  </r>
  <r>
    <n v="40"/>
    <x v="3"/>
    <n v="99000"/>
    <s v="White"/>
    <x v="1"/>
    <x v="2"/>
  </r>
  <r>
    <n v="0"/>
    <x v="3"/>
    <n v="99925"/>
    <s v="White"/>
    <x v="1"/>
    <x v="2"/>
  </r>
  <r>
    <n v="0"/>
    <x v="3"/>
    <n v="100000"/>
    <s v="White"/>
    <x v="1"/>
    <x v="2"/>
  </r>
  <r>
    <n v="40"/>
    <x v="3"/>
    <n v="100000"/>
    <s v="Black"/>
    <x v="0"/>
    <x v="2"/>
  </r>
  <r>
    <n v="40"/>
    <x v="3"/>
    <n v="100000"/>
    <s v="White"/>
    <x v="1"/>
    <x v="2"/>
  </r>
  <r>
    <n v="78"/>
    <x v="3"/>
    <n v="100000"/>
    <s v="White"/>
    <x v="1"/>
    <x v="2"/>
  </r>
  <r>
    <n v="55"/>
    <x v="3"/>
    <n v="100000"/>
    <s v="White"/>
    <x v="1"/>
    <x v="2"/>
  </r>
  <r>
    <n v="45"/>
    <x v="3"/>
    <n v="100406"/>
    <s v="White"/>
    <x v="1"/>
    <x v="2"/>
  </r>
  <r>
    <n v="55"/>
    <x v="3"/>
    <n v="107665"/>
    <s v="White"/>
    <x v="1"/>
    <x v="2"/>
  </r>
  <r>
    <n v="62"/>
    <x v="3"/>
    <n v="107828"/>
    <s v="White"/>
    <x v="1"/>
    <x v="2"/>
  </r>
  <r>
    <n v="70"/>
    <x v="3"/>
    <n v="108600"/>
    <s v="White"/>
    <x v="1"/>
    <x v="2"/>
  </r>
  <r>
    <n v="40"/>
    <x v="3"/>
    <n v="109925"/>
    <s v="White"/>
    <x v="1"/>
    <x v="2"/>
  </r>
  <r>
    <n v="40"/>
    <x v="3"/>
    <n v="109925"/>
    <s v="White"/>
    <x v="1"/>
    <x v="2"/>
  </r>
  <r>
    <n v="48"/>
    <x v="3"/>
    <n v="110005"/>
    <s v="Black"/>
    <x v="0"/>
    <x v="2"/>
  </r>
  <r>
    <n v="40"/>
    <x v="3"/>
    <n v="120000"/>
    <s v="White"/>
    <x v="1"/>
    <x v="2"/>
  </r>
  <r>
    <n v="65"/>
    <x v="3"/>
    <n v="129000"/>
    <s v="White"/>
    <x v="1"/>
    <x v="2"/>
  </r>
  <r>
    <n v="45"/>
    <x v="3"/>
    <n v="130000"/>
    <s v="Black"/>
    <x v="1"/>
    <x v="2"/>
  </r>
  <r>
    <n v="40"/>
    <x v="3"/>
    <n v="135000"/>
    <s v="White"/>
    <x v="1"/>
    <x v="2"/>
  </r>
  <r>
    <n v="0"/>
    <x v="3"/>
    <n v="140000"/>
    <s v="White"/>
    <x v="0"/>
    <x v="2"/>
  </r>
  <r>
    <n v="60"/>
    <x v="3"/>
    <n v="150000"/>
    <s v="White"/>
    <x v="1"/>
    <x v="2"/>
  </r>
  <r>
    <n v="40"/>
    <x v="3"/>
    <n v="150000"/>
    <s v="White"/>
    <x v="1"/>
    <x v="2"/>
  </r>
  <r>
    <n v="0"/>
    <x v="3"/>
    <n v="150000"/>
    <s v="White"/>
    <x v="1"/>
    <x v="2"/>
  </r>
  <r>
    <n v="50"/>
    <x v="3"/>
    <n v="306731"/>
    <s v="White"/>
    <x v="1"/>
    <x v="2"/>
  </r>
  <r>
    <n v="50"/>
    <x v="3"/>
    <n v="306731"/>
    <s v="White"/>
    <x v="1"/>
    <x v="2"/>
  </r>
  <r>
    <n v="40"/>
    <x v="3"/>
    <n v="306731"/>
    <s v="White"/>
    <x v="1"/>
    <x v="2"/>
  </r>
  <r>
    <n v="60"/>
    <x v="3"/>
    <n v="306731"/>
    <s v="White"/>
    <x v="1"/>
    <x v="2"/>
  </r>
  <r>
    <n v="40"/>
    <x v="3"/>
    <n v="315731"/>
    <s v="White"/>
    <x v="1"/>
    <x v="2"/>
  </r>
  <r>
    <n v="48"/>
    <x v="3"/>
    <n v="390510"/>
    <s v="White"/>
    <x v="0"/>
    <x v="2"/>
  </r>
  <r>
    <n v="55"/>
    <x v="3"/>
    <n v="402204"/>
    <s v="White"/>
    <x v="0"/>
    <x v="2"/>
  </r>
  <r>
    <n v="40"/>
    <x v="4"/>
    <n v="135"/>
    <s v="White"/>
    <x v="1"/>
    <x v="3"/>
  </r>
  <r>
    <n v="60"/>
    <x v="4"/>
    <n v="300"/>
    <s v="White"/>
    <x v="1"/>
    <x v="3"/>
  </r>
  <r>
    <n v="40"/>
    <x v="4"/>
    <n v="400"/>
    <s v="Black"/>
    <x v="1"/>
    <x v="3"/>
  </r>
  <r>
    <n v="40"/>
    <x v="4"/>
    <n v="480"/>
    <s v="Black"/>
    <x v="0"/>
    <x v="3"/>
  </r>
  <r>
    <n v="50"/>
    <x v="4"/>
    <n v="500"/>
    <s v="White"/>
    <x v="1"/>
    <x v="3"/>
  </r>
  <r>
    <n v="50"/>
    <x v="4"/>
    <n v="720"/>
    <s v="Black"/>
    <x v="0"/>
    <x v="3"/>
  </r>
  <r>
    <n v="0"/>
    <x v="4"/>
    <n v="720"/>
    <s v="White"/>
    <x v="0"/>
    <x v="3"/>
  </r>
  <r>
    <n v="40"/>
    <x v="4"/>
    <n v="1000"/>
    <s v="White"/>
    <x v="0"/>
    <x v="3"/>
  </r>
  <r>
    <n v="40"/>
    <x v="4"/>
    <n v="1100"/>
    <s v="White"/>
    <x v="0"/>
    <x v="3"/>
  </r>
  <r>
    <n v="40"/>
    <x v="4"/>
    <n v="1100"/>
    <s v="White"/>
    <x v="0"/>
    <x v="3"/>
  </r>
  <r>
    <n v="50"/>
    <x v="4"/>
    <n v="1239"/>
    <s v="White"/>
    <x v="1"/>
    <x v="3"/>
  </r>
  <r>
    <n v="40"/>
    <x v="4"/>
    <n v="1300"/>
    <s v="White"/>
    <x v="0"/>
    <x v="3"/>
  </r>
  <r>
    <n v="40"/>
    <x v="4"/>
    <n v="1395"/>
    <s v="White"/>
    <x v="0"/>
    <x v="3"/>
  </r>
  <r>
    <n v="40"/>
    <x v="4"/>
    <n v="1500"/>
    <s v="Black"/>
    <x v="1"/>
    <x v="3"/>
  </r>
  <r>
    <n v="40"/>
    <x v="4"/>
    <n v="1600"/>
    <s v="White"/>
    <x v="0"/>
    <x v="3"/>
  </r>
  <r>
    <n v="40"/>
    <x v="4"/>
    <n v="1600"/>
    <s v="Black"/>
    <x v="0"/>
    <x v="3"/>
  </r>
  <r>
    <n v="40"/>
    <x v="4"/>
    <n v="2000"/>
    <s v="White"/>
    <x v="0"/>
    <x v="3"/>
  </r>
  <r>
    <n v="65"/>
    <x v="4"/>
    <n v="2000"/>
    <s v="AsianPI"/>
    <x v="0"/>
    <x v="3"/>
  </r>
  <r>
    <n v="40"/>
    <x v="4"/>
    <n v="2060"/>
    <s v="White"/>
    <x v="0"/>
    <x v="3"/>
  </r>
  <r>
    <n v="45"/>
    <x v="4"/>
    <n v="2242"/>
    <s v="White"/>
    <x v="0"/>
    <x v="3"/>
  </r>
  <r>
    <n v="40"/>
    <x v="4"/>
    <n v="2400"/>
    <s v="White"/>
    <x v="0"/>
    <x v="3"/>
  </r>
  <r>
    <n v="40"/>
    <x v="4"/>
    <n v="2500"/>
    <s v="White"/>
    <x v="1"/>
    <x v="3"/>
  </r>
  <r>
    <n v="40"/>
    <x v="4"/>
    <n v="2500"/>
    <s v="White"/>
    <x v="1"/>
    <x v="3"/>
  </r>
  <r>
    <n v="40"/>
    <x v="4"/>
    <n v="2600"/>
    <s v="White"/>
    <x v="0"/>
    <x v="3"/>
  </r>
  <r>
    <n v="40"/>
    <x v="4"/>
    <n v="2600"/>
    <s v="Black"/>
    <x v="1"/>
    <x v="3"/>
  </r>
  <r>
    <n v="55"/>
    <x v="4"/>
    <n v="2750"/>
    <s v="White"/>
    <x v="1"/>
    <x v="3"/>
  </r>
  <r>
    <n v="40"/>
    <x v="4"/>
    <n v="2900"/>
    <s v="White"/>
    <x v="0"/>
    <x v="3"/>
  </r>
  <r>
    <n v="40"/>
    <x v="4"/>
    <n v="3000"/>
    <s v="White"/>
    <x v="1"/>
    <x v="3"/>
  </r>
  <r>
    <n v="40"/>
    <x v="4"/>
    <n v="3000"/>
    <s v="White"/>
    <x v="0"/>
    <x v="3"/>
  </r>
  <r>
    <n v="40"/>
    <x v="4"/>
    <n v="3000"/>
    <s v="AsianPI"/>
    <x v="0"/>
    <x v="3"/>
  </r>
  <r>
    <n v="40"/>
    <x v="4"/>
    <n v="3000"/>
    <s v="White"/>
    <x v="1"/>
    <x v="3"/>
  </r>
  <r>
    <n v="40"/>
    <x v="4"/>
    <n v="3000"/>
    <s v="White"/>
    <x v="0"/>
    <x v="3"/>
  </r>
  <r>
    <n v="35"/>
    <x v="4"/>
    <n v="3000"/>
    <s v="White"/>
    <x v="1"/>
    <x v="3"/>
  </r>
  <r>
    <n v="39"/>
    <x v="4"/>
    <n v="3000"/>
    <s v="White"/>
    <x v="0"/>
    <x v="3"/>
  </r>
  <r>
    <n v="40"/>
    <x v="4"/>
    <n v="3000"/>
    <s v="White"/>
    <x v="0"/>
    <x v="3"/>
  </r>
  <r>
    <n v="40"/>
    <x v="4"/>
    <n v="3162"/>
    <s v="White"/>
    <x v="0"/>
    <x v="3"/>
  </r>
  <r>
    <n v="40"/>
    <x v="4"/>
    <n v="3168"/>
    <s v="White"/>
    <x v="0"/>
    <x v="3"/>
  </r>
  <r>
    <n v="74"/>
    <x v="4"/>
    <n v="3200"/>
    <s v="White"/>
    <x v="0"/>
    <x v="3"/>
  </r>
  <r>
    <n v="54"/>
    <x v="4"/>
    <n v="3337"/>
    <s v="White"/>
    <x v="0"/>
    <x v="3"/>
  </r>
  <r>
    <n v="40"/>
    <x v="4"/>
    <n v="3500"/>
    <s v="White"/>
    <x v="0"/>
    <x v="3"/>
  </r>
  <r>
    <n v="40"/>
    <x v="4"/>
    <n v="3500"/>
    <s v="White"/>
    <x v="0"/>
    <x v="3"/>
  </r>
  <r>
    <n v="40"/>
    <x v="4"/>
    <n v="3500"/>
    <s v="White"/>
    <x v="0"/>
    <x v="3"/>
  </r>
  <r>
    <n v="40"/>
    <x v="4"/>
    <n v="3600"/>
    <s v="White"/>
    <x v="0"/>
    <x v="3"/>
  </r>
  <r>
    <n v="48"/>
    <x v="4"/>
    <n v="4000"/>
    <s v="White"/>
    <x v="1"/>
    <x v="3"/>
  </r>
  <r>
    <n v="40"/>
    <x v="4"/>
    <n v="4000"/>
    <s v="Black"/>
    <x v="0"/>
    <x v="3"/>
  </r>
  <r>
    <n v="0"/>
    <x v="4"/>
    <n v="4000"/>
    <s v="Black"/>
    <x v="0"/>
    <x v="3"/>
  </r>
  <r>
    <n v="40"/>
    <x v="4"/>
    <n v="4000"/>
    <s v="White"/>
    <x v="1"/>
    <x v="3"/>
  </r>
  <r>
    <n v="35"/>
    <x v="4"/>
    <n v="4073"/>
    <s v="White"/>
    <x v="1"/>
    <x v="3"/>
  </r>
  <r>
    <n v="40"/>
    <x v="4"/>
    <n v="4200"/>
    <s v="White"/>
    <x v="0"/>
    <x v="3"/>
  </r>
  <r>
    <n v="36"/>
    <x v="4"/>
    <n v="4300"/>
    <s v="Black"/>
    <x v="0"/>
    <x v="3"/>
  </r>
  <r>
    <n v="40"/>
    <x v="4"/>
    <n v="4480"/>
    <s v="White"/>
    <x v="1"/>
    <x v="3"/>
  </r>
  <r>
    <n v="37"/>
    <x v="4"/>
    <n v="4500"/>
    <s v="White"/>
    <x v="0"/>
    <x v="3"/>
  </r>
  <r>
    <n v="40"/>
    <x v="4"/>
    <n v="4753"/>
    <s v="White"/>
    <x v="1"/>
    <x v="3"/>
  </r>
  <r>
    <n v="40"/>
    <x v="4"/>
    <n v="4900"/>
    <s v="White"/>
    <x v="0"/>
    <x v="3"/>
  </r>
  <r>
    <n v="40"/>
    <x v="4"/>
    <n v="4914"/>
    <s v="White"/>
    <x v="0"/>
    <x v="3"/>
  </r>
  <r>
    <n v="35"/>
    <x v="4"/>
    <n v="4990"/>
    <s v="White"/>
    <x v="0"/>
    <x v="3"/>
  </r>
  <r>
    <n v="40"/>
    <x v="4"/>
    <n v="5000"/>
    <s v="White"/>
    <x v="0"/>
    <x v="3"/>
  </r>
  <r>
    <n v="0"/>
    <x v="4"/>
    <n v="5000"/>
    <s v="White"/>
    <x v="1"/>
    <x v="3"/>
  </r>
  <r>
    <n v="52"/>
    <x v="4"/>
    <n v="5000"/>
    <s v="White"/>
    <x v="0"/>
    <x v="3"/>
  </r>
  <r>
    <n v="48"/>
    <x v="4"/>
    <n v="5000"/>
    <s v="White"/>
    <x v="0"/>
    <x v="3"/>
  </r>
  <r>
    <n v="35"/>
    <x v="4"/>
    <n v="5000"/>
    <s v="Black"/>
    <x v="0"/>
    <x v="3"/>
  </r>
  <r>
    <n v="40"/>
    <x v="4"/>
    <n v="5000"/>
    <s v="IndEsk"/>
    <x v="1"/>
    <x v="3"/>
  </r>
  <r>
    <n v="40"/>
    <x v="4"/>
    <n v="5120"/>
    <s v="White"/>
    <x v="1"/>
    <x v="3"/>
  </r>
  <r>
    <n v="0"/>
    <x v="4"/>
    <n v="5200"/>
    <s v="White"/>
    <x v="1"/>
    <x v="3"/>
  </r>
  <r>
    <n v="40"/>
    <x v="4"/>
    <n v="5300"/>
    <s v="Black"/>
    <x v="1"/>
    <x v="3"/>
  </r>
  <r>
    <n v="40"/>
    <x v="4"/>
    <n v="5400"/>
    <s v="White"/>
    <x v="1"/>
    <x v="3"/>
  </r>
  <r>
    <n v="38"/>
    <x v="4"/>
    <n v="5498"/>
    <s v="White"/>
    <x v="0"/>
    <x v="3"/>
  </r>
  <r>
    <n v="0"/>
    <x v="4"/>
    <n v="5500"/>
    <s v="White"/>
    <x v="0"/>
    <x v="3"/>
  </r>
  <r>
    <n v="40"/>
    <x v="4"/>
    <n v="5600"/>
    <s v="White"/>
    <x v="1"/>
    <x v="3"/>
  </r>
  <r>
    <n v="40"/>
    <x v="4"/>
    <n v="5700"/>
    <s v="White"/>
    <x v="1"/>
    <x v="3"/>
  </r>
  <r>
    <n v="40"/>
    <x v="4"/>
    <n v="5850"/>
    <s v="White"/>
    <x v="0"/>
    <x v="3"/>
  </r>
  <r>
    <n v="0"/>
    <x v="4"/>
    <n v="5945"/>
    <s v="White"/>
    <x v="0"/>
    <x v="3"/>
  </r>
  <r>
    <n v="36"/>
    <x v="4"/>
    <n v="6000"/>
    <s v="White"/>
    <x v="1"/>
    <x v="3"/>
  </r>
  <r>
    <n v="35"/>
    <x v="4"/>
    <n v="6000"/>
    <s v="White"/>
    <x v="0"/>
    <x v="3"/>
  </r>
  <r>
    <n v="55"/>
    <x v="4"/>
    <n v="6000"/>
    <s v="White"/>
    <x v="1"/>
    <x v="3"/>
  </r>
  <r>
    <n v="40"/>
    <x v="4"/>
    <n v="6000"/>
    <s v="White"/>
    <x v="1"/>
    <x v="3"/>
  </r>
  <r>
    <n v="40"/>
    <x v="4"/>
    <n v="6000"/>
    <s v="White"/>
    <x v="1"/>
    <x v="3"/>
  </r>
  <r>
    <n v="40"/>
    <x v="4"/>
    <n v="6000"/>
    <s v="White"/>
    <x v="1"/>
    <x v="3"/>
  </r>
  <r>
    <n v="40"/>
    <x v="4"/>
    <n v="6000"/>
    <s v="White"/>
    <x v="1"/>
    <x v="3"/>
  </r>
  <r>
    <n v="40"/>
    <x v="4"/>
    <n v="6000"/>
    <s v="Black"/>
    <x v="1"/>
    <x v="3"/>
  </r>
  <r>
    <n v="40"/>
    <x v="4"/>
    <n v="6000"/>
    <s v="Black"/>
    <x v="0"/>
    <x v="3"/>
  </r>
  <r>
    <n v="40"/>
    <x v="4"/>
    <n v="6000"/>
    <s v="White"/>
    <x v="0"/>
    <x v="3"/>
  </r>
  <r>
    <n v="40"/>
    <x v="4"/>
    <n v="6000"/>
    <s v="White"/>
    <x v="1"/>
    <x v="3"/>
  </r>
  <r>
    <n v="40"/>
    <x v="4"/>
    <n v="6000"/>
    <s v="White"/>
    <x v="0"/>
    <x v="3"/>
  </r>
  <r>
    <n v="55"/>
    <x v="4"/>
    <n v="6000"/>
    <s v="White"/>
    <x v="1"/>
    <x v="3"/>
  </r>
  <r>
    <n v="40"/>
    <x v="4"/>
    <n v="6000"/>
    <s v="White"/>
    <x v="1"/>
    <x v="3"/>
  </r>
  <r>
    <n v="45"/>
    <x v="4"/>
    <n v="6000"/>
    <s v="White"/>
    <x v="1"/>
    <x v="3"/>
  </r>
  <r>
    <n v="0"/>
    <x v="4"/>
    <n v="6000"/>
    <s v="White"/>
    <x v="0"/>
    <x v="3"/>
  </r>
  <r>
    <n v="40"/>
    <x v="4"/>
    <n v="6000"/>
    <s v="White"/>
    <x v="1"/>
    <x v="3"/>
  </r>
  <r>
    <n v="55"/>
    <x v="4"/>
    <n v="6200"/>
    <s v="White"/>
    <x v="1"/>
    <x v="3"/>
  </r>
  <r>
    <n v="40"/>
    <x v="4"/>
    <n v="6300"/>
    <s v="White"/>
    <x v="0"/>
    <x v="3"/>
  </r>
  <r>
    <n v="40"/>
    <x v="4"/>
    <n v="6300"/>
    <s v="White"/>
    <x v="1"/>
    <x v="3"/>
  </r>
  <r>
    <n v="40"/>
    <x v="4"/>
    <n v="6580"/>
    <s v="White"/>
    <x v="1"/>
    <x v="3"/>
  </r>
  <r>
    <n v="40"/>
    <x v="4"/>
    <n v="6600"/>
    <s v="White"/>
    <x v="1"/>
    <x v="3"/>
  </r>
  <r>
    <n v="40"/>
    <x v="4"/>
    <n v="6659"/>
    <s v="White"/>
    <x v="0"/>
    <x v="3"/>
  </r>
  <r>
    <n v="100"/>
    <x v="4"/>
    <n v="6665"/>
    <s v="White"/>
    <x v="0"/>
    <x v="3"/>
  </r>
  <r>
    <n v="50"/>
    <x v="4"/>
    <n v="7000"/>
    <s v="White"/>
    <x v="0"/>
    <x v="3"/>
  </r>
  <r>
    <n v="40"/>
    <x v="4"/>
    <n v="7000"/>
    <s v="White"/>
    <x v="1"/>
    <x v="3"/>
  </r>
  <r>
    <n v="40"/>
    <x v="4"/>
    <n v="7000"/>
    <s v="White"/>
    <x v="0"/>
    <x v="3"/>
  </r>
  <r>
    <n v="35"/>
    <x v="4"/>
    <n v="7000"/>
    <s v="Black"/>
    <x v="0"/>
    <x v="3"/>
  </r>
  <r>
    <n v="75"/>
    <x v="4"/>
    <n v="7200"/>
    <s v="White"/>
    <x v="1"/>
    <x v="3"/>
  </r>
  <r>
    <n v="40"/>
    <x v="4"/>
    <n v="7367"/>
    <s v="White"/>
    <x v="1"/>
    <x v="3"/>
  </r>
  <r>
    <n v="40"/>
    <x v="4"/>
    <n v="7480"/>
    <s v="White"/>
    <x v="1"/>
    <x v="3"/>
  </r>
  <r>
    <n v="40"/>
    <x v="4"/>
    <n v="7500"/>
    <s v="White"/>
    <x v="1"/>
    <x v="3"/>
  </r>
  <r>
    <n v="45"/>
    <x v="4"/>
    <n v="7500"/>
    <s v="White"/>
    <x v="0"/>
    <x v="3"/>
  </r>
  <r>
    <n v="36"/>
    <x v="4"/>
    <n v="7500"/>
    <s v="White"/>
    <x v="0"/>
    <x v="3"/>
  </r>
  <r>
    <n v="50"/>
    <x v="4"/>
    <n v="7500"/>
    <s v="White"/>
    <x v="0"/>
    <x v="3"/>
  </r>
  <r>
    <n v="0"/>
    <x v="4"/>
    <n v="7589"/>
    <s v="White"/>
    <x v="1"/>
    <x v="3"/>
  </r>
  <r>
    <n v="40"/>
    <x v="4"/>
    <n v="7589"/>
    <s v="White"/>
    <x v="1"/>
    <x v="3"/>
  </r>
  <r>
    <n v="40"/>
    <x v="4"/>
    <n v="7700"/>
    <s v="White"/>
    <x v="0"/>
    <x v="3"/>
  </r>
  <r>
    <n v="40"/>
    <x v="4"/>
    <n v="7700"/>
    <s v="White"/>
    <x v="0"/>
    <x v="3"/>
  </r>
  <r>
    <n v="40"/>
    <x v="4"/>
    <n v="7800"/>
    <s v="White"/>
    <x v="0"/>
    <x v="3"/>
  </r>
  <r>
    <n v="40"/>
    <x v="4"/>
    <n v="7800"/>
    <s v="Black"/>
    <x v="1"/>
    <x v="3"/>
  </r>
  <r>
    <n v="40"/>
    <x v="4"/>
    <n v="8000"/>
    <s v="White"/>
    <x v="0"/>
    <x v="3"/>
  </r>
  <r>
    <n v="40"/>
    <x v="4"/>
    <n v="8000"/>
    <s v="White"/>
    <x v="1"/>
    <x v="3"/>
  </r>
  <r>
    <n v="36"/>
    <x v="4"/>
    <n v="8000"/>
    <s v="White"/>
    <x v="0"/>
    <x v="3"/>
  </r>
  <r>
    <n v="36"/>
    <x v="4"/>
    <n v="8000"/>
    <s v="White"/>
    <x v="1"/>
    <x v="3"/>
  </r>
  <r>
    <n v="45"/>
    <x v="4"/>
    <n v="8000"/>
    <s v="White"/>
    <x v="0"/>
    <x v="3"/>
  </r>
  <r>
    <n v="35"/>
    <x v="4"/>
    <n v="8000"/>
    <s v="Black"/>
    <x v="0"/>
    <x v="3"/>
  </r>
  <r>
    <n v="40"/>
    <x v="4"/>
    <n v="8000"/>
    <s v="White"/>
    <x v="0"/>
    <x v="3"/>
  </r>
  <r>
    <n v="0"/>
    <x v="4"/>
    <n v="8000"/>
    <s v="White"/>
    <x v="0"/>
    <x v="3"/>
  </r>
  <r>
    <n v="40"/>
    <x v="4"/>
    <n v="8000"/>
    <s v="White"/>
    <x v="1"/>
    <x v="3"/>
  </r>
  <r>
    <n v="40"/>
    <x v="4"/>
    <n v="8000"/>
    <s v="White"/>
    <x v="1"/>
    <x v="3"/>
  </r>
  <r>
    <n v="40"/>
    <x v="4"/>
    <n v="8000"/>
    <s v="Black"/>
    <x v="0"/>
    <x v="3"/>
  </r>
  <r>
    <n v="40"/>
    <x v="4"/>
    <n v="8000"/>
    <s v="Black"/>
    <x v="0"/>
    <x v="3"/>
  </r>
  <r>
    <n v="40"/>
    <x v="4"/>
    <n v="8000"/>
    <s v="White"/>
    <x v="0"/>
    <x v="3"/>
  </r>
  <r>
    <n v="40"/>
    <x v="4"/>
    <n v="8000"/>
    <s v="White"/>
    <x v="0"/>
    <x v="3"/>
  </r>
  <r>
    <n v="35"/>
    <x v="4"/>
    <n v="8000"/>
    <s v="White"/>
    <x v="0"/>
    <x v="3"/>
  </r>
  <r>
    <n v="44"/>
    <x v="4"/>
    <n v="8000"/>
    <s v="White"/>
    <x v="1"/>
    <x v="3"/>
  </r>
  <r>
    <n v="40"/>
    <x v="4"/>
    <n v="8000"/>
    <s v="White"/>
    <x v="1"/>
    <x v="3"/>
  </r>
  <r>
    <n v="40"/>
    <x v="4"/>
    <n v="8000"/>
    <s v="White"/>
    <x v="1"/>
    <x v="3"/>
  </r>
  <r>
    <n v="0"/>
    <x v="4"/>
    <n v="8000"/>
    <s v="White"/>
    <x v="1"/>
    <x v="3"/>
  </r>
  <r>
    <n v="35"/>
    <x v="4"/>
    <n v="8000"/>
    <s v="White"/>
    <x v="0"/>
    <x v="3"/>
  </r>
  <r>
    <n v="45"/>
    <x v="4"/>
    <n v="8100"/>
    <s v="White"/>
    <x v="0"/>
    <x v="3"/>
  </r>
  <r>
    <n v="40"/>
    <x v="4"/>
    <n v="8160"/>
    <s v="White"/>
    <x v="1"/>
    <x v="3"/>
  </r>
  <r>
    <n v="38"/>
    <x v="4"/>
    <n v="8274"/>
    <s v="White"/>
    <x v="1"/>
    <x v="3"/>
  </r>
  <r>
    <n v="40"/>
    <x v="4"/>
    <n v="8280"/>
    <s v="White"/>
    <x v="0"/>
    <x v="3"/>
  </r>
  <r>
    <n v="50"/>
    <x v="4"/>
    <n v="8300"/>
    <s v="White"/>
    <x v="0"/>
    <x v="3"/>
  </r>
  <r>
    <n v="40"/>
    <x v="4"/>
    <n v="8400"/>
    <s v="White"/>
    <x v="1"/>
    <x v="3"/>
  </r>
  <r>
    <n v="0"/>
    <x v="4"/>
    <n v="8500"/>
    <s v="White"/>
    <x v="0"/>
    <x v="3"/>
  </r>
  <r>
    <n v="40"/>
    <x v="4"/>
    <n v="8500"/>
    <s v="White"/>
    <x v="0"/>
    <x v="3"/>
  </r>
  <r>
    <n v="0"/>
    <x v="4"/>
    <n v="8500"/>
    <s v="Black"/>
    <x v="0"/>
    <x v="3"/>
  </r>
  <r>
    <n v="40"/>
    <x v="4"/>
    <n v="8700"/>
    <s v="White"/>
    <x v="0"/>
    <x v="3"/>
  </r>
  <r>
    <n v="35"/>
    <x v="4"/>
    <n v="8736"/>
    <s v="Black"/>
    <x v="0"/>
    <x v="3"/>
  </r>
  <r>
    <n v="40"/>
    <x v="4"/>
    <n v="8818"/>
    <s v="White"/>
    <x v="1"/>
    <x v="3"/>
  </r>
  <r>
    <n v="40"/>
    <x v="4"/>
    <n v="9000"/>
    <s v="White"/>
    <x v="0"/>
    <x v="3"/>
  </r>
  <r>
    <n v="40"/>
    <x v="4"/>
    <n v="9000"/>
    <s v="White"/>
    <x v="1"/>
    <x v="3"/>
  </r>
  <r>
    <n v="75"/>
    <x v="4"/>
    <n v="9000"/>
    <s v="White"/>
    <x v="0"/>
    <x v="3"/>
  </r>
  <r>
    <n v="40"/>
    <x v="4"/>
    <n v="9000"/>
    <s v="White"/>
    <x v="0"/>
    <x v="3"/>
  </r>
  <r>
    <n v="44"/>
    <x v="4"/>
    <n v="9000"/>
    <s v="White"/>
    <x v="1"/>
    <x v="3"/>
  </r>
  <r>
    <n v="40"/>
    <x v="4"/>
    <n v="9000"/>
    <s v="White"/>
    <x v="1"/>
    <x v="3"/>
  </r>
  <r>
    <n v="40"/>
    <x v="4"/>
    <n v="9000"/>
    <s v="White"/>
    <x v="0"/>
    <x v="3"/>
  </r>
  <r>
    <n v="60"/>
    <x v="4"/>
    <n v="9045"/>
    <s v="White"/>
    <x v="1"/>
    <x v="3"/>
  </r>
  <r>
    <n v="40"/>
    <x v="4"/>
    <n v="9100"/>
    <s v="White"/>
    <x v="0"/>
    <x v="3"/>
  </r>
  <r>
    <n v="45"/>
    <x v="4"/>
    <n v="9193"/>
    <s v="Black"/>
    <x v="0"/>
    <x v="3"/>
  </r>
  <r>
    <n v="40"/>
    <x v="4"/>
    <n v="9300"/>
    <s v="White"/>
    <x v="0"/>
    <x v="3"/>
  </r>
  <r>
    <n v="40"/>
    <x v="4"/>
    <n v="9320"/>
    <s v="White"/>
    <x v="1"/>
    <x v="3"/>
  </r>
  <r>
    <n v="40"/>
    <x v="4"/>
    <n v="9359"/>
    <s v="White"/>
    <x v="1"/>
    <x v="3"/>
  </r>
  <r>
    <n v="40"/>
    <x v="4"/>
    <n v="9400"/>
    <s v="White"/>
    <x v="1"/>
    <x v="3"/>
  </r>
  <r>
    <n v="35"/>
    <x v="4"/>
    <n v="9500"/>
    <s v="White"/>
    <x v="0"/>
    <x v="3"/>
  </r>
  <r>
    <n v="40"/>
    <x v="4"/>
    <n v="9500"/>
    <s v="AsianPI"/>
    <x v="1"/>
    <x v="3"/>
  </r>
  <r>
    <n v="99"/>
    <x v="4"/>
    <n v="9500"/>
    <s v="White"/>
    <x v="0"/>
    <x v="3"/>
  </r>
  <r>
    <n v="40"/>
    <x v="4"/>
    <n v="9500"/>
    <s v="Black"/>
    <x v="0"/>
    <x v="3"/>
  </r>
  <r>
    <n v="60"/>
    <x v="4"/>
    <n v="9500"/>
    <s v="White"/>
    <x v="0"/>
    <x v="3"/>
  </r>
  <r>
    <n v="40"/>
    <x v="4"/>
    <n v="9600"/>
    <s v="White"/>
    <x v="1"/>
    <x v="3"/>
  </r>
  <r>
    <n v="42"/>
    <x v="4"/>
    <n v="9600"/>
    <s v="White"/>
    <x v="1"/>
    <x v="3"/>
  </r>
  <r>
    <n v="40"/>
    <x v="4"/>
    <n v="9600"/>
    <s v="White"/>
    <x v="0"/>
    <x v="3"/>
  </r>
  <r>
    <n v="35"/>
    <x v="4"/>
    <n v="9600"/>
    <s v="White"/>
    <x v="0"/>
    <x v="3"/>
  </r>
  <r>
    <n v="40"/>
    <x v="4"/>
    <n v="9900"/>
    <s v="White"/>
    <x v="0"/>
    <x v="3"/>
  </r>
  <r>
    <n v="38"/>
    <x v="4"/>
    <n v="10000"/>
    <s v="Black"/>
    <x v="0"/>
    <x v="3"/>
  </r>
  <r>
    <n v="50"/>
    <x v="4"/>
    <n v="10000"/>
    <s v="White"/>
    <x v="0"/>
    <x v="3"/>
  </r>
  <r>
    <n v="40"/>
    <x v="4"/>
    <n v="10000"/>
    <s v="White"/>
    <x v="0"/>
    <x v="3"/>
  </r>
  <r>
    <n v="50"/>
    <x v="4"/>
    <n v="10000"/>
    <s v="White"/>
    <x v="1"/>
    <x v="3"/>
  </r>
  <r>
    <n v="45"/>
    <x v="4"/>
    <n v="10000"/>
    <s v="White"/>
    <x v="0"/>
    <x v="3"/>
  </r>
  <r>
    <n v="0"/>
    <x v="4"/>
    <n v="10000"/>
    <s v="White"/>
    <x v="1"/>
    <x v="3"/>
  </r>
  <r>
    <n v="40"/>
    <x v="4"/>
    <n v="10000"/>
    <s v="White"/>
    <x v="1"/>
    <x v="3"/>
  </r>
  <r>
    <n v="40"/>
    <x v="4"/>
    <n v="10000"/>
    <s v="White"/>
    <x v="0"/>
    <x v="3"/>
  </r>
  <r>
    <n v="35"/>
    <x v="4"/>
    <n v="10000"/>
    <s v="White"/>
    <x v="0"/>
    <x v="3"/>
  </r>
  <r>
    <n v="40"/>
    <x v="4"/>
    <n v="10000"/>
    <s v="White"/>
    <x v="0"/>
    <x v="3"/>
  </r>
  <r>
    <n v="0"/>
    <x v="4"/>
    <n v="10000"/>
    <s v="White"/>
    <x v="1"/>
    <x v="3"/>
  </r>
  <r>
    <n v="40"/>
    <x v="4"/>
    <n v="10000"/>
    <s v="White"/>
    <x v="1"/>
    <x v="3"/>
  </r>
  <r>
    <n v="35"/>
    <x v="4"/>
    <n v="10000"/>
    <s v="White"/>
    <x v="0"/>
    <x v="3"/>
  </r>
  <r>
    <n v="40"/>
    <x v="4"/>
    <n v="10000"/>
    <s v="White"/>
    <x v="1"/>
    <x v="3"/>
  </r>
  <r>
    <n v="45"/>
    <x v="4"/>
    <n v="10000"/>
    <s v="White"/>
    <x v="0"/>
    <x v="3"/>
  </r>
  <r>
    <n v="40"/>
    <x v="4"/>
    <n v="10000"/>
    <s v="White"/>
    <x v="1"/>
    <x v="3"/>
  </r>
  <r>
    <n v="40"/>
    <x v="4"/>
    <n v="10000"/>
    <s v="White"/>
    <x v="0"/>
    <x v="3"/>
  </r>
  <r>
    <n v="40"/>
    <x v="4"/>
    <n v="10000"/>
    <s v="White"/>
    <x v="0"/>
    <x v="3"/>
  </r>
  <r>
    <n v="35"/>
    <x v="4"/>
    <n v="10000"/>
    <s v="White"/>
    <x v="0"/>
    <x v="3"/>
  </r>
  <r>
    <n v="40"/>
    <x v="4"/>
    <n v="10000"/>
    <s v="Black"/>
    <x v="0"/>
    <x v="3"/>
  </r>
  <r>
    <n v="45"/>
    <x v="4"/>
    <n v="10000"/>
    <s v="White"/>
    <x v="0"/>
    <x v="3"/>
  </r>
  <r>
    <n v="40"/>
    <x v="4"/>
    <n v="10000"/>
    <s v="White"/>
    <x v="1"/>
    <x v="3"/>
  </r>
  <r>
    <n v="40"/>
    <x v="4"/>
    <n v="10000"/>
    <s v="White"/>
    <x v="0"/>
    <x v="3"/>
  </r>
  <r>
    <n v="40"/>
    <x v="4"/>
    <n v="10000"/>
    <s v="Black"/>
    <x v="0"/>
    <x v="3"/>
  </r>
  <r>
    <n v="40"/>
    <x v="4"/>
    <n v="10000"/>
    <s v="AsianPI"/>
    <x v="0"/>
    <x v="3"/>
  </r>
  <r>
    <n v="40"/>
    <x v="4"/>
    <n v="10000"/>
    <s v="Black"/>
    <x v="1"/>
    <x v="3"/>
  </r>
  <r>
    <n v="35"/>
    <x v="4"/>
    <n v="10000"/>
    <s v="White"/>
    <x v="0"/>
    <x v="3"/>
  </r>
  <r>
    <n v="40"/>
    <x v="4"/>
    <n v="10000"/>
    <s v="White"/>
    <x v="0"/>
    <x v="3"/>
  </r>
  <r>
    <n v="40"/>
    <x v="4"/>
    <n v="10000"/>
    <s v="Black"/>
    <x v="0"/>
    <x v="3"/>
  </r>
  <r>
    <n v="35"/>
    <x v="4"/>
    <n v="10000"/>
    <s v="White"/>
    <x v="0"/>
    <x v="3"/>
  </r>
  <r>
    <n v="40"/>
    <x v="4"/>
    <n v="10000"/>
    <s v="White"/>
    <x v="0"/>
    <x v="3"/>
  </r>
  <r>
    <n v="40"/>
    <x v="4"/>
    <n v="10200"/>
    <s v="White"/>
    <x v="1"/>
    <x v="3"/>
  </r>
  <r>
    <n v="40"/>
    <x v="4"/>
    <n v="10280"/>
    <s v="White"/>
    <x v="0"/>
    <x v="3"/>
  </r>
  <r>
    <n v="40"/>
    <x v="4"/>
    <n v="10400"/>
    <s v="White"/>
    <x v="0"/>
    <x v="3"/>
  </r>
  <r>
    <n v="40"/>
    <x v="4"/>
    <n v="10400"/>
    <s v="Black"/>
    <x v="0"/>
    <x v="3"/>
  </r>
  <r>
    <n v="40"/>
    <x v="4"/>
    <n v="10400"/>
    <s v="White"/>
    <x v="1"/>
    <x v="3"/>
  </r>
  <r>
    <n v="35"/>
    <x v="4"/>
    <n v="10452"/>
    <s v="White"/>
    <x v="0"/>
    <x v="3"/>
  </r>
  <r>
    <n v="40"/>
    <x v="4"/>
    <n v="10465"/>
    <s v="White"/>
    <x v="1"/>
    <x v="3"/>
  </r>
  <r>
    <n v="55"/>
    <x v="4"/>
    <n v="10500"/>
    <s v="White"/>
    <x v="0"/>
    <x v="3"/>
  </r>
  <r>
    <n v="40"/>
    <x v="4"/>
    <n v="10600"/>
    <s v="White"/>
    <x v="0"/>
    <x v="3"/>
  </r>
  <r>
    <n v="40"/>
    <x v="4"/>
    <n v="10800"/>
    <s v="White"/>
    <x v="0"/>
    <x v="3"/>
  </r>
  <r>
    <n v="35"/>
    <x v="4"/>
    <n v="10878"/>
    <s v="Black"/>
    <x v="0"/>
    <x v="3"/>
  </r>
  <r>
    <n v="40"/>
    <x v="4"/>
    <n v="10998"/>
    <s v="White"/>
    <x v="1"/>
    <x v="3"/>
  </r>
  <r>
    <n v="40"/>
    <x v="4"/>
    <n v="11000"/>
    <s v="White"/>
    <x v="1"/>
    <x v="3"/>
  </r>
  <r>
    <n v="40"/>
    <x v="4"/>
    <n v="11000"/>
    <s v="White"/>
    <x v="0"/>
    <x v="3"/>
  </r>
  <r>
    <n v="40"/>
    <x v="4"/>
    <n v="11000"/>
    <s v="AsianPI"/>
    <x v="1"/>
    <x v="3"/>
  </r>
  <r>
    <n v="40"/>
    <x v="4"/>
    <n v="11000"/>
    <s v="White"/>
    <x v="0"/>
    <x v="3"/>
  </r>
  <r>
    <n v="0"/>
    <x v="4"/>
    <n v="11000"/>
    <s v="White"/>
    <x v="0"/>
    <x v="3"/>
  </r>
  <r>
    <n v="40"/>
    <x v="4"/>
    <n v="11000"/>
    <s v="White"/>
    <x v="0"/>
    <x v="3"/>
  </r>
  <r>
    <n v="40"/>
    <x v="4"/>
    <n v="11000"/>
    <s v="White"/>
    <x v="1"/>
    <x v="3"/>
  </r>
  <r>
    <n v="40"/>
    <x v="4"/>
    <n v="11000"/>
    <s v="White"/>
    <x v="0"/>
    <x v="3"/>
  </r>
  <r>
    <n v="40"/>
    <x v="4"/>
    <n v="11000"/>
    <s v="White"/>
    <x v="0"/>
    <x v="3"/>
  </r>
  <r>
    <n v="40"/>
    <x v="4"/>
    <n v="11000"/>
    <s v="White"/>
    <x v="1"/>
    <x v="3"/>
  </r>
  <r>
    <n v="40"/>
    <x v="4"/>
    <n v="11000"/>
    <s v="White"/>
    <x v="0"/>
    <x v="3"/>
  </r>
  <r>
    <n v="40"/>
    <x v="4"/>
    <n v="11000"/>
    <s v="White"/>
    <x v="1"/>
    <x v="3"/>
  </r>
  <r>
    <n v="40"/>
    <x v="4"/>
    <n v="11000"/>
    <s v="White"/>
    <x v="0"/>
    <x v="3"/>
  </r>
  <r>
    <n v="37"/>
    <x v="4"/>
    <n v="11000"/>
    <s v="Black"/>
    <x v="0"/>
    <x v="3"/>
  </r>
  <r>
    <n v="40"/>
    <x v="4"/>
    <n v="11000"/>
    <s v="White"/>
    <x v="1"/>
    <x v="3"/>
  </r>
  <r>
    <n v="40"/>
    <x v="4"/>
    <n v="11000"/>
    <s v="White"/>
    <x v="1"/>
    <x v="3"/>
  </r>
  <r>
    <n v="40"/>
    <x v="4"/>
    <n v="11000"/>
    <s v="White"/>
    <x v="0"/>
    <x v="3"/>
  </r>
  <r>
    <n v="40"/>
    <x v="4"/>
    <n v="11000"/>
    <s v="White"/>
    <x v="0"/>
    <x v="3"/>
  </r>
  <r>
    <n v="40"/>
    <x v="4"/>
    <n v="11000"/>
    <s v="White"/>
    <x v="0"/>
    <x v="3"/>
  </r>
  <r>
    <n v="40"/>
    <x v="4"/>
    <n v="11000"/>
    <s v="White"/>
    <x v="0"/>
    <x v="3"/>
  </r>
  <r>
    <n v="60"/>
    <x v="4"/>
    <n v="11000"/>
    <s v="White"/>
    <x v="0"/>
    <x v="3"/>
  </r>
  <r>
    <n v="40"/>
    <x v="4"/>
    <n v="11000"/>
    <s v="Black"/>
    <x v="0"/>
    <x v="3"/>
  </r>
  <r>
    <n v="40"/>
    <x v="4"/>
    <n v="11000"/>
    <s v="White"/>
    <x v="0"/>
    <x v="3"/>
  </r>
  <r>
    <n v="80"/>
    <x v="4"/>
    <n v="11000"/>
    <s v="White"/>
    <x v="0"/>
    <x v="3"/>
  </r>
  <r>
    <n v="40"/>
    <x v="4"/>
    <n v="11000"/>
    <s v="Black"/>
    <x v="1"/>
    <x v="3"/>
  </r>
  <r>
    <n v="35"/>
    <x v="4"/>
    <n v="11000"/>
    <s v="White"/>
    <x v="0"/>
    <x v="3"/>
  </r>
  <r>
    <n v="40"/>
    <x v="4"/>
    <n v="11000"/>
    <s v="White"/>
    <x v="0"/>
    <x v="3"/>
  </r>
  <r>
    <n v="35"/>
    <x v="4"/>
    <n v="11000"/>
    <s v="White"/>
    <x v="0"/>
    <x v="3"/>
  </r>
  <r>
    <n v="40"/>
    <x v="4"/>
    <n v="11120"/>
    <s v="White"/>
    <x v="1"/>
    <x v="3"/>
  </r>
  <r>
    <n v="40"/>
    <x v="4"/>
    <n v="11167"/>
    <s v="Black"/>
    <x v="0"/>
    <x v="3"/>
  </r>
  <r>
    <n v="40"/>
    <x v="4"/>
    <n v="11200"/>
    <s v="White"/>
    <x v="0"/>
    <x v="3"/>
  </r>
  <r>
    <n v="40"/>
    <x v="4"/>
    <n v="11232"/>
    <s v="White"/>
    <x v="1"/>
    <x v="3"/>
  </r>
  <r>
    <n v="40"/>
    <x v="4"/>
    <n v="11267"/>
    <s v="White"/>
    <x v="0"/>
    <x v="3"/>
  </r>
  <r>
    <n v="40"/>
    <x v="4"/>
    <n v="11303"/>
    <s v="White"/>
    <x v="0"/>
    <x v="3"/>
  </r>
  <r>
    <n v="40"/>
    <x v="4"/>
    <n v="11400"/>
    <s v="White"/>
    <x v="1"/>
    <x v="3"/>
  </r>
  <r>
    <n v="49"/>
    <x v="4"/>
    <n v="11500"/>
    <s v="Black"/>
    <x v="0"/>
    <x v="3"/>
  </r>
  <r>
    <n v="40"/>
    <x v="4"/>
    <n v="11520"/>
    <s v="White"/>
    <x v="0"/>
    <x v="3"/>
  </r>
  <r>
    <n v="40"/>
    <x v="4"/>
    <n v="11600"/>
    <s v="White"/>
    <x v="0"/>
    <x v="3"/>
  </r>
  <r>
    <n v="40"/>
    <x v="4"/>
    <n v="11620"/>
    <s v="White"/>
    <x v="0"/>
    <x v="3"/>
  </r>
  <r>
    <n v="35"/>
    <x v="4"/>
    <n v="11800"/>
    <s v="White"/>
    <x v="0"/>
    <x v="3"/>
  </r>
  <r>
    <n v="51"/>
    <x v="4"/>
    <n v="11887"/>
    <s v="White"/>
    <x v="0"/>
    <x v="3"/>
  </r>
  <r>
    <n v="40"/>
    <x v="4"/>
    <n v="11960"/>
    <s v="White"/>
    <x v="0"/>
    <x v="3"/>
  </r>
  <r>
    <n v="35"/>
    <x v="4"/>
    <n v="11981"/>
    <s v="White"/>
    <x v="0"/>
    <x v="3"/>
  </r>
  <r>
    <n v="35"/>
    <x v="4"/>
    <n v="12000"/>
    <s v="White"/>
    <x v="0"/>
    <x v="3"/>
  </r>
  <r>
    <n v="40"/>
    <x v="4"/>
    <n v="12000"/>
    <s v="White"/>
    <x v="1"/>
    <x v="3"/>
  </r>
  <r>
    <n v="40"/>
    <x v="4"/>
    <n v="12000"/>
    <s v="White"/>
    <x v="0"/>
    <x v="3"/>
  </r>
  <r>
    <n v="40"/>
    <x v="4"/>
    <n v="12000"/>
    <s v="Black"/>
    <x v="0"/>
    <x v="3"/>
  </r>
  <r>
    <n v="40"/>
    <x v="4"/>
    <n v="12000"/>
    <s v="White"/>
    <x v="0"/>
    <x v="3"/>
  </r>
  <r>
    <n v="40"/>
    <x v="4"/>
    <n v="12000"/>
    <s v="White"/>
    <x v="0"/>
    <x v="3"/>
  </r>
  <r>
    <n v="40"/>
    <x v="4"/>
    <n v="12000"/>
    <s v="White"/>
    <x v="1"/>
    <x v="3"/>
  </r>
  <r>
    <n v="35"/>
    <x v="4"/>
    <n v="12000"/>
    <s v="White"/>
    <x v="1"/>
    <x v="3"/>
  </r>
  <r>
    <n v="40"/>
    <x v="4"/>
    <n v="12000"/>
    <s v="Black"/>
    <x v="0"/>
    <x v="3"/>
  </r>
  <r>
    <n v="40"/>
    <x v="4"/>
    <n v="12000"/>
    <s v="White"/>
    <x v="0"/>
    <x v="3"/>
  </r>
  <r>
    <n v="40"/>
    <x v="4"/>
    <n v="12000"/>
    <s v="White"/>
    <x v="0"/>
    <x v="3"/>
  </r>
  <r>
    <n v="50"/>
    <x v="4"/>
    <n v="12000"/>
    <s v="White"/>
    <x v="0"/>
    <x v="3"/>
  </r>
  <r>
    <n v="35"/>
    <x v="4"/>
    <n v="12000"/>
    <s v="White"/>
    <x v="0"/>
    <x v="3"/>
  </r>
  <r>
    <n v="0"/>
    <x v="4"/>
    <n v="12000"/>
    <s v="White"/>
    <x v="1"/>
    <x v="3"/>
  </r>
  <r>
    <n v="35"/>
    <x v="4"/>
    <n v="12000"/>
    <s v="White"/>
    <x v="0"/>
    <x v="3"/>
  </r>
  <r>
    <n v="35"/>
    <x v="4"/>
    <n v="12000"/>
    <s v="White"/>
    <x v="1"/>
    <x v="3"/>
  </r>
  <r>
    <n v="40"/>
    <x v="4"/>
    <n v="12000"/>
    <s v="White"/>
    <x v="1"/>
    <x v="3"/>
  </r>
  <r>
    <n v="48"/>
    <x v="4"/>
    <n v="12000"/>
    <s v="Black"/>
    <x v="1"/>
    <x v="3"/>
  </r>
  <r>
    <n v="40"/>
    <x v="4"/>
    <n v="12000"/>
    <s v="White"/>
    <x v="0"/>
    <x v="3"/>
  </r>
  <r>
    <n v="40"/>
    <x v="4"/>
    <n v="12000"/>
    <s v="White"/>
    <x v="1"/>
    <x v="3"/>
  </r>
  <r>
    <n v="40"/>
    <x v="4"/>
    <n v="12000"/>
    <s v="White"/>
    <x v="0"/>
    <x v="3"/>
  </r>
  <r>
    <n v="40"/>
    <x v="4"/>
    <n v="12000"/>
    <s v="White"/>
    <x v="0"/>
    <x v="3"/>
  </r>
  <r>
    <n v="40"/>
    <x v="4"/>
    <n v="12000"/>
    <s v="White"/>
    <x v="1"/>
    <x v="3"/>
  </r>
  <r>
    <n v="40"/>
    <x v="4"/>
    <n v="12000"/>
    <s v="White"/>
    <x v="1"/>
    <x v="3"/>
  </r>
  <r>
    <n v="40"/>
    <x v="4"/>
    <n v="12000"/>
    <s v="White"/>
    <x v="0"/>
    <x v="3"/>
  </r>
  <r>
    <n v="40"/>
    <x v="4"/>
    <n v="12000"/>
    <s v="White"/>
    <x v="0"/>
    <x v="3"/>
  </r>
  <r>
    <n v="38"/>
    <x v="4"/>
    <n v="12000"/>
    <s v="IndEsk"/>
    <x v="0"/>
    <x v="3"/>
  </r>
  <r>
    <n v="40"/>
    <x v="4"/>
    <n v="12000"/>
    <s v="White"/>
    <x v="0"/>
    <x v="3"/>
  </r>
  <r>
    <n v="40"/>
    <x v="4"/>
    <n v="12000"/>
    <s v="White"/>
    <x v="0"/>
    <x v="3"/>
  </r>
  <r>
    <n v="36"/>
    <x v="4"/>
    <n v="12000"/>
    <s v="White"/>
    <x v="0"/>
    <x v="3"/>
  </r>
  <r>
    <n v="75"/>
    <x v="4"/>
    <n v="12000"/>
    <s v="White"/>
    <x v="1"/>
    <x v="3"/>
  </r>
  <r>
    <n v="40"/>
    <x v="4"/>
    <n v="12000"/>
    <s v="White"/>
    <x v="1"/>
    <x v="3"/>
  </r>
  <r>
    <n v="40"/>
    <x v="4"/>
    <n v="12083"/>
    <s v="White"/>
    <x v="1"/>
    <x v="3"/>
  </r>
  <r>
    <n v="40"/>
    <x v="4"/>
    <n v="12120"/>
    <s v="White"/>
    <x v="0"/>
    <x v="3"/>
  </r>
  <r>
    <n v="35"/>
    <x v="4"/>
    <n v="12200"/>
    <s v="Black"/>
    <x v="0"/>
    <x v="3"/>
  </r>
  <r>
    <n v="40"/>
    <x v="4"/>
    <n v="12243"/>
    <s v="White"/>
    <x v="0"/>
    <x v="3"/>
  </r>
  <r>
    <n v="40"/>
    <x v="4"/>
    <n v="12300"/>
    <s v="White"/>
    <x v="0"/>
    <x v="3"/>
  </r>
  <r>
    <n v="40"/>
    <x v="4"/>
    <n v="12326"/>
    <s v="White"/>
    <x v="0"/>
    <x v="3"/>
  </r>
  <r>
    <n v="40"/>
    <x v="4"/>
    <n v="12350"/>
    <s v="White"/>
    <x v="0"/>
    <x v="3"/>
  </r>
  <r>
    <n v="40"/>
    <x v="4"/>
    <n v="12400"/>
    <s v="White"/>
    <x v="0"/>
    <x v="3"/>
  </r>
  <r>
    <n v="35"/>
    <x v="4"/>
    <n v="12480"/>
    <s v="White"/>
    <x v="1"/>
    <x v="3"/>
  </r>
  <r>
    <n v="40"/>
    <x v="4"/>
    <n v="12480"/>
    <s v="White"/>
    <x v="0"/>
    <x v="3"/>
  </r>
  <r>
    <n v="40"/>
    <x v="4"/>
    <n v="12500"/>
    <s v="White"/>
    <x v="1"/>
    <x v="3"/>
  </r>
  <r>
    <n v="40"/>
    <x v="4"/>
    <n v="12500"/>
    <s v="White"/>
    <x v="0"/>
    <x v="3"/>
  </r>
  <r>
    <n v="60"/>
    <x v="4"/>
    <n v="12500"/>
    <s v="White"/>
    <x v="0"/>
    <x v="3"/>
  </r>
  <r>
    <n v="0"/>
    <x v="4"/>
    <n v="12500"/>
    <s v="White"/>
    <x v="0"/>
    <x v="3"/>
  </r>
  <r>
    <n v="40"/>
    <x v="4"/>
    <n v="12500"/>
    <s v="White"/>
    <x v="0"/>
    <x v="3"/>
  </r>
  <r>
    <n v="40"/>
    <x v="4"/>
    <n v="12600"/>
    <s v="White"/>
    <x v="0"/>
    <x v="3"/>
  </r>
  <r>
    <n v="0"/>
    <x v="4"/>
    <n v="12650"/>
    <s v="White"/>
    <x v="0"/>
    <x v="3"/>
  </r>
  <r>
    <n v="40"/>
    <x v="4"/>
    <n v="12700"/>
    <s v="White"/>
    <x v="1"/>
    <x v="3"/>
  </r>
  <r>
    <n v="40"/>
    <x v="4"/>
    <n v="12700"/>
    <s v="Black"/>
    <x v="1"/>
    <x v="3"/>
  </r>
  <r>
    <n v="40"/>
    <x v="4"/>
    <n v="12907"/>
    <s v="White"/>
    <x v="0"/>
    <x v="3"/>
  </r>
  <r>
    <n v="40"/>
    <x v="4"/>
    <n v="13000"/>
    <s v="White"/>
    <x v="1"/>
    <x v="3"/>
  </r>
  <r>
    <n v="52"/>
    <x v="4"/>
    <n v="13000"/>
    <s v="Black"/>
    <x v="1"/>
    <x v="3"/>
  </r>
  <r>
    <n v="35"/>
    <x v="4"/>
    <n v="13000"/>
    <s v="White"/>
    <x v="0"/>
    <x v="3"/>
  </r>
  <r>
    <n v="35"/>
    <x v="4"/>
    <n v="13000"/>
    <s v="White"/>
    <x v="0"/>
    <x v="3"/>
  </r>
  <r>
    <n v="48"/>
    <x v="4"/>
    <n v="13000"/>
    <s v="White"/>
    <x v="0"/>
    <x v="3"/>
  </r>
  <r>
    <n v="45"/>
    <x v="4"/>
    <n v="13000"/>
    <s v="White"/>
    <x v="1"/>
    <x v="3"/>
  </r>
  <r>
    <n v="35"/>
    <x v="4"/>
    <n v="13000"/>
    <s v="White"/>
    <x v="0"/>
    <x v="3"/>
  </r>
  <r>
    <n v="45"/>
    <x v="4"/>
    <n v="13000"/>
    <s v="White"/>
    <x v="0"/>
    <x v="3"/>
  </r>
  <r>
    <n v="0"/>
    <x v="4"/>
    <n v="13000"/>
    <s v="White"/>
    <x v="0"/>
    <x v="3"/>
  </r>
  <r>
    <n v="40"/>
    <x v="4"/>
    <n v="13000"/>
    <s v="White"/>
    <x v="0"/>
    <x v="3"/>
  </r>
  <r>
    <n v="40"/>
    <x v="4"/>
    <n v="13000"/>
    <s v="White"/>
    <x v="0"/>
    <x v="3"/>
  </r>
  <r>
    <n v="40"/>
    <x v="4"/>
    <n v="13000"/>
    <s v="Black"/>
    <x v="1"/>
    <x v="3"/>
  </r>
  <r>
    <n v="40"/>
    <x v="4"/>
    <n v="13000"/>
    <s v="White"/>
    <x v="0"/>
    <x v="3"/>
  </r>
  <r>
    <n v="40"/>
    <x v="4"/>
    <n v="13000"/>
    <s v="White"/>
    <x v="0"/>
    <x v="3"/>
  </r>
  <r>
    <n v="40"/>
    <x v="4"/>
    <n v="13000"/>
    <s v="White"/>
    <x v="0"/>
    <x v="3"/>
  </r>
  <r>
    <n v="40"/>
    <x v="4"/>
    <n v="13000"/>
    <s v="AsianPI"/>
    <x v="1"/>
    <x v="3"/>
  </r>
  <r>
    <n v="35"/>
    <x v="4"/>
    <n v="13000"/>
    <s v="White"/>
    <x v="0"/>
    <x v="3"/>
  </r>
  <r>
    <n v="40"/>
    <x v="4"/>
    <n v="13000"/>
    <s v="Black"/>
    <x v="0"/>
    <x v="3"/>
  </r>
  <r>
    <n v="40"/>
    <x v="4"/>
    <n v="13000"/>
    <s v="Black"/>
    <x v="1"/>
    <x v="3"/>
  </r>
  <r>
    <n v="40"/>
    <x v="4"/>
    <n v="13000"/>
    <s v="White"/>
    <x v="0"/>
    <x v="3"/>
  </r>
  <r>
    <n v="40"/>
    <x v="4"/>
    <n v="13000"/>
    <s v="White"/>
    <x v="0"/>
    <x v="3"/>
  </r>
  <r>
    <n v="40"/>
    <x v="4"/>
    <n v="13000"/>
    <s v="White"/>
    <x v="1"/>
    <x v="3"/>
  </r>
  <r>
    <n v="40"/>
    <x v="4"/>
    <n v="13000"/>
    <s v="White"/>
    <x v="1"/>
    <x v="3"/>
  </r>
  <r>
    <n v="40"/>
    <x v="4"/>
    <n v="13000"/>
    <s v="White"/>
    <x v="1"/>
    <x v="3"/>
  </r>
  <r>
    <n v="48"/>
    <x v="4"/>
    <n v="13000"/>
    <s v="White"/>
    <x v="1"/>
    <x v="3"/>
  </r>
  <r>
    <n v="40"/>
    <x v="4"/>
    <n v="13000"/>
    <s v="Black"/>
    <x v="0"/>
    <x v="3"/>
  </r>
  <r>
    <n v="40"/>
    <x v="4"/>
    <n v="13000"/>
    <s v="White"/>
    <x v="0"/>
    <x v="3"/>
  </r>
  <r>
    <n v="47"/>
    <x v="4"/>
    <n v="13000"/>
    <s v="Black"/>
    <x v="1"/>
    <x v="3"/>
  </r>
  <r>
    <n v="48"/>
    <x v="4"/>
    <n v="13000"/>
    <s v="White"/>
    <x v="0"/>
    <x v="3"/>
  </r>
  <r>
    <n v="40"/>
    <x v="4"/>
    <n v="13000"/>
    <s v="White"/>
    <x v="0"/>
    <x v="3"/>
  </r>
  <r>
    <n v="40"/>
    <x v="4"/>
    <n v="13000"/>
    <s v="White"/>
    <x v="0"/>
    <x v="3"/>
  </r>
  <r>
    <n v="40"/>
    <x v="4"/>
    <n v="13000"/>
    <s v="White"/>
    <x v="0"/>
    <x v="3"/>
  </r>
  <r>
    <n v="40"/>
    <x v="4"/>
    <n v="13082"/>
    <s v="White"/>
    <x v="0"/>
    <x v="3"/>
  </r>
  <r>
    <n v="40"/>
    <x v="4"/>
    <n v="13242"/>
    <s v="White"/>
    <x v="0"/>
    <x v="3"/>
  </r>
  <r>
    <n v="57"/>
    <x v="4"/>
    <n v="13300"/>
    <s v="White"/>
    <x v="1"/>
    <x v="3"/>
  </r>
  <r>
    <n v="40"/>
    <x v="4"/>
    <n v="13520"/>
    <s v="Black"/>
    <x v="1"/>
    <x v="3"/>
  </r>
  <r>
    <n v="40"/>
    <x v="4"/>
    <n v="13624"/>
    <s v="AsianPI"/>
    <x v="1"/>
    <x v="3"/>
  </r>
  <r>
    <n v="40"/>
    <x v="4"/>
    <n v="13650"/>
    <s v="White"/>
    <x v="0"/>
    <x v="3"/>
  </r>
  <r>
    <n v="60"/>
    <x v="4"/>
    <n v="13920"/>
    <s v="White"/>
    <x v="1"/>
    <x v="3"/>
  </r>
  <r>
    <n v="35"/>
    <x v="4"/>
    <n v="13988"/>
    <s v="White"/>
    <x v="0"/>
    <x v="3"/>
  </r>
  <r>
    <n v="40"/>
    <x v="4"/>
    <n v="14000"/>
    <s v="White"/>
    <x v="1"/>
    <x v="3"/>
  </r>
  <r>
    <n v="40"/>
    <x v="4"/>
    <n v="14000"/>
    <s v="White"/>
    <x v="0"/>
    <x v="3"/>
  </r>
  <r>
    <n v="45"/>
    <x v="4"/>
    <n v="14000"/>
    <s v="White"/>
    <x v="1"/>
    <x v="3"/>
  </r>
  <r>
    <n v="0"/>
    <x v="4"/>
    <n v="14000"/>
    <s v="Black"/>
    <x v="0"/>
    <x v="3"/>
  </r>
  <r>
    <n v="40"/>
    <x v="4"/>
    <n v="14000"/>
    <s v="White"/>
    <x v="1"/>
    <x v="3"/>
  </r>
  <r>
    <n v="40"/>
    <x v="4"/>
    <n v="14000"/>
    <s v="White"/>
    <x v="0"/>
    <x v="3"/>
  </r>
  <r>
    <n v="40"/>
    <x v="4"/>
    <n v="14000"/>
    <s v="White"/>
    <x v="1"/>
    <x v="3"/>
  </r>
  <r>
    <n v="39"/>
    <x v="4"/>
    <n v="14000"/>
    <s v="White"/>
    <x v="0"/>
    <x v="3"/>
  </r>
  <r>
    <n v="38"/>
    <x v="4"/>
    <n v="14000"/>
    <s v="White"/>
    <x v="0"/>
    <x v="3"/>
  </r>
  <r>
    <n v="37"/>
    <x v="4"/>
    <n v="14000"/>
    <s v="White"/>
    <x v="1"/>
    <x v="3"/>
  </r>
  <r>
    <n v="40"/>
    <x v="4"/>
    <n v="14000"/>
    <s v="White"/>
    <x v="0"/>
    <x v="3"/>
  </r>
  <r>
    <n v="40"/>
    <x v="4"/>
    <n v="14000"/>
    <s v="White"/>
    <x v="1"/>
    <x v="3"/>
  </r>
  <r>
    <n v="0"/>
    <x v="4"/>
    <n v="14000"/>
    <s v="White"/>
    <x v="0"/>
    <x v="3"/>
  </r>
  <r>
    <n v="40"/>
    <x v="4"/>
    <n v="14000"/>
    <s v="White"/>
    <x v="1"/>
    <x v="3"/>
  </r>
  <r>
    <n v="35"/>
    <x v="4"/>
    <n v="14000"/>
    <s v="White"/>
    <x v="0"/>
    <x v="3"/>
  </r>
  <r>
    <n v="40"/>
    <x v="4"/>
    <n v="14000"/>
    <s v="White"/>
    <x v="0"/>
    <x v="3"/>
  </r>
  <r>
    <n v="45"/>
    <x v="4"/>
    <n v="14000"/>
    <s v="AsianPI"/>
    <x v="1"/>
    <x v="3"/>
  </r>
  <r>
    <n v="40"/>
    <x v="4"/>
    <n v="14000"/>
    <s v="Black"/>
    <x v="0"/>
    <x v="3"/>
  </r>
  <r>
    <n v="40"/>
    <x v="4"/>
    <n v="14000"/>
    <s v="White"/>
    <x v="1"/>
    <x v="3"/>
  </r>
  <r>
    <n v="40"/>
    <x v="4"/>
    <n v="14000"/>
    <s v="White"/>
    <x v="0"/>
    <x v="3"/>
  </r>
  <r>
    <n v="40"/>
    <x v="4"/>
    <n v="14000"/>
    <s v="White"/>
    <x v="1"/>
    <x v="3"/>
  </r>
  <r>
    <n v="40"/>
    <x v="4"/>
    <n v="14000"/>
    <s v="Black"/>
    <x v="1"/>
    <x v="3"/>
  </r>
  <r>
    <n v="40"/>
    <x v="4"/>
    <n v="14000"/>
    <s v="White"/>
    <x v="0"/>
    <x v="3"/>
  </r>
  <r>
    <n v="40"/>
    <x v="4"/>
    <n v="14000"/>
    <s v="White"/>
    <x v="0"/>
    <x v="3"/>
  </r>
  <r>
    <n v="40"/>
    <x v="4"/>
    <n v="14000"/>
    <s v="White"/>
    <x v="0"/>
    <x v="3"/>
  </r>
  <r>
    <n v="65"/>
    <x v="4"/>
    <n v="14000"/>
    <s v="White"/>
    <x v="0"/>
    <x v="3"/>
  </r>
  <r>
    <n v="40"/>
    <x v="4"/>
    <n v="14000"/>
    <s v="IndEsk"/>
    <x v="1"/>
    <x v="3"/>
  </r>
  <r>
    <n v="50"/>
    <x v="4"/>
    <n v="14000"/>
    <s v="White"/>
    <x v="1"/>
    <x v="3"/>
  </r>
  <r>
    <n v="40"/>
    <x v="4"/>
    <n v="14000"/>
    <s v="White"/>
    <x v="0"/>
    <x v="3"/>
  </r>
  <r>
    <n v="40"/>
    <x v="4"/>
    <n v="14000"/>
    <s v="White"/>
    <x v="1"/>
    <x v="3"/>
  </r>
  <r>
    <n v="40"/>
    <x v="4"/>
    <n v="14000"/>
    <s v="White"/>
    <x v="1"/>
    <x v="3"/>
  </r>
  <r>
    <n v="55"/>
    <x v="4"/>
    <n v="14105"/>
    <s v="White"/>
    <x v="0"/>
    <x v="3"/>
  </r>
  <r>
    <n v="45"/>
    <x v="4"/>
    <n v="14171"/>
    <s v="White"/>
    <x v="0"/>
    <x v="3"/>
  </r>
  <r>
    <n v="60"/>
    <x v="4"/>
    <n v="14300"/>
    <s v="White"/>
    <x v="1"/>
    <x v="3"/>
  </r>
  <r>
    <n v="40"/>
    <x v="4"/>
    <n v="14400"/>
    <s v="White"/>
    <x v="1"/>
    <x v="3"/>
  </r>
  <r>
    <n v="42"/>
    <x v="4"/>
    <n v="14400"/>
    <s v="White"/>
    <x v="0"/>
    <x v="3"/>
  </r>
  <r>
    <n v="50"/>
    <x v="4"/>
    <n v="14400"/>
    <s v="White"/>
    <x v="1"/>
    <x v="3"/>
  </r>
  <r>
    <n v="40"/>
    <x v="4"/>
    <n v="14444"/>
    <s v="White"/>
    <x v="0"/>
    <x v="3"/>
  </r>
  <r>
    <n v="40"/>
    <x v="4"/>
    <n v="14480"/>
    <s v="White"/>
    <x v="1"/>
    <x v="3"/>
  </r>
  <r>
    <n v="40"/>
    <x v="4"/>
    <n v="14500"/>
    <s v="White"/>
    <x v="1"/>
    <x v="3"/>
  </r>
  <r>
    <n v="40"/>
    <x v="4"/>
    <n v="14560"/>
    <s v="White"/>
    <x v="1"/>
    <x v="3"/>
  </r>
  <r>
    <n v="38"/>
    <x v="4"/>
    <n v="14780"/>
    <s v="White"/>
    <x v="0"/>
    <x v="3"/>
  </r>
  <r>
    <n v="40"/>
    <x v="4"/>
    <n v="15000"/>
    <s v="White"/>
    <x v="0"/>
    <x v="3"/>
  </r>
  <r>
    <n v="40"/>
    <x v="4"/>
    <n v="15000"/>
    <s v="White"/>
    <x v="1"/>
    <x v="3"/>
  </r>
  <r>
    <n v="40"/>
    <x v="4"/>
    <n v="15000"/>
    <s v="AsianPI"/>
    <x v="0"/>
    <x v="3"/>
  </r>
  <r>
    <n v="40"/>
    <x v="4"/>
    <n v="15000"/>
    <s v="White"/>
    <x v="0"/>
    <x v="3"/>
  </r>
  <r>
    <n v="40"/>
    <x v="4"/>
    <n v="15000"/>
    <s v="Black"/>
    <x v="1"/>
    <x v="3"/>
  </r>
  <r>
    <n v="40"/>
    <x v="4"/>
    <n v="15000"/>
    <s v="White"/>
    <x v="0"/>
    <x v="3"/>
  </r>
  <r>
    <n v="40"/>
    <x v="4"/>
    <n v="15000"/>
    <s v="Black"/>
    <x v="1"/>
    <x v="3"/>
  </r>
  <r>
    <n v="35"/>
    <x v="4"/>
    <n v="15000"/>
    <s v="White"/>
    <x v="0"/>
    <x v="3"/>
  </r>
  <r>
    <n v="54"/>
    <x v="4"/>
    <n v="15000"/>
    <s v="White"/>
    <x v="1"/>
    <x v="3"/>
  </r>
  <r>
    <n v="48"/>
    <x v="4"/>
    <n v="15000"/>
    <s v="Black"/>
    <x v="1"/>
    <x v="3"/>
  </r>
  <r>
    <n v="48"/>
    <x v="4"/>
    <n v="15000"/>
    <s v="White"/>
    <x v="1"/>
    <x v="3"/>
  </r>
  <r>
    <n v="40"/>
    <x v="4"/>
    <n v="15000"/>
    <s v="White"/>
    <x v="0"/>
    <x v="3"/>
  </r>
  <r>
    <n v="45"/>
    <x v="4"/>
    <n v="15000"/>
    <s v="White"/>
    <x v="0"/>
    <x v="3"/>
  </r>
  <r>
    <n v="40"/>
    <x v="4"/>
    <n v="15000"/>
    <s v="White"/>
    <x v="0"/>
    <x v="3"/>
  </r>
  <r>
    <n v="40"/>
    <x v="4"/>
    <n v="15000"/>
    <s v="White"/>
    <x v="0"/>
    <x v="3"/>
  </r>
  <r>
    <n v="40"/>
    <x v="4"/>
    <n v="15000"/>
    <s v="White"/>
    <x v="1"/>
    <x v="3"/>
  </r>
  <r>
    <n v="40"/>
    <x v="4"/>
    <n v="15000"/>
    <s v="White"/>
    <x v="1"/>
    <x v="3"/>
  </r>
  <r>
    <n v="40"/>
    <x v="4"/>
    <n v="15000"/>
    <s v="White"/>
    <x v="0"/>
    <x v="3"/>
  </r>
  <r>
    <n v="40"/>
    <x v="4"/>
    <n v="15000"/>
    <s v="White"/>
    <x v="0"/>
    <x v="3"/>
  </r>
  <r>
    <n v="40"/>
    <x v="4"/>
    <n v="15000"/>
    <s v="White"/>
    <x v="0"/>
    <x v="3"/>
  </r>
  <r>
    <n v="40"/>
    <x v="4"/>
    <n v="15000"/>
    <s v="White"/>
    <x v="0"/>
    <x v="3"/>
  </r>
  <r>
    <n v="35"/>
    <x v="4"/>
    <n v="15000"/>
    <s v="Black"/>
    <x v="0"/>
    <x v="3"/>
  </r>
  <r>
    <n v="40"/>
    <x v="4"/>
    <n v="15000"/>
    <s v="White"/>
    <x v="0"/>
    <x v="3"/>
  </r>
  <r>
    <n v="35"/>
    <x v="4"/>
    <n v="15000"/>
    <s v="White"/>
    <x v="0"/>
    <x v="3"/>
  </r>
  <r>
    <n v="40"/>
    <x v="4"/>
    <n v="15000"/>
    <s v="White"/>
    <x v="0"/>
    <x v="3"/>
  </r>
  <r>
    <n v="40"/>
    <x v="4"/>
    <n v="15000"/>
    <s v="IndEsk"/>
    <x v="1"/>
    <x v="3"/>
  </r>
  <r>
    <n v="50"/>
    <x v="4"/>
    <n v="15000"/>
    <s v="White"/>
    <x v="1"/>
    <x v="3"/>
  </r>
  <r>
    <n v="40"/>
    <x v="4"/>
    <n v="15000"/>
    <s v="Black"/>
    <x v="1"/>
    <x v="3"/>
  </r>
  <r>
    <n v="40"/>
    <x v="4"/>
    <n v="15000"/>
    <s v="AsianPI"/>
    <x v="0"/>
    <x v="3"/>
  </r>
  <r>
    <n v="40"/>
    <x v="4"/>
    <n v="15000"/>
    <s v="Black"/>
    <x v="0"/>
    <x v="3"/>
  </r>
  <r>
    <n v="40"/>
    <x v="4"/>
    <n v="15000"/>
    <s v="White"/>
    <x v="1"/>
    <x v="3"/>
  </r>
  <r>
    <n v="40"/>
    <x v="4"/>
    <n v="15000"/>
    <s v="White"/>
    <x v="1"/>
    <x v="3"/>
  </r>
  <r>
    <n v="40"/>
    <x v="4"/>
    <n v="15000"/>
    <s v="Black"/>
    <x v="0"/>
    <x v="3"/>
  </r>
  <r>
    <n v="40"/>
    <x v="4"/>
    <n v="15000"/>
    <s v="Black"/>
    <x v="0"/>
    <x v="3"/>
  </r>
  <r>
    <n v="40"/>
    <x v="4"/>
    <n v="15000"/>
    <s v="Black"/>
    <x v="0"/>
    <x v="3"/>
  </r>
  <r>
    <n v="35"/>
    <x v="4"/>
    <n v="15000"/>
    <s v="Black"/>
    <x v="0"/>
    <x v="3"/>
  </r>
  <r>
    <n v="40"/>
    <x v="4"/>
    <n v="15000"/>
    <s v="White"/>
    <x v="1"/>
    <x v="3"/>
  </r>
  <r>
    <n v="35"/>
    <x v="4"/>
    <n v="15000"/>
    <s v="Black"/>
    <x v="0"/>
    <x v="3"/>
  </r>
  <r>
    <n v="40"/>
    <x v="4"/>
    <n v="15000"/>
    <s v="White"/>
    <x v="1"/>
    <x v="3"/>
  </r>
  <r>
    <n v="40"/>
    <x v="4"/>
    <n v="15000"/>
    <s v="White"/>
    <x v="0"/>
    <x v="3"/>
  </r>
  <r>
    <n v="40"/>
    <x v="4"/>
    <n v="15000"/>
    <s v="White"/>
    <x v="1"/>
    <x v="3"/>
  </r>
  <r>
    <n v="40"/>
    <x v="4"/>
    <n v="15000"/>
    <s v="White"/>
    <x v="0"/>
    <x v="3"/>
  </r>
  <r>
    <n v="40"/>
    <x v="4"/>
    <n v="15000"/>
    <s v="White"/>
    <x v="1"/>
    <x v="3"/>
  </r>
  <r>
    <n v="35"/>
    <x v="4"/>
    <n v="15000"/>
    <s v="White"/>
    <x v="0"/>
    <x v="3"/>
  </r>
  <r>
    <n v="40"/>
    <x v="4"/>
    <n v="15000"/>
    <s v="White"/>
    <x v="1"/>
    <x v="3"/>
  </r>
  <r>
    <n v="37"/>
    <x v="4"/>
    <n v="15000"/>
    <s v="White"/>
    <x v="0"/>
    <x v="3"/>
  </r>
  <r>
    <n v="40"/>
    <x v="4"/>
    <n v="15000"/>
    <s v="White"/>
    <x v="1"/>
    <x v="3"/>
  </r>
  <r>
    <n v="40"/>
    <x v="4"/>
    <n v="15000"/>
    <s v="White"/>
    <x v="1"/>
    <x v="3"/>
  </r>
  <r>
    <n v="40"/>
    <x v="4"/>
    <n v="15000"/>
    <s v="White"/>
    <x v="1"/>
    <x v="3"/>
  </r>
  <r>
    <n v="40"/>
    <x v="4"/>
    <n v="15000"/>
    <s v="White"/>
    <x v="1"/>
    <x v="3"/>
  </r>
  <r>
    <n v="42"/>
    <x v="4"/>
    <n v="15000"/>
    <s v="White"/>
    <x v="0"/>
    <x v="3"/>
  </r>
  <r>
    <n v="40"/>
    <x v="4"/>
    <n v="15000"/>
    <s v="White"/>
    <x v="0"/>
    <x v="3"/>
  </r>
  <r>
    <n v="40"/>
    <x v="4"/>
    <n v="15000"/>
    <s v="White"/>
    <x v="0"/>
    <x v="3"/>
  </r>
  <r>
    <n v="40"/>
    <x v="4"/>
    <n v="15000"/>
    <s v="Black"/>
    <x v="0"/>
    <x v="3"/>
  </r>
  <r>
    <n v="44"/>
    <x v="4"/>
    <n v="15000"/>
    <s v="White"/>
    <x v="0"/>
    <x v="3"/>
  </r>
  <r>
    <n v="58"/>
    <x v="4"/>
    <n v="15000"/>
    <s v="White"/>
    <x v="1"/>
    <x v="3"/>
  </r>
  <r>
    <n v="40"/>
    <x v="4"/>
    <n v="15000"/>
    <s v="White"/>
    <x v="0"/>
    <x v="3"/>
  </r>
  <r>
    <n v="40"/>
    <x v="4"/>
    <n v="15000"/>
    <s v="White"/>
    <x v="0"/>
    <x v="3"/>
  </r>
  <r>
    <n v="0"/>
    <x v="4"/>
    <n v="15000"/>
    <s v="White"/>
    <x v="1"/>
    <x v="3"/>
  </r>
  <r>
    <n v="35"/>
    <x v="4"/>
    <n v="15000"/>
    <s v="White"/>
    <x v="0"/>
    <x v="3"/>
  </r>
  <r>
    <n v="40"/>
    <x v="4"/>
    <n v="15000"/>
    <s v="White"/>
    <x v="0"/>
    <x v="3"/>
  </r>
  <r>
    <n v="40"/>
    <x v="4"/>
    <n v="15002"/>
    <s v="White"/>
    <x v="1"/>
    <x v="3"/>
  </r>
  <r>
    <n v="40"/>
    <x v="4"/>
    <n v="15499"/>
    <s v="White"/>
    <x v="0"/>
    <x v="3"/>
  </r>
  <r>
    <n v="40"/>
    <x v="4"/>
    <n v="15500"/>
    <s v="Black"/>
    <x v="0"/>
    <x v="3"/>
  </r>
  <r>
    <n v="40"/>
    <x v="4"/>
    <n v="15500"/>
    <s v="White"/>
    <x v="0"/>
    <x v="3"/>
  </r>
  <r>
    <n v="52"/>
    <x v="4"/>
    <n v="15600"/>
    <s v="Black"/>
    <x v="1"/>
    <x v="3"/>
  </r>
  <r>
    <n v="40"/>
    <x v="4"/>
    <n v="15600"/>
    <s v="White"/>
    <x v="0"/>
    <x v="3"/>
  </r>
  <r>
    <n v="40"/>
    <x v="4"/>
    <n v="15600"/>
    <s v="White"/>
    <x v="1"/>
    <x v="3"/>
  </r>
  <r>
    <n v="60"/>
    <x v="4"/>
    <n v="15600"/>
    <s v="White"/>
    <x v="1"/>
    <x v="3"/>
  </r>
  <r>
    <n v="40"/>
    <x v="4"/>
    <n v="15600"/>
    <s v="White"/>
    <x v="1"/>
    <x v="3"/>
  </r>
  <r>
    <n v="35"/>
    <x v="4"/>
    <n v="15600"/>
    <s v="White"/>
    <x v="0"/>
    <x v="3"/>
  </r>
  <r>
    <n v="40"/>
    <x v="4"/>
    <n v="15600"/>
    <s v="White"/>
    <x v="1"/>
    <x v="3"/>
  </r>
  <r>
    <n v="45"/>
    <x v="4"/>
    <n v="16000"/>
    <s v="White"/>
    <x v="1"/>
    <x v="3"/>
  </r>
  <r>
    <n v="50"/>
    <x v="4"/>
    <n v="16000"/>
    <s v="Black"/>
    <x v="0"/>
    <x v="3"/>
  </r>
  <r>
    <n v="40"/>
    <x v="4"/>
    <n v="16000"/>
    <s v="White"/>
    <x v="0"/>
    <x v="3"/>
  </r>
  <r>
    <n v="40"/>
    <x v="4"/>
    <n v="16000"/>
    <s v="White"/>
    <x v="0"/>
    <x v="3"/>
  </r>
  <r>
    <n v="45"/>
    <x v="4"/>
    <n v="16000"/>
    <s v="White"/>
    <x v="1"/>
    <x v="3"/>
  </r>
  <r>
    <n v="40"/>
    <x v="4"/>
    <n v="16000"/>
    <s v="White"/>
    <x v="1"/>
    <x v="3"/>
  </r>
  <r>
    <n v="40"/>
    <x v="4"/>
    <n v="16000"/>
    <s v="White"/>
    <x v="0"/>
    <x v="3"/>
  </r>
  <r>
    <n v="40"/>
    <x v="4"/>
    <n v="16000"/>
    <s v="White"/>
    <x v="0"/>
    <x v="3"/>
  </r>
  <r>
    <n v="40"/>
    <x v="4"/>
    <n v="16000"/>
    <s v="White"/>
    <x v="0"/>
    <x v="3"/>
  </r>
  <r>
    <n v="40"/>
    <x v="4"/>
    <n v="16000"/>
    <s v="White"/>
    <x v="0"/>
    <x v="3"/>
  </r>
  <r>
    <n v="35"/>
    <x v="4"/>
    <n v="16000"/>
    <s v="White"/>
    <x v="0"/>
    <x v="3"/>
  </r>
  <r>
    <n v="70"/>
    <x v="4"/>
    <n v="16000"/>
    <s v="White"/>
    <x v="1"/>
    <x v="3"/>
  </r>
  <r>
    <n v="40"/>
    <x v="4"/>
    <n v="16000"/>
    <s v="Black"/>
    <x v="0"/>
    <x v="3"/>
  </r>
  <r>
    <n v="45"/>
    <x v="4"/>
    <n v="16000"/>
    <s v="White"/>
    <x v="1"/>
    <x v="3"/>
  </r>
  <r>
    <n v="40"/>
    <x v="4"/>
    <n v="16000"/>
    <s v="White"/>
    <x v="0"/>
    <x v="3"/>
  </r>
  <r>
    <n v="80"/>
    <x v="4"/>
    <n v="16000"/>
    <s v="Black"/>
    <x v="0"/>
    <x v="3"/>
  </r>
  <r>
    <n v="45"/>
    <x v="4"/>
    <n v="16000"/>
    <s v="White"/>
    <x v="1"/>
    <x v="3"/>
  </r>
  <r>
    <n v="60"/>
    <x v="4"/>
    <n v="16000"/>
    <s v="White"/>
    <x v="1"/>
    <x v="3"/>
  </r>
  <r>
    <n v="40"/>
    <x v="4"/>
    <n v="16000"/>
    <s v="White"/>
    <x v="1"/>
    <x v="3"/>
  </r>
  <r>
    <n v="40"/>
    <x v="4"/>
    <n v="16000"/>
    <s v="Black"/>
    <x v="0"/>
    <x v="3"/>
  </r>
  <r>
    <n v="50"/>
    <x v="4"/>
    <n v="16000"/>
    <s v="White"/>
    <x v="0"/>
    <x v="3"/>
  </r>
  <r>
    <n v="36"/>
    <x v="4"/>
    <n v="16000"/>
    <s v="White"/>
    <x v="0"/>
    <x v="3"/>
  </r>
  <r>
    <n v="45"/>
    <x v="4"/>
    <n v="16000"/>
    <s v="White"/>
    <x v="1"/>
    <x v="3"/>
  </r>
  <r>
    <n v="48"/>
    <x v="4"/>
    <n v="16000"/>
    <s v="White"/>
    <x v="1"/>
    <x v="3"/>
  </r>
  <r>
    <n v="35"/>
    <x v="4"/>
    <n v="16000"/>
    <s v="White"/>
    <x v="0"/>
    <x v="3"/>
  </r>
  <r>
    <n v="44"/>
    <x v="4"/>
    <n v="16092"/>
    <s v="White"/>
    <x v="1"/>
    <x v="3"/>
  </r>
  <r>
    <n v="40"/>
    <x v="4"/>
    <n v="16112"/>
    <s v="White"/>
    <x v="0"/>
    <x v="3"/>
  </r>
  <r>
    <n v="40"/>
    <x v="4"/>
    <n v="16160"/>
    <s v="White"/>
    <x v="0"/>
    <x v="3"/>
  </r>
  <r>
    <n v="40"/>
    <x v="4"/>
    <n v="16200"/>
    <s v="White"/>
    <x v="1"/>
    <x v="3"/>
  </r>
  <r>
    <n v="40"/>
    <x v="4"/>
    <n v="16200"/>
    <s v="White"/>
    <x v="1"/>
    <x v="3"/>
  </r>
  <r>
    <n v="40"/>
    <x v="4"/>
    <n v="16400"/>
    <s v="White"/>
    <x v="1"/>
    <x v="3"/>
  </r>
  <r>
    <n v="38"/>
    <x v="4"/>
    <n v="16475"/>
    <s v="White"/>
    <x v="0"/>
    <x v="3"/>
  </r>
  <r>
    <n v="38"/>
    <x v="4"/>
    <n v="16510"/>
    <s v="White"/>
    <x v="0"/>
    <x v="3"/>
  </r>
  <r>
    <n v="37"/>
    <x v="4"/>
    <n v="16560"/>
    <s v="White"/>
    <x v="0"/>
    <x v="3"/>
  </r>
  <r>
    <n v="40"/>
    <x v="4"/>
    <n v="16625"/>
    <s v="White"/>
    <x v="0"/>
    <x v="3"/>
  </r>
  <r>
    <n v="40"/>
    <x v="4"/>
    <n v="16640"/>
    <s v="White"/>
    <x v="0"/>
    <x v="3"/>
  </r>
  <r>
    <n v="40"/>
    <x v="4"/>
    <n v="16640"/>
    <s v="White"/>
    <x v="1"/>
    <x v="3"/>
  </r>
  <r>
    <n v="43"/>
    <x v="4"/>
    <n v="16700"/>
    <s v="White"/>
    <x v="0"/>
    <x v="3"/>
  </r>
  <r>
    <n v="35"/>
    <x v="4"/>
    <n v="16700"/>
    <s v="White"/>
    <x v="0"/>
    <x v="3"/>
  </r>
  <r>
    <n v="0"/>
    <x v="4"/>
    <n v="16700"/>
    <s v="Black"/>
    <x v="0"/>
    <x v="3"/>
  </r>
  <r>
    <n v="65"/>
    <x v="4"/>
    <n v="16748"/>
    <s v="White"/>
    <x v="1"/>
    <x v="3"/>
  </r>
  <r>
    <n v="40"/>
    <x v="4"/>
    <n v="16800"/>
    <s v="White"/>
    <x v="1"/>
    <x v="3"/>
  </r>
  <r>
    <n v="40"/>
    <x v="4"/>
    <n v="16800"/>
    <s v="White"/>
    <x v="1"/>
    <x v="3"/>
  </r>
  <r>
    <n v="38"/>
    <x v="4"/>
    <n v="16830"/>
    <s v="White"/>
    <x v="1"/>
    <x v="3"/>
  </r>
  <r>
    <n v="40"/>
    <x v="4"/>
    <n v="16860"/>
    <s v="White"/>
    <x v="1"/>
    <x v="3"/>
  </r>
  <r>
    <n v="53"/>
    <x v="4"/>
    <n v="16900"/>
    <s v="White"/>
    <x v="0"/>
    <x v="3"/>
  </r>
  <r>
    <n v="45"/>
    <x v="4"/>
    <n v="16900"/>
    <s v="White"/>
    <x v="1"/>
    <x v="3"/>
  </r>
  <r>
    <n v="40"/>
    <x v="4"/>
    <n v="17000"/>
    <s v="White"/>
    <x v="0"/>
    <x v="3"/>
  </r>
  <r>
    <n v="45"/>
    <x v="4"/>
    <n v="17000"/>
    <s v="White"/>
    <x v="0"/>
    <x v="3"/>
  </r>
  <r>
    <n v="45"/>
    <x v="4"/>
    <n v="17000"/>
    <s v="White"/>
    <x v="0"/>
    <x v="3"/>
  </r>
  <r>
    <n v="40"/>
    <x v="4"/>
    <n v="17000"/>
    <s v="White"/>
    <x v="0"/>
    <x v="3"/>
  </r>
  <r>
    <n v="40"/>
    <x v="4"/>
    <n v="17000"/>
    <s v="White"/>
    <x v="0"/>
    <x v="3"/>
  </r>
  <r>
    <n v="40"/>
    <x v="4"/>
    <n v="17000"/>
    <s v="White"/>
    <x v="1"/>
    <x v="3"/>
  </r>
  <r>
    <n v="40"/>
    <x v="4"/>
    <n v="17000"/>
    <s v="White"/>
    <x v="1"/>
    <x v="3"/>
  </r>
  <r>
    <n v="40"/>
    <x v="4"/>
    <n v="17000"/>
    <s v="White"/>
    <x v="0"/>
    <x v="3"/>
  </r>
  <r>
    <n v="0"/>
    <x v="4"/>
    <n v="17000"/>
    <s v="White"/>
    <x v="0"/>
    <x v="3"/>
  </r>
  <r>
    <n v="38"/>
    <x v="4"/>
    <n v="17000"/>
    <s v="White"/>
    <x v="0"/>
    <x v="3"/>
  </r>
  <r>
    <n v="40"/>
    <x v="4"/>
    <n v="17000"/>
    <s v="White"/>
    <x v="1"/>
    <x v="3"/>
  </r>
  <r>
    <n v="40"/>
    <x v="4"/>
    <n v="17000"/>
    <s v="White"/>
    <x v="1"/>
    <x v="3"/>
  </r>
  <r>
    <n v="40"/>
    <x v="4"/>
    <n v="17000"/>
    <s v="White"/>
    <x v="1"/>
    <x v="3"/>
  </r>
  <r>
    <n v="0"/>
    <x v="4"/>
    <n v="17000"/>
    <s v="Black"/>
    <x v="0"/>
    <x v="3"/>
  </r>
  <r>
    <n v="45"/>
    <x v="4"/>
    <n v="17000"/>
    <s v="White"/>
    <x v="0"/>
    <x v="3"/>
  </r>
  <r>
    <n v="40"/>
    <x v="4"/>
    <n v="17000"/>
    <s v="White"/>
    <x v="1"/>
    <x v="3"/>
  </r>
  <r>
    <n v="40"/>
    <x v="4"/>
    <n v="17000"/>
    <s v="Black"/>
    <x v="0"/>
    <x v="3"/>
  </r>
  <r>
    <n v="40"/>
    <x v="4"/>
    <n v="17000"/>
    <s v="Black"/>
    <x v="1"/>
    <x v="3"/>
  </r>
  <r>
    <n v="40"/>
    <x v="4"/>
    <n v="17000"/>
    <s v="White"/>
    <x v="1"/>
    <x v="3"/>
  </r>
  <r>
    <n v="40"/>
    <x v="4"/>
    <n v="17000"/>
    <s v="Black"/>
    <x v="0"/>
    <x v="3"/>
  </r>
  <r>
    <n v="40"/>
    <x v="4"/>
    <n v="17000"/>
    <s v="White"/>
    <x v="1"/>
    <x v="3"/>
  </r>
  <r>
    <n v="40"/>
    <x v="4"/>
    <n v="17000"/>
    <s v="White"/>
    <x v="0"/>
    <x v="3"/>
  </r>
  <r>
    <n v="45"/>
    <x v="4"/>
    <n v="17000"/>
    <s v="White"/>
    <x v="0"/>
    <x v="3"/>
  </r>
  <r>
    <n v="40"/>
    <x v="4"/>
    <n v="17000"/>
    <s v="Black"/>
    <x v="0"/>
    <x v="3"/>
  </r>
  <r>
    <n v="40"/>
    <x v="4"/>
    <n v="17200"/>
    <s v="White"/>
    <x v="0"/>
    <x v="3"/>
  </r>
  <r>
    <n v="72"/>
    <x v="4"/>
    <n v="17360"/>
    <s v="White"/>
    <x v="0"/>
    <x v="3"/>
  </r>
  <r>
    <n v="40"/>
    <x v="4"/>
    <n v="17400"/>
    <s v="White"/>
    <x v="1"/>
    <x v="3"/>
  </r>
  <r>
    <n v="40"/>
    <x v="4"/>
    <n v="17500"/>
    <s v="White"/>
    <x v="0"/>
    <x v="3"/>
  </r>
  <r>
    <n v="40"/>
    <x v="4"/>
    <n v="17500"/>
    <s v="White"/>
    <x v="1"/>
    <x v="3"/>
  </r>
  <r>
    <n v="38"/>
    <x v="4"/>
    <n v="17500"/>
    <s v="White"/>
    <x v="0"/>
    <x v="3"/>
  </r>
  <r>
    <n v="40"/>
    <x v="4"/>
    <n v="17500"/>
    <s v="Black"/>
    <x v="0"/>
    <x v="3"/>
  </r>
  <r>
    <n v="40"/>
    <x v="4"/>
    <n v="17600"/>
    <s v="Black"/>
    <x v="0"/>
    <x v="3"/>
  </r>
  <r>
    <n v="38"/>
    <x v="4"/>
    <n v="17600"/>
    <s v="Black"/>
    <x v="0"/>
    <x v="3"/>
  </r>
  <r>
    <n v="40"/>
    <x v="4"/>
    <n v="17680"/>
    <s v="White"/>
    <x v="0"/>
    <x v="3"/>
  </r>
  <r>
    <n v="40"/>
    <x v="4"/>
    <n v="17680"/>
    <s v="White"/>
    <x v="0"/>
    <x v="3"/>
  </r>
  <r>
    <n v="45"/>
    <x v="4"/>
    <n v="17680"/>
    <s v="White"/>
    <x v="0"/>
    <x v="3"/>
  </r>
  <r>
    <n v="40"/>
    <x v="4"/>
    <n v="17740"/>
    <s v="White"/>
    <x v="0"/>
    <x v="3"/>
  </r>
  <r>
    <n v="40"/>
    <x v="4"/>
    <n v="17755"/>
    <s v="White"/>
    <x v="1"/>
    <x v="3"/>
  </r>
  <r>
    <n v="40"/>
    <x v="4"/>
    <n v="17800"/>
    <s v="White"/>
    <x v="0"/>
    <x v="3"/>
  </r>
  <r>
    <n v="53"/>
    <x v="4"/>
    <n v="18000"/>
    <s v="White"/>
    <x v="0"/>
    <x v="3"/>
  </r>
  <r>
    <n v="40"/>
    <x v="4"/>
    <n v="18000"/>
    <s v="White"/>
    <x v="0"/>
    <x v="3"/>
  </r>
  <r>
    <n v="45"/>
    <x v="4"/>
    <n v="18000"/>
    <s v="White"/>
    <x v="0"/>
    <x v="3"/>
  </r>
  <r>
    <n v="38"/>
    <x v="4"/>
    <n v="18000"/>
    <s v="Black"/>
    <x v="1"/>
    <x v="3"/>
  </r>
  <r>
    <n v="6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0"/>
    <x v="3"/>
  </r>
  <r>
    <n v="0"/>
    <x v="4"/>
    <n v="18000"/>
    <s v="White"/>
    <x v="1"/>
    <x v="3"/>
  </r>
  <r>
    <n v="40"/>
    <x v="4"/>
    <n v="18000"/>
    <s v="White"/>
    <x v="0"/>
    <x v="3"/>
  </r>
  <r>
    <n v="40"/>
    <x v="4"/>
    <n v="18000"/>
    <s v="White"/>
    <x v="1"/>
    <x v="3"/>
  </r>
  <r>
    <n v="45"/>
    <x v="4"/>
    <n v="18000"/>
    <s v="White"/>
    <x v="0"/>
    <x v="3"/>
  </r>
  <r>
    <n v="40"/>
    <x v="4"/>
    <n v="18000"/>
    <s v="White"/>
    <x v="1"/>
    <x v="3"/>
  </r>
  <r>
    <n v="40"/>
    <x v="4"/>
    <n v="18000"/>
    <s v="White"/>
    <x v="1"/>
    <x v="3"/>
  </r>
  <r>
    <n v="4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1"/>
    <x v="3"/>
  </r>
  <r>
    <n v="38"/>
    <x v="4"/>
    <n v="18000"/>
    <s v="White"/>
    <x v="0"/>
    <x v="3"/>
  </r>
  <r>
    <n v="48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1"/>
    <x v="3"/>
  </r>
  <r>
    <n v="40"/>
    <x v="4"/>
    <n v="18000"/>
    <s v="White"/>
    <x v="1"/>
    <x v="3"/>
  </r>
  <r>
    <n v="35"/>
    <x v="4"/>
    <n v="18000"/>
    <s v="White"/>
    <x v="0"/>
    <x v="3"/>
  </r>
  <r>
    <n v="35"/>
    <x v="4"/>
    <n v="18000"/>
    <s v="White"/>
    <x v="0"/>
    <x v="3"/>
  </r>
  <r>
    <n v="40"/>
    <x v="4"/>
    <n v="18000"/>
    <s v="Black"/>
    <x v="0"/>
    <x v="3"/>
  </r>
  <r>
    <n v="4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0"/>
    <x v="3"/>
  </r>
  <r>
    <n v="65"/>
    <x v="4"/>
    <n v="18000"/>
    <s v="White"/>
    <x v="1"/>
    <x v="3"/>
  </r>
  <r>
    <n v="45"/>
    <x v="4"/>
    <n v="18000"/>
    <s v="White"/>
    <x v="0"/>
    <x v="3"/>
  </r>
  <r>
    <n v="40"/>
    <x v="4"/>
    <n v="18000"/>
    <s v="White"/>
    <x v="0"/>
    <x v="3"/>
  </r>
  <r>
    <n v="70"/>
    <x v="4"/>
    <n v="18000"/>
    <s v="White"/>
    <x v="1"/>
    <x v="3"/>
  </r>
  <r>
    <n v="40"/>
    <x v="4"/>
    <n v="18000"/>
    <s v="White"/>
    <x v="0"/>
    <x v="3"/>
  </r>
  <r>
    <n v="40"/>
    <x v="4"/>
    <n v="18000"/>
    <s v="White"/>
    <x v="0"/>
    <x v="3"/>
  </r>
  <r>
    <n v="45"/>
    <x v="4"/>
    <n v="18000"/>
    <s v="White"/>
    <x v="0"/>
    <x v="3"/>
  </r>
  <r>
    <n v="40"/>
    <x v="4"/>
    <n v="18000"/>
    <s v="White"/>
    <x v="0"/>
    <x v="3"/>
  </r>
  <r>
    <n v="60"/>
    <x v="4"/>
    <n v="18000"/>
    <s v="White"/>
    <x v="1"/>
    <x v="3"/>
  </r>
  <r>
    <n v="40"/>
    <x v="4"/>
    <n v="18000"/>
    <s v="White"/>
    <x v="0"/>
    <x v="3"/>
  </r>
  <r>
    <n v="50"/>
    <x v="4"/>
    <n v="18000"/>
    <s v="Black"/>
    <x v="0"/>
    <x v="3"/>
  </r>
  <r>
    <n v="40"/>
    <x v="4"/>
    <n v="18000"/>
    <s v="Black"/>
    <x v="0"/>
    <x v="3"/>
  </r>
  <r>
    <n v="0"/>
    <x v="4"/>
    <n v="18000"/>
    <s v="Black"/>
    <x v="1"/>
    <x v="3"/>
  </r>
  <r>
    <n v="4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1"/>
    <x v="3"/>
  </r>
  <r>
    <n v="40"/>
    <x v="4"/>
    <n v="18000"/>
    <s v="White"/>
    <x v="0"/>
    <x v="3"/>
  </r>
  <r>
    <n v="40"/>
    <x v="4"/>
    <n v="18000"/>
    <s v="White"/>
    <x v="0"/>
    <x v="3"/>
  </r>
  <r>
    <n v="40"/>
    <x v="4"/>
    <n v="18000"/>
    <s v="White"/>
    <x v="0"/>
    <x v="3"/>
  </r>
  <r>
    <n v="36"/>
    <x v="4"/>
    <n v="18000"/>
    <s v="White"/>
    <x v="1"/>
    <x v="3"/>
  </r>
  <r>
    <n v="40"/>
    <x v="4"/>
    <n v="18000"/>
    <s v="Black"/>
    <x v="0"/>
    <x v="3"/>
  </r>
  <r>
    <n v="45"/>
    <x v="4"/>
    <n v="18000"/>
    <s v="White"/>
    <x v="0"/>
    <x v="3"/>
  </r>
  <r>
    <n v="40"/>
    <x v="4"/>
    <n v="18000"/>
    <s v="White"/>
    <x v="1"/>
    <x v="3"/>
  </r>
  <r>
    <n v="40"/>
    <x v="4"/>
    <n v="18000"/>
    <s v="White"/>
    <x v="0"/>
    <x v="3"/>
  </r>
  <r>
    <n v="40"/>
    <x v="4"/>
    <n v="18005"/>
    <s v="White"/>
    <x v="1"/>
    <x v="3"/>
  </r>
  <r>
    <n v="40"/>
    <x v="4"/>
    <n v="18200"/>
    <s v="Black"/>
    <x v="1"/>
    <x v="3"/>
  </r>
  <r>
    <n v="40"/>
    <x v="4"/>
    <n v="18200"/>
    <s v="White"/>
    <x v="1"/>
    <x v="3"/>
  </r>
  <r>
    <n v="0"/>
    <x v="4"/>
    <n v="18200"/>
    <s v="White"/>
    <x v="0"/>
    <x v="3"/>
  </r>
  <r>
    <n v="40"/>
    <x v="4"/>
    <n v="18200"/>
    <s v="Black"/>
    <x v="1"/>
    <x v="3"/>
  </r>
  <r>
    <n v="40"/>
    <x v="4"/>
    <n v="18200"/>
    <s v="White"/>
    <x v="1"/>
    <x v="3"/>
  </r>
  <r>
    <n v="46"/>
    <x v="4"/>
    <n v="18300"/>
    <s v="White"/>
    <x v="0"/>
    <x v="3"/>
  </r>
  <r>
    <n v="40"/>
    <x v="4"/>
    <n v="18320"/>
    <s v="White"/>
    <x v="0"/>
    <x v="3"/>
  </r>
  <r>
    <n v="41"/>
    <x v="4"/>
    <n v="18365"/>
    <s v="White"/>
    <x v="0"/>
    <x v="3"/>
  </r>
  <r>
    <n v="50"/>
    <x v="4"/>
    <n v="18500"/>
    <s v="Black"/>
    <x v="0"/>
    <x v="3"/>
  </r>
  <r>
    <n v="40"/>
    <x v="4"/>
    <n v="18500"/>
    <s v="White"/>
    <x v="0"/>
    <x v="3"/>
  </r>
  <r>
    <n v="40"/>
    <x v="4"/>
    <n v="18600"/>
    <s v="White"/>
    <x v="1"/>
    <x v="3"/>
  </r>
  <r>
    <n v="40"/>
    <x v="4"/>
    <n v="18600"/>
    <s v="White"/>
    <x v="1"/>
    <x v="3"/>
  </r>
  <r>
    <n v="48"/>
    <x v="4"/>
    <n v="18700"/>
    <s v="White"/>
    <x v="0"/>
    <x v="3"/>
  </r>
  <r>
    <n v="52"/>
    <x v="4"/>
    <n v="18720"/>
    <s v="Black"/>
    <x v="1"/>
    <x v="3"/>
  </r>
  <r>
    <n v="40"/>
    <x v="4"/>
    <n v="18720"/>
    <s v="White"/>
    <x v="1"/>
    <x v="3"/>
  </r>
  <r>
    <n v="40"/>
    <x v="4"/>
    <n v="18720"/>
    <s v="White"/>
    <x v="1"/>
    <x v="3"/>
  </r>
  <r>
    <n v="40"/>
    <x v="4"/>
    <n v="18720"/>
    <s v="White"/>
    <x v="1"/>
    <x v="3"/>
  </r>
  <r>
    <n v="40"/>
    <x v="4"/>
    <n v="18720"/>
    <s v="Black"/>
    <x v="1"/>
    <x v="3"/>
  </r>
  <r>
    <n v="40"/>
    <x v="4"/>
    <n v="18746"/>
    <s v="Black"/>
    <x v="1"/>
    <x v="3"/>
  </r>
  <r>
    <n v="40"/>
    <x v="4"/>
    <n v="18800"/>
    <s v="Black"/>
    <x v="1"/>
    <x v="3"/>
  </r>
  <r>
    <n v="40"/>
    <x v="4"/>
    <n v="18800"/>
    <s v="Black"/>
    <x v="1"/>
    <x v="3"/>
  </r>
  <r>
    <n v="40"/>
    <x v="4"/>
    <n v="19000"/>
    <s v="White"/>
    <x v="0"/>
    <x v="3"/>
  </r>
  <r>
    <n v="40"/>
    <x v="4"/>
    <n v="19000"/>
    <s v="White"/>
    <x v="0"/>
    <x v="3"/>
  </r>
  <r>
    <n v="40"/>
    <x v="4"/>
    <n v="19000"/>
    <s v="White"/>
    <x v="0"/>
    <x v="3"/>
  </r>
  <r>
    <n v="40"/>
    <x v="4"/>
    <n v="19000"/>
    <s v="White"/>
    <x v="0"/>
    <x v="3"/>
  </r>
  <r>
    <n v="40"/>
    <x v="4"/>
    <n v="19000"/>
    <s v="White"/>
    <x v="1"/>
    <x v="3"/>
  </r>
  <r>
    <n v="48"/>
    <x v="4"/>
    <n v="19000"/>
    <s v="White"/>
    <x v="0"/>
    <x v="3"/>
  </r>
  <r>
    <n v="40"/>
    <x v="4"/>
    <n v="19000"/>
    <s v="White"/>
    <x v="1"/>
    <x v="3"/>
  </r>
  <r>
    <n v="40"/>
    <x v="4"/>
    <n v="19000"/>
    <s v="White"/>
    <x v="0"/>
    <x v="3"/>
  </r>
  <r>
    <n v="40"/>
    <x v="4"/>
    <n v="19000"/>
    <s v="White"/>
    <x v="0"/>
    <x v="3"/>
  </r>
  <r>
    <n v="50"/>
    <x v="4"/>
    <n v="19000"/>
    <s v="White"/>
    <x v="0"/>
    <x v="3"/>
  </r>
  <r>
    <n v="40"/>
    <x v="4"/>
    <n v="19000"/>
    <s v="White"/>
    <x v="1"/>
    <x v="3"/>
  </r>
  <r>
    <n v="40"/>
    <x v="4"/>
    <n v="19000"/>
    <s v="White"/>
    <x v="0"/>
    <x v="3"/>
  </r>
  <r>
    <n v="40"/>
    <x v="4"/>
    <n v="19000"/>
    <s v="White"/>
    <x v="0"/>
    <x v="3"/>
  </r>
  <r>
    <n v="40"/>
    <x v="4"/>
    <n v="19000"/>
    <s v="White"/>
    <x v="1"/>
    <x v="3"/>
  </r>
  <r>
    <n v="60"/>
    <x v="4"/>
    <n v="19000"/>
    <s v="White"/>
    <x v="1"/>
    <x v="3"/>
  </r>
  <r>
    <n v="50"/>
    <x v="4"/>
    <n v="19000"/>
    <s v="White"/>
    <x v="1"/>
    <x v="3"/>
  </r>
  <r>
    <n v="40"/>
    <x v="4"/>
    <n v="19000"/>
    <s v="White"/>
    <x v="0"/>
    <x v="3"/>
  </r>
  <r>
    <n v="40"/>
    <x v="4"/>
    <n v="19000"/>
    <s v="Black"/>
    <x v="1"/>
    <x v="3"/>
  </r>
  <r>
    <n v="40"/>
    <x v="4"/>
    <n v="19000"/>
    <s v="White"/>
    <x v="0"/>
    <x v="3"/>
  </r>
  <r>
    <n v="40"/>
    <x v="4"/>
    <n v="19000"/>
    <s v="White"/>
    <x v="0"/>
    <x v="3"/>
  </r>
  <r>
    <n v="40"/>
    <x v="4"/>
    <n v="19000"/>
    <s v="White"/>
    <x v="1"/>
    <x v="3"/>
  </r>
  <r>
    <n v="40"/>
    <x v="4"/>
    <n v="19000"/>
    <s v="White"/>
    <x v="0"/>
    <x v="3"/>
  </r>
  <r>
    <n v="40"/>
    <x v="4"/>
    <n v="19000"/>
    <s v="White"/>
    <x v="0"/>
    <x v="3"/>
  </r>
  <r>
    <n v="53"/>
    <x v="4"/>
    <n v="19000"/>
    <s v="White"/>
    <x v="1"/>
    <x v="3"/>
  </r>
  <r>
    <n v="40"/>
    <x v="4"/>
    <n v="19056"/>
    <s v="White"/>
    <x v="1"/>
    <x v="3"/>
  </r>
  <r>
    <n v="40"/>
    <x v="4"/>
    <n v="19056"/>
    <s v="White"/>
    <x v="1"/>
    <x v="3"/>
  </r>
  <r>
    <n v="40"/>
    <x v="4"/>
    <n v="19200"/>
    <s v="Black"/>
    <x v="1"/>
    <x v="3"/>
  </r>
  <r>
    <n v="40"/>
    <x v="4"/>
    <n v="19200"/>
    <s v="Black"/>
    <x v="0"/>
    <x v="3"/>
  </r>
  <r>
    <n v="40"/>
    <x v="4"/>
    <n v="19500"/>
    <s v="White"/>
    <x v="0"/>
    <x v="3"/>
  </r>
  <r>
    <n v="40"/>
    <x v="4"/>
    <n v="19680"/>
    <s v="White"/>
    <x v="1"/>
    <x v="3"/>
  </r>
  <r>
    <n v="50"/>
    <x v="4"/>
    <n v="19733"/>
    <s v="White"/>
    <x v="1"/>
    <x v="3"/>
  </r>
  <r>
    <n v="38"/>
    <x v="4"/>
    <n v="19760"/>
    <s v="Black"/>
    <x v="0"/>
    <x v="3"/>
  </r>
  <r>
    <n v="45"/>
    <x v="4"/>
    <n v="19940"/>
    <s v="White"/>
    <x v="0"/>
    <x v="3"/>
  </r>
  <r>
    <n v="40"/>
    <x v="4"/>
    <n v="20000"/>
    <s v="White"/>
    <x v="1"/>
    <x v="3"/>
  </r>
  <r>
    <n v="40"/>
    <x v="4"/>
    <n v="20000"/>
    <s v="White"/>
    <x v="1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1"/>
    <x v="3"/>
  </r>
  <r>
    <n v="55"/>
    <x v="4"/>
    <n v="20000"/>
    <s v="White"/>
    <x v="1"/>
    <x v="3"/>
  </r>
  <r>
    <n v="55"/>
    <x v="4"/>
    <n v="20000"/>
    <s v="White"/>
    <x v="1"/>
    <x v="3"/>
  </r>
  <r>
    <n v="40"/>
    <x v="4"/>
    <n v="20000"/>
    <s v="White"/>
    <x v="1"/>
    <x v="3"/>
  </r>
  <r>
    <n v="40"/>
    <x v="4"/>
    <n v="20000"/>
    <s v="White"/>
    <x v="0"/>
    <x v="3"/>
  </r>
  <r>
    <n v="38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0"/>
    <x v="4"/>
    <n v="20000"/>
    <s v="White"/>
    <x v="1"/>
    <x v="3"/>
  </r>
  <r>
    <n v="45"/>
    <x v="4"/>
    <n v="20000"/>
    <s v="White"/>
    <x v="1"/>
    <x v="3"/>
  </r>
  <r>
    <n v="58"/>
    <x v="4"/>
    <n v="20000"/>
    <s v="White"/>
    <x v="1"/>
    <x v="3"/>
  </r>
  <r>
    <n v="40"/>
    <x v="4"/>
    <n v="20000"/>
    <s v="White"/>
    <x v="0"/>
    <x v="3"/>
  </r>
  <r>
    <n v="48"/>
    <x v="4"/>
    <n v="20000"/>
    <s v="Black"/>
    <x v="1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Black"/>
    <x v="0"/>
    <x v="3"/>
  </r>
  <r>
    <n v="50"/>
    <x v="4"/>
    <n v="20000"/>
    <s v="White"/>
    <x v="1"/>
    <x v="3"/>
  </r>
  <r>
    <n v="5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1"/>
    <x v="3"/>
  </r>
  <r>
    <n v="40"/>
    <x v="4"/>
    <n v="20000"/>
    <s v="White"/>
    <x v="1"/>
    <x v="3"/>
  </r>
  <r>
    <n v="40"/>
    <x v="4"/>
    <n v="20000"/>
    <s v="White"/>
    <x v="0"/>
    <x v="3"/>
  </r>
  <r>
    <n v="55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Black"/>
    <x v="1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1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1"/>
    <x v="3"/>
  </r>
  <r>
    <n v="40"/>
    <x v="4"/>
    <n v="20000"/>
    <s v="White"/>
    <x v="1"/>
    <x v="3"/>
  </r>
  <r>
    <n v="35"/>
    <x v="4"/>
    <n v="20000"/>
    <s v="White"/>
    <x v="0"/>
    <x v="3"/>
  </r>
  <r>
    <n v="40"/>
    <x v="4"/>
    <n v="20000"/>
    <s v="White"/>
    <x v="1"/>
    <x v="3"/>
  </r>
  <r>
    <n v="40"/>
    <x v="4"/>
    <n v="20000"/>
    <s v="White"/>
    <x v="1"/>
    <x v="3"/>
  </r>
  <r>
    <n v="40"/>
    <x v="4"/>
    <n v="20000"/>
    <s v="Black"/>
    <x v="1"/>
    <x v="3"/>
  </r>
  <r>
    <n v="44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1"/>
    <x v="3"/>
  </r>
  <r>
    <n v="40"/>
    <x v="4"/>
    <n v="20000"/>
    <s v="Black"/>
    <x v="0"/>
    <x v="3"/>
  </r>
  <r>
    <n v="40"/>
    <x v="4"/>
    <n v="20000"/>
    <s v="White"/>
    <x v="1"/>
    <x v="3"/>
  </r>
  <r>
    <n v="40"/>
    <x v="4"/>
    <n v="20000"/>
    <s v="White"/>
    <x v="0"/>
    <x v="3"/>
  </r>
  <r>
    <n v="40"/>
    <x v="4"/>
    <n v="20000"/>
    <s v="White"/>
    <x v="1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AsianPI"/>
    <x v="0"/>
    <x v="3"/>
  </r>
  <r>
    <n v="40"/>
    <x v="4"/>
    <n v="20000"/>
    <s v="White"/>
    <x v="0"/>
    <x v="3"/>
  </r>
  <r>
    <n v="70"/>
    <x v="4"/>
    <n v="20000"/>
    <s v="White"/>
    <x v="1"/>
    <x v="3"/>
  </r>
  <r>
    <n v="45"/>
    <x v="4"/>
    <n v="20000"/>
    <s v="White"/>
    <x v="1"/>
    <x v="3"/>
  </r>
  <r>
    <n v="40"/>
    <x v="4"/>
    <n v="20000"/>
    <s v="White"/>
    <x v="0"/>
    <x v="3"/>
  </r>
  <r>
    <n v="40"/>
    <x v="4"/>
    <n v="20000"/>
    <s v="White"/>
    <x v="0"/>
    <x v="3"/>
  </r>
  <r>
    <n v="40"/>
    <x v="4"/>
    <n v="20000"/>
    <s v="Black"/>
    <x v="0"/>
    <x v="3"/>
  </r>
  <r>
    <n v="55"/>
    <x v="4"/>
    <n v="20000"/>
    <s v="White"/>
    <x v="1"/>
    <x v="3"/>
  </r>
  <r>
    <n v="50"/>
    <x v="4"/>
    <n v="20000"/>
    <s v="White"/>
    <x v="1"/>
    <x v="3"/>
  </r>
  <r>
    <n v="42"/>
    <x v="4"/>
    <n v="20000"/>
    <s v="White"/>
    <x v="1"/>
    <x v="3"/>
  </r>
  <r>
    <n v="40"/>
    <x v="4"/>
    <n v="20000"/>
    <s v="White"/>
    <x v="0"/>
    <x v="3"/>
  </r>
  <r>
    <n v="40"/>
    <x v="4"/>
    <n v="20000"/>
    <s v="White"/>
    <x v="1"/>
    <x v="3"/>
  </r>
  <r>
    <n v="40"/>
    <x v="4"/>
    <n v="20000"/>
    <s v="Black"/>
    <x v="1"/>
    <x v="3"/>
  </r>
  <r>
    <n v="40"/>
    <x v="4"/>
    <n v="20000"/>
    <s v="White"/>
    <x v="1"/>
    <x v="3"/>
  </r>
  <r>
    <n v="40"/>
    <x v="4"/>
    <n v="20000"/>
    <s v="White"/>
    <x v="1"/>
    <x v="3"/>
  </r>
  <r>
    <n v="40"/>
    <x v="4"/>
    <n v="20000"/>
    <s v="White"/>
    <x v="0"/>
    <x v="3"/>
  </r>
  <r>
    <n v="60"/>
    <x v="4"/>
    <n v="20000"/>
    <s v="White"/>
    <x v="1"/>
    <x v="3"/>
  </r>
  <r>
    <n v="40"/>
    <x v="4"/>
    <n v="20000"/>
    <s v="White"/>
    <x v="0"/>
    <x v="3"/>
  </r>
  <r>
    <n v="40"/>
    <x v="4"/>
    <n v="20000"/>
    <s v="Black"/>
    <x v="0"/>
    <x v="3"/>
  </r>
  <r>
    <n v="40"/>
    <x v="4"/>
    <n v="20000"/>
    <s v="White"/>
    <x v="0"/>
    <x v="3"/>
  </r>
  <r>
    <n v="40"/>
    <x v="4"/>
    <n v="20000"/>
    <s v="White"/>
    <x v="0"/>
    <x v="3"/>
  </r>
  <r>
    <n v="45"/>
    <x v="4"/>
    <n v="20000"/>
    <s v="White"/>
    <x v="1"/>
    <x v="3"/>
  </r>
  <r>
    <n v="40"/>
    <x v="4"/>
    <n v="20000"/>
    <s v="White"/>
    <x v="0"/>
    <x v="3"/>
  </r>
  <r>
    <n v="45"/>
    <x v="4"/>
    <n v="20000"/>
    <s v="White"/>
    <x v="1"/>
    <x v="3"/>
  </r>
  <r>
    <n v="40"/>
    <x v="4"/>
    <n v="20000"/>
    <s v="White"/>
    <x v="1"/>
    <x v="3"/>
  </r>
  <r>
    <n v="40"/>
    <x v="4"/>
    <n v="20005"/>
    <s v="White"/>
    <x v="1"/>
    <x v="3"/>
  </r>
  <r>
    <n v="40"/>
    <x v="4"/>
    <n v="20100"/>
    <s v="White"/>
    <x v="0"/>
    <x v="3"/>
  </r>
  <r>
    <n v="40"/>
    <x v="4"/>
    <n v="20162"/>
    <s v="White"/>
    <x v="0"/>
    <x v="3"/>
  </r>
  <r>
    <n v="40"/>
    <x v="4"/>
    <n v="20289"/>
    <s v="White"/>
    <x v="0"/>
    <x v="3"/>
  </r>
  <r>
    <n v="35"/>
    <x v="4"/>
    <n v="20400"/>
    <s v="White"/>
    <x v="1"/>
    <x v="3"/>
  </r>
  <r>
    <n v="0"/>
    <x v="4"/>
    <n v="20446"/>
    <s v="White"/>
    <x v="0"/>
    <x v="3"/>
  </r>
  <r>
    <n v="50"/>
    <x v="4"/>
    <n v="20470"/>
    <s v="White"/>
    <x v="0"/>
    <x v="3"/>
  </r>
  <r>
    <n v="40"/>
    <x v="4"/>
    <n v="20500"/>
    <s v="White"/>
    <x v="0"/>
    <x v="3"/>
  </r>
  <r>
    <n v="40"/>
    <x v="4"/>
    <n v="20500"/>
    <s v="White"/>
    <x v="1"/>
    <x v="3"/>
  </r>
  <r>
    <n v="40"/>
    <x v="4"/>
    <n v="20547"/>
    <s v="White"/>
    <x v="1"/>
    <x v="3"/>
  </r>
  <r>
    <n v="40"/>
    <x v="4"/>
    <n v="20600"/>
    <s v="White"/>
    <x v="1"/>
    <x v="3"/>
  </r>
  <r>
    <n v="40"/>
    <x v="4"/>
    <n v="20800"/>
    <s v="White"/>
    <x v="0"/>
    <x v="3"/>
  </r>
  <r>
    <n v="0"/>
    <x v="4"/>
    <n v="20800"/>
    <s v="White"/>
    <x v="1"/>
    <x v="3"/>
  </r>
  <r>
    <n v="50"/>
    <x v="4"/>
    <n v="20800"/>
    <s v="White"/>
    <x v="1"/>
    <x v="3"/>
  </r>
  <r>
    <n v="40"/>
    <x v="4"/>
    <n v="20800"/>
    <s v="Black"/>
    <x v="0"/>
    <x v="3"/>
  </r>
  <r>
    <n v="40"/>
    <x v="4"/>
    <n v="20800"/>
    <s v="White"/>
    <x v="1"/>
    <x v="3"/>
  </r>
  <r>
    <n v="0"/>
    <x v="4"/>
    <n v="20800"/>
    <s v="Black"/>
    <x v="1"/>
    <x v="3"/>
  </r>
  <r>
    <n v="40"/>
    <x v="4"/>
    <n v="20800"/>
    <s v="Black"/>
    <x v="1"/>
    <x v="3"/>
  </r>
  <r>
    <n v="40"/>
    <x v="4"/>
    <n v="20800"/>
    <s v="White"/>
    <x v="1"/>
    <x v="3"/>
  </r>
  <r>
    <n v="40"/>
    <x v="4"/>
    <n v="20840"/>
    <s v="White"/>
    <x v="0"/>
    <x v="3"/>
  </r>
  <r>
    <n v="40"/>
    <x v="4"/>
    <n v="20900"/>
    <s v="White"/>
    <x v="0"/>
    <x v="3"/>
  </r>
  <r>
    <n v="45"/>
    <x v="4"/>
    <n v="21000"/>
    <s v="White"/>
    <x v="1"/>
    <x v="3"/>
  </r>
  <r>
    <n v="35"/>
    <x v="4"/>
    <n v="21000"/>
    <s v="White"/>
    <x v="0"/>
    <x v="3"/>
  </r>
  <r>
    <n v="40"/>
    <x v="4"/>
    <n v="21000"/>
    <s v="White"/>
    <x v="1"/>
    <x v="3"/>
  </r>
  <r>
    <n v="40"/>
    <x v="4"/>
    <n v="21000"/>
    <s v="White"/>
    <x v="1"/>
    <x v="3"/>
  </r>
  <r>
    <n v="40"/>
    <x v="4"/>
    <n v="21000"/>
    <s v="White"/>
    <x v="1"/>
    <x v="3"/>
  </r>
  <r>
    <n v="40"/>
    <x v="4"/>
    <n v="21000"/>
    <s v="White"/>
    <x v="0"/>
    <x v="3"/>
  </r>
  <r>
    <n v="38"/>
    <x v="4"/>
    <n v="21000"/>
    <s v="White"/>
    <x v="0"/>
    <x v="3"/>
  </r>
  <r>
    <n v="40"/>
    <x v="4"/>
    <n v="21000"/>
    <s v="White"/>
    <x v="1"/>
    <x v="3"/>
  </r>
  <r>
    <n v="55"/>
    <x v="4"/>
    <n v="21000"/>
    <s v="White"/>
    <x v="1"/>
    <x v="3"/>
  </r>
  <r>
    <n v="40"/>
    <x v="4"/>
    <n v="21000"/>
    <s v="White"/>
    <x v="0"/>
    <x v="3"/>
  </r>
  <r>
    <n v="49"/>
    <x v="4"/>
    <n v="21000"/>
    <s v="White"/>
    <x v="1"/>
    <x v="3"/>
  </r>
  <r>
    <n v="40"/>
    <x v="4"/>
    <n v="21000"/>
    <s v="White"/>
    <x v="0"/>
    <x v="3"/>
  </r>
  <r>
    <n v="40"/>
    <x v="4"/>
    <n v="21000"/>
    <s v="White"/>
    <x v="1"/>
    <x v="3"/>
  </r>
  <r>
    <n v="40"/>
    <x v="4"/>
    <n v="21000"/>
    <s v="White"/>
    <x v="0"/>
    <x v="3"/>
  </r>
  <r>
    <n v="40"/>
    <x v="4"/>
    <n v="21000"/>
    <s v="White"/>
    <x v="0"/>
    <x v="3"/>
  </r>
  <r>
    <n v="56"/>
    <x v="4"/>
    <n v="21000"/>
    <s v="Black"/>
    <x v="0"/>
    <x v="3"/>
  </r>
  <r>
    <n v="40"/>
    <x v="4"/>
    <n v="21000"/>
    <s v="White"/>
    <x v="0"/>
    <x v="3"/>
  </r>
  <r>
    <n v="40"/>
    <x v="4"/>
    <n v="21000"/>
    <s v="White"/>
    <x v="1"/>
    <x v="3"/>
  </r>
  <r>
    <n v="40"/>
    <x v="4"/>
    <n v="21000"/>
    <s v="White"/>
    <x v="0"/>
    <x v="3"/>
  </r>
  <r>
    <n v="0"/>
    <x v="4"/>
    <n v="21000"/>
    <s v="White"/>
    <x v="1"/>
    <x v="3"/>
  </r>
  <r>
    <n v="40"/>
    <x v="4"/>
    <n v="21000"/>
    <s v="White"/>
    <x v="1"/>
    <x v="3"/>
  </r>
  <r>
    <n v="40"/>
    <x v="4"/>
    <n v="21000"/>
    <s v="White"/>
    <x v="0"/>
    <x v="3"/>
  </r>
  <r>
    <n v="40"/>
    <x v="4"/>
    <n v="21000"/>
    <s v="White"/>
    <x v="1"/>
    <x v="3"/>
  </r>
  <r>
    <n v="40"/>
    <x v="4"/>
    <n v="21000"/>
    <s v="White"/>
    <x v="0"/>
    <x v="3"/>
  </r>
  <r>
    <n v="40"/>
    <x v="4"/>
    <n v="21000"/>
    <s v="White"/>
    <x v="1"/>
    <x v="3"/>
  </r>
  <r>
    <n v="48"/>
    <x v="4"/>
    <n v="21000"/>
    <s v="White"/>
    <x v="0"/>
    <x v="3"/>
  </r>
  <r>
    <n v="40"/>
    <x v="4"/>
    <n v="21000"/>
    <s v="White"/>
    <x v="1"/>
    <x v="3"/>
  </r>
  <r>
    <n v="38"/>
    <x v="4"/>
    <n v="21000"/>
    <s v="White"/>
    <x v="0"/>
    <x v="3"/>
  </r>
  <r>
    <n v="40"/>
    <x v="4"/>
    <n v="21000"/>
    <s v="White"/>
    <x v="1"/>
    <x v="3"/>
  </r>
  <r>
    <n v="45"/>
    <x v="4"/>
    <n v="21000"/>
    <s v="White"/>
    <x v="1"/>
    <x v="3"/>
  </r>
  <r>
    <n v="40"/>
    <x v="4"/>
    <n v="21087"/>
    <s v="White"/>
    <x v="1"/>
    <x v="3"/>
  </r>
  <r>
    <n v="50"/>
    <x v="4"/>
    <n v="21260"/>
    <s v="White"/>
    <x v="1"/>
    <x v="3"/>
  </r>
  <r>
    <n v="40"/>
    <x v="4"/>
    <n v="21320"/>
    <s v="White"/>
    <x v="1"/>
    <x v="3"/>
  </r>
  <r>
    <n v="40"/>
    <x v="4"/>
    <n v="21400"/>
    <s v="White"/>
    <x v="1"/>
    <x v="3"/>
  </r>
  <r>
    <n v="37"/>
    <x v="4"/>
    <n v="21400"/>
    <s v="White"/>
    <x v="0"/>
    <x v="3"/>
  </r>
  <r>
    <n v="60"/>
    <x v="4"/>
    <n v="21500"/>
    <s v="White"/>
    <x v="1"/>
    <x v="3"/>
  </r>
  <r>
    <n v="50"/>
    <x v="4"/>
    <n v="21500"/>
    <s v="White"/>
    <x v="1"/>
    <x v="3"/>
  </r>
  <r>
    <n v="40"/>
    <x v="4"/>
    <n v="21984"/>
    <s v="White"/>
    <x v="0"/>
    <x v="3"/>
  </r>
  <r>
    <n v="40"/>
    <x v="4"/>
    <n v="22000"/>
    <s v="White"/>
    <x v="0"/>
    <x v="3"/>
  </r>
  <r>
    <n v="40"/>
    <x v="4"/>
    <n v="22000"/>
    <s v="White"/>
    <x v="1"/>
    <x v="3"/>
  </r>
  <r>
    <n v="45"/>
    <x v="4"/>
    <n v="22000"/>
    <s v="White"/>
    <x v="0"/>
    <x v="3"/>
  </r>
  <r>
    <n v="40"/>
    <x v="4"/>
    <n v="22000"/>
    <s v="White"/>
    <x v="1"/>
    <x v="3"/>
  </r>
  <r>
    <n v="40"/>
    <x v="4"/>
    <n v="22000"/>
    <s v="White"/>
    <x v="1"/>
    <x v="3"/>
  </r>
  <r>
    <n v="55"/>
    <x v="4"/>
    <n v="22000"/>
    <s v="White"/>
    <x v="1"/>
    <x v="3"/>
  </r>
  <r>
    <n v="45"/>
    <x v="4"/>
    <n v="22000"/>
    <s v="White"/>
    <x v="0"/>
    <x v="3"/>
  </r>
  <r>
    <n v="40"/>
    <x v="4"/>
    <n v="22000"/>
    <s v="Black"/>
    <x v="0"/>
    <x v="3"/>
  </r>
  <r>
    <n v="40"/>
    <x v="4"/>
    <n v="22000"/>
    <s v="White"/>
    <x v="1"/>
    <x v="3"/>
  </r>
  <r>
    <n v="40"/>
    <x v="4"/>
    <n v="22000"/>
    <s v="White"/>
    <x v="0"/>
    <x v="3"/>
  </r>
  <r>
    <n v="38"/>
    <x v="4"/>
    <n v="22000"/>
    <s v="White"/>
    <x v="0"/>
    <x v="3"/>
  </r>
  <r>
    <n v="47"/>
    <x v="4"/>
    <n v="22000"/>
    <s v="White"/>
    <x v="0"/>
    <x v="3"/>
  </r>
  <r>
    <n v="40"/>
    <x v="4"/>
    <n v="22000"/>
    <s v="White"/>
    <x v="0"/>
    <x v="3"/>
  </r>
  <r>
    <n v="0"/>
    <x v="4"/>
    <n v="22000"/>
    <s v="White"/>
    <x v="0"/>
    <x v="3"/>
  </r>
  <r>
    <n v="40"/>
    <x v="4"/>
    <n v="22000"/>
    <s v="White"/>
    <x v="1"/>
    <x v="3"/>
  </r>
  <r>
    <n v="40"/>
    <x v="4"/>
    <n v="22000"/>
    <s v="White"/>
    <x v="1"/>
    <x v="3"/>
  </r>
  <r>
    <n v="40"/>
    <x v="4"/>
    <n v="22000"/>
    <s v="White"/>
    <x v="1"/>
    <x v="3"/>
  </r>
  <r>
    <n v="40"/>
    <x v="4"/>
    <n v="22000"/>
    <s v="White"/>
    <x v="0"/>
    <x v="3"/>
  </r>
  <r>
    <n v="40"/>
    <x v="4"/>
    <n v="22000"/>
    <s v="White"/>
    <x v="0"/>
    <x v="3"/>
  </r>
  <r>
    <n v="45"/>
    <x v="4"/>
    <n v="22000"/>
    <s v="White"/>
    <x v="0"/>
    <x v="3"/>
  </r>
  <r>
    <n v="45"/>
    <x v="4"/>
    <n v="22000"/>
    <s v="White"/>
    <x v="0"/>
    <x v="3"/>
  </r>
  <r>
    <n v="40"/>
    <x v="4"/>
    <n v="22000"/>
    <s v="White"/>
    <x v="1"/>
    <x v="3"/>
  </r>
  <r>
    <n v="40"/>
    <x v="4"/>
    <n v="22000"/>
    <s v="White"/>
    <x v="0"/>
    <x v="3"/>
  </r>
  <r>
    <n v="0"/>
    <x v="4"/>
    <n v="22000"/>
    <s v="White"/>
    <x v="1"/>
    <x v="3"/>
  </r>
  <r>
    <n v="40"/>
    <x v="4"/>
    <n v="22000"/>
    <s v="White"/>
    <x v="0"/>
    <x v="3"/>
  </r>
  <r>
    <n v="40"/>
    <x v="4"/>
    <n v="22000"/>
    <s v="White"/>
    <x v="0"/>
    <x v="3"/>
  </r>
  <r>
    <n v="40"/>
    <x v="4"/>
    <n v="22000"/>
    <s v="White"/>
    <x v="1"/>
    <x v="3"/>
  </r>
  <r>
    <n v="40"/>
    <x v="4"/>
    <n v="22000"/>
    <s v="White"/>
    <x v="1"/>
    <x v="3"/>
  </r>
  <r>
    <n v="40"/>
    <x v="4"/>
    <n v="22000"/>
    <s v="White"/>
    <x v="1"/>
    <x v="3"/>
  </r>
  <r>
    <n v="40"/>
    <x v="4"/>
    <n v="22000"/>
    <s v="White"/>
    <x v="0"/>
    <x v="3"/>
  </r>
  <r>
    <n v="40"/>
    <x v="4"/>
    <n v="22000"/>
    <s v="White"/>
    <x v="0"/>
    <x v="3"/>
  </r>
  <r>
    <n v="40"/>
    <x v="4"/>
    <n v="22000"/>
    <s v="White"/>
    <x v="0"/>
    <x v="3"/>
  </r>
  <r>
    <n v="40"/>
    <x v="4"/>
    <n v="22000"/>
    <s v="White"/>
    <x v="0"/>
    <x v="3"/>
  </r>
  <r>
    <n v="45"/>
    <x v="4"/>
    <n v="22000"/>
    <s v="White"/>
    <x v="1"/>
    <x v="3"/>
  </r>
  <r>
    <n v="55"/>
    <x v="4"/>
    <n v="22000"/>
    <s v="White"/>
    <x v="0"/>
    <x v="3"/>
  </r>
  <r>
    <n v="48"/>
    <x v="4"/>
    <n v="22000"/>
    <s v="White"/>
    <x v="1"/>
    <x v="3"/>
  </r>
  <r>
    <n v="0"/>
    <x v="4"/>
    <n v="22000"/>
    <s v="White"/>
    <x v="0"/>
    <x v="3"/>
  </r>
  <r>
    <n v="40"/>
    <x v="4"/>
    <n v="22000"/>
    <s v="Black"/>
    <x v="0"/>
    <x v="3"/>
  </r>
  <r>
    <n v="40"/>
    <x v="4"/>
    <n v="22000"/>
    <s v="White"/>
    <x v="0"/>
    <x v="3"/>
  </r>
  <r>
    <n v="40"/>
    <x v="4"/>
    <n v="22100"/>
    <s v="White"/>
    <x v="1"/>
    <x v="3"/>
  </r>
  <r>
    <n v="40"/>
    <x v="4"/>
    <n v="22414"/>
    <s v="White"/>
    <x v="1"/>
    <x v="3"/>
  </r>
  <r>
    <n v="40"/>
    <x v="4"/>
    <n v="22500"/>
    <s v="White"/>
    <x v="1"/>
    <x v="3"/>
  </r>
  <r>
    <n v="50"/>
    <x v="4"/>
    <n v="22500"/>
    <s v="Black"/>
    <x v="1"/>
    <x v="3"/>
  </r>
  <r>
    <n v="50"/>
    <x v="4"/>
    <n v="22500"/>
    <s v="White"/>
    <x v="1"/>
    <x v="3"/>
  </r>
  <r>
    <n v="40"/>
    <x v="4"/>
    <n v="22500"/>
    <s v="White"/>
    <x v="1"/>
    <x v="3"/>
  </r>
  <r>
    <n v="40"/>
    <x v="4"/>
    <n v="22500"/>
    <s v="White"/>
    <x v="0"/>
    <x v="3"/>
  </r>
  <r>
    <n v="40"/>
    <x v="4"/>
    <n v="22600"/>
    <s v="White"/>
    <x v="0"/>
    <x v="3"/>
  </r>
  <r>
    <n v="40"/>
    <x v="4"/>
    <n v="22670"/>
    <s v="White"/>
    <x v="1"/>
    <x v="3"/>
  </r>
  <r>
    <n v="40"/>
    <x v="4"/>
    <n v="22690"/>
    <s v="Black"/>
    <x v="0"/>
    <x v="3"/>
  </r>
  <r>
    <n v="37"/>
    <x v="4"/>
    <n v="22690"/>
    <s v="White"/>
    <x v="0"/>
    <x v="3"/>
  </r>
  <r>
    <n v="40"/>
    <x v="4"/>
    <n v="22919"/>
    <s v="White"/>
    <x v="0"/>
    <x v="3"/>
  </r>
  <r>
    <n v="40"/>
    <x v="4"/>
    <n v="23000"/>
    <s v="White"/>
    <x v="0"/>
    <x v="3"/>
  </r>
  <r>
    <n v="45"/>
    <x v="4"/>
    <n v="23000"/>
    <s v="White"/>
    <x v="0"/>
    <x v="3"/>
  </r>
  <r>
    <n v="45"/>
    <x v="4"/>
    <n v="23000"/>
    <s v="White"/>
    <x v="1"/>
    <x v="3"/>
  </r>
  <r>
    <n v="40"/>
    <x v="4"/>
    <n v="23000"/>
    <s v="White"/>
    <x v="0"/>
    <x v="3"/>
  </r>
  <r>
    <n v="40"/>
    <x v="4"/>
    <n v="23000"/>
    <s v="White"/>
    <x v="1"/>
    <x v="3"/>
  </r>
  <r>
    <n v="40"/>
    <x v="4"/>
    <n v="23000"/>
    <s v="White"/>
    <x v="1"/>
    <x v="3"/>
  </r>
  <r>
    <n v="40"/>
    <x v="4"/>
    <n v="23000"/>
    <s v="White"/>
    <x v="0"/>
    <x v="3"/>
  </r>
  <r>
    <n v="0"/>
    <x v="4"/>
    <n v="23000"/>
    <s v="White"/>
    <x v="0"/>
    <x v="3"/>
  </r>
  <r>
    <n v="38"/>
    <x v="4"/>
    <n v="23000"/>
    <s v="White"/>
    <x v="1"/>
    <x v="3"/>
  </r>
  <r>
    <n v="40"/>
    <x v="4"/>
    <n v="23000"/>
    <s v="White"/>
    <x v="1"/>
    <x v="3"/>
  </r>
  <r>
    <n v="40"/>
    <x v="4"/>
    <n v="23000"/>
    <s v="White"/>
    <x v="1"/>
    <x v="3"/>
  </r>
  <r>
    <n v="43"/>
    <x v="4"/>
    <n v="23000"/>
    <s v="White"/>
    <x v="0"/>
    <x v="3"/>
  </r>
  <r>
    <n v="40"/>
    <x v="4"/>
    <n v="23000"/>
    <s v="White"/>
    <x v="0"/>
    <x v="3"/>
  </r>
  <r>
    <n v="42"/>
    <x v="4"/>
    <n v="23000"/>
    <s v="White"/>
    <x v="0"/>
    <x v="3"/>
  </r>
  <r>
    <n v="45"/>
    <x v="4"/>
    <n v="23000"/>
    <s v="White"/>
    <x v="1"/>
    <x v="3"/>
  </r>
  <r>
    <n v="40"/>
    <x v="4"/>
    <n v="23000"/>
    <s v="AsianPI"/>
    <x v="1"/>
    <x v="3"/>
  </r>
  <r>
    <n v="40"/>
    <x v="4"/>
    <n v="23000"/>
    <s v="White"/>
    <x v="1"/>
    <x v="3"/>
  </r>
  <r>
    <n v="35"/>
    <x v="4"/>
    <n v="23000"/>
    <s v="White"/>
    <x v="0"/>
    <x v="3"/>
  </r>
  <r>
    <n v="40"/>
    <x v="4"/>
    <n v="23000"/>
    <s v="White"/>
    <x v="0"/>
    <x v="3"/>
  </r>
  <r>
    <n v="80"/>
    <x v="4"/>
    <n v="23000"/>
    <s v="White"/>
    <x v="1"/>
    <x v="3"/>
  </r>
  <r>
    <n v="40"/>
    <x v="4"/>
    <n v="23000"/>
    <s v="White"/>
    <x v="0"/>
    <x v="3"/>
  </r>
  <r>
    <n v="40"/>
    <x v="4"/>
    <n v="23000"/>
    <s v="White"/>
    <x v="1"/>
    <x v="3"/>
  </r>
  <r>
    <n v="40"/>
    <x v="4"/>
    <n v="23000"/>
    <s v="White"/>
    <x v="0"/>
    <x v="3"/>
  </r>
  <r>
    <n v="35"/>
    <x v="4"/>
    <n v="23000"/>
    <s v="White"/>
    <x v="0"/>
    <x v="3"/>
  </r>
  <r>
    <n v="40"/>
    <x v="4"/>
    <n v="23000"/>
    <s v="Black"/>
    <x v="0"/>
    <x v="3"/>
  </r>
  <r>
    <n v="40"/>
    <x v="4"/>
    <n v="23000"/>
    <s v="White"/>
    <x v="0"/>
    <x v="3"/>
  </r>
  <r>
    <n v="40"/>
    <x v="4"/>
    <n v="23000"/>
    <s v="White"/>
    <x v="0"/>
    <x v="3"/>
  </r>
  <r>
    <n v="50"/>
    <x v="4"/>
    <n v="23000"/>
    <s v="White"/>
    <x v="1"/>
    <x v="3"/>
  </r>
  <r>
    <n v="60"/>
    <x v="4"/>
    <n v="23000"/>
    <s v="Black"/>
    <x v="1"/>
    <x v="3"/>
  </r>
  <r>
    <n v="40"/>
    <x v="4"/>
    <n v="23000"/>
    <s v="White"/>
    <x v="0"/>
    <x v="3"/>
  </r>
  <r>
    <n v="40"/>
    <x v="4"/>
    <n v="23000"/>
    <s v="Black"/>
    <x v="1"/>
    <x v="3"/>
  </r>
  <r>
    <n v="40"/>
    <x v="4"/>
    <n v="23000"/>
    <s v="White"/>
    <x v="0"/>
    <x v="3"/>
  </r>
  <r>
    <n v="50"/>
    <x v="4"/>
    <n v="23000"/>
    <s v="White"/>
    <x v="0"/>
    <x v="3"/>
  </r>
  <r>
    <n v="40"/>
    <x v="4"/>
    <n v="23000"/>
    <s v="White"/>
    <x v="0"/>
    <x v="3"/>
  </r>
  <r>
    <n v="40"/>
    <x v="4"/>
    <n v="23000"/>
    <s v="White"/>
    <x v="0"/>
    <x v="3"/>
  </r>
  <r>
    <n v="40"/>
    <x v="4"/>
    <n v="23000"/>
    <s v="White"/>
    <x v="0"/>
    <x v="3"/>
  </r>
  <r>
    <n v="40"/>
    <x v="4"/>
    <n v="23000"/>
    <s v="White"/>
    <x v="0"/>
    <x v="3"/>
  </r>
  <r>
    <n v="40"/>
    <x v="4"/>
    <n v="23000"/>
    <s v="White"/>
    <x v="0"/>
    <x v="3"/>
  </r>
  <r>
    <n v="50"/>
    <x v="4"/>
    <n v="23105"/>
    <s v="White"/>
    <x v="1"/>
    <x v="3"/>
  </r>
  <r>
    <n v="40"/>
    <x v="4"/>
    <n v="23214"/>
    <s v="White"/>
    <x v="0"/>
    <x v="3"/>
  </r>
  <r>
    <n v="40"/>
    <x v="4"/>
    <n v="23284"/>
    <s v="White"/>
    <x v="0"/>
    <x v="3"/>
  </r>
  <r>
    <n v="40"/>
    <x v="4"/>
    <n v="23300"/>
    <s v="White"/>
    <x v="1"/>
    <x v="3"/>
  </r>
  <r>
    <n v="0"/>
    <x v="4"/>
    <n v="23400"/>
    <s v="White"/>
    <x v="1"/>
    <x v="3"/>
  </r>
  <r>
    <n v="40"/>
    <x v="4"/>
    <n v="23400"/>
    <s v="White"/>
    <x v="0"/>
    <x v="3"/>
  </r>
  <r>
    <n v="60"/>
    <x v="4"/>
    <n v="23400"/>
    <s v="White"/>
    <x v="1"/>
    <x v="3"/>
  </r>
  <r>
    <n v="40"/>
    <x v="4"/>
    <n v="23500"/>
    <s v="White"/>
    <x v="1"/>
    <x v="3"/>
  </r>
  <r>
    <n v="38"/>
    <x v="4"/>
    <n v="23500"/>
    <s v="White"/>
    <x v="1"/>
    <x v="3"/>
  </r>
  <r>
    <n v="40"/>
    <x v="4"/>
    <n v="23596"/>
    <s v="White"/>
    <x v="1"/>
    <x v="3"/>
  </r>
  <r>
    <n v="40"/>
    <x v="4"/>
    <n v="23660"/>
    <s v="White"/>
    <x v="1"/>
    <x v="3"/>
  </r>
  <r>
    <n v="40"/>
    <x v="4"/>
    <n v="23767"/>
    <s v="White"/>
    <x v="1"/>
    <x v="3"/>
  </r>
  <r>
    <n v="40"/>
    <x v="4"/>
    <n v="23816"/>
    <s v="White"/>
    <x v="0"/>
    <x v="3"/>
  </r>
  <r>
    <n v="40"/>
    <x v="4"/>
    <n v="23900"/>
    <s v="White"/>
    <x v="0"/>
    <x v="3"/>
  </r>
  <r>
    <n v="40"/>
    <x v="4"/>
    <n v="23920"/>
    <s v="White"/>
    <x v="1"/>
    <x v="3"/>
  </r>
  <r>
    <n v="40"/>
    <x v="4"/>
    <n v="23920"/>
    <s v="White"/>
    <x v="1"/>
    <x v="3"/>
  </r>
  <r>
    <n v="40"/>
    <x v="4"/>
    <n v="23920"/>
    <s v="White"/>
    <x v="0"/>
    <x v="3"/>
  </r>
  <r>
    <n v="38"/>
    <x v="4"/>
    <n v="24000"/>
    <s v="White"/>
    <x v="1"/>
    <x v="3"/>
  </r>
  <r>
    <n v="40"/>
    <x v="4"/>
    <n v="24000"/>
    <s v="White"/>
    <x v="1"/>
    <x v="3"/>
  </r>
  <r>
    <n v="50"/>
    <x v="4"/>
    <n v="24000"/>
    <s v="White"/>
    <x v="1"/>
    <x v="3"/>
  </r>
  <r>
    <n v="38"/>
    <x v="4"/>
    <n v="24000"/>
    <s v="White"/>
    <x v="1"/>
    <x v="3"/>
  </r>
  <r>
    <n v="40"/>
    <x v="4"/>
    <n v="24000"/>
    <s v="White"/>
    <x v="0"/>
    <x v="3"/>
  </r>
  <r>
    <n v="40"/>
    <x v="4"/>
    <n v="24000"/>
    <s v="White"/>
    <x v="0"/>
    <x v="3"/>
  </r>
  <r>
    <n v="40"/>
    <x v="4"/>
    <n v="24000"/>
    <s v="White"/>
    <x v="1"/>
    <x v="3"/>
  </r>
  <r>
    <n v="40"/>
    <x v="4"/>
    <n v="24000"/>
    <s v="White"/>
    <x v="0"/>
    <x v="3"/>
  </r>
  <r>
    <n v="40"/>
    <x v="4"/>
    <n v="24000"/>
    <s v="White"/>
    <x v="0"/>
    <x v="3"/>
  </r>
  <r>
    <n v="40"/>
    <x v="4"/>
    <n v="24000"/>
    <s v="White"/>
    <x v="0"/>
    <x v="3"/>
  </r>
  <r>
    <n v="36"/>
    <x v="4"/>
    <n v="24000"/>
    <s v="White"/>
    <x v="0"/>
    <x v="3"/>
  </r>
  <r>
    <n v="46"/>
    <x v="4"/>
    <n v="24000"/>
    <s v="White"/>
    <x v="0"/>
    <x v="3"/>
  </r>
  <r>
    <n v="40"/>
    <x v="4"/>
    <n v="24000"/>
    <s v="White"/>
    <x v="0"/>
    <x v="3"/>
  </r>
  <r>
    <n v="40"/>
    <x v="4"/>
    <n v="24000"/>
    <s v="White"/>
    <x v="0"/>
    <x v="3"/>
  </r>
  <r>
    <n v="40"/>
    <x v="4"/>
    <n v="24000"/>
    <s v="White"/>
    <x v="1"/>
    <x v="3"/>
  </r>
  <r>
    <n v="43"/>
    <x v="4"/>
    <n v="24000"/>
    <s v="White"/>
    <x v="1"/>
    <x v="3"/>
  </r>
  <r>
    <n v="40"/>
    <x v="4"/>
    <n v="24000"/>
    <s v="White"/>
    <x v="1"/>
    <x v="3"/>
  </r>
  <r>
    <n v="40"/>
    <x v="4"/>
    <n v="24000"/>
    <s v="White"/>
    <x v="0"/>
    <x v="3"/>
  </r>
  <r>
    <n v="0"/>
    <x v="4"/>
    <n v="24000"/>
    <s v="White"/>
    <x v="1"/>
    <x v="3"/>
  </r>
  <r>
    <n v="40"/>
    <x v="4"/>
    <n v="24000"/>
    <s v="White"/>
    <x v="1"/>
    <x v="3"/>
  </r>
  <r>
    <n v="40"/>
    <x v="4"/>
    <n v="24000"/>
    <s v="White"/>
    <x v="1"/>
    <x v="3"/>
  </r>
  <r>
    <n v="40"/>
    <x v="4"/>
    <n v="24000"/>
    <s v="White"/>
    <x v="1"/>
    <x v="3"/>
  </r>
  <r>
    <n v="40"/>
    <x v="4"/>
    <n v="24000"/>
    <s v="Black"/>
    <x v="1"/>
    <x v="3"/>
  </r>
  <r>
    <n v="45"/>
    <x v="4"/>
    <n v="24000"/>
    <s v="White"/>
    <x v="1"/>
    <x v="3"/>
  </r>
  <r>
    <n v="40"/>
    <x v="4"/>
    <n v="24000"/>
    <s v="White"/>
    <x v="0"/>
    <x v="3"/>
  </r>
  <r>
    <n v="55"/>
    <x v="4"/>
    <n v="24000"/>
    <s v="White"/>
    <x v="0"/>
    <x v="3"/>
  </r>
  <r>
    <n v="38"/>
    <x v="4"/>
    <n v="24000"/>
    <s v="White"/>
    <x v="0"/>
    <x v="3"/>
  </r>
  <r>
    <n v="40"/>
    <x v="4"/>
    <n v="24000"/>
    <s v="Black"/>
    <x v="0"/>
    <x v="3"/>
  </r>
  <r>
    <n v="40"/>
    <x v="4"/>
    <n v="24000"/>
    <s v="White"/>
    <x v="1"/>
    <x v="3"/>
  </r>
  <r>
    <n v="0"/>
    <x v="4"/>
    <n v="24000"/>
    <s v="White"/>
    <x v="1"/>
    <x v="3"/>
  </r>
  <r>
    <n v="40"/>
    <x v="4"/>
    <n v="24000"/>
    <s v="Black"/>
    <x v="1"/>
    <x v="3"/>
  </r>
  <r>
    <n v="40"/>
    <x v="4"/>
    <n v="24000"/>
    <s v="White"/>
    <x v="1"/>
    <x v="3"/>
  </r>
  <r>
    <n v="40"/>
    <x v="4"/>
    <n v="24000"/>
    <s v="Black"/>
    <x v="0"/>
    <x v="3"/>
  </r>
  <r>
    <n v="60"/>
    <x v="4"/>
    <n v="24000"/>
    <s v="White"/>
    <x v="0"/>
    <x v="3"/>
  </r>
  <r>
    <n v="40"/>
    <x v="4"/>
    <n v="24000"/>
    <s v="Black"/>
    <x v="1"/>
    <x v="3"/>
  </r>
  <r>
    <n v="40"/>
    <x v="4"/>
    <n v="24000"/>
    <s v="White"/>
    <x v="0"/>
    <x v="3"/>
  </r>
  <r>
    <n v="0"/>
    <x v="4"/>
    <n v="24000"/>
    <s v="White"/>
    <x v="0"/>
    <x v="3"/>
  </r>
  <r>
    <n v="40"/>
    <x v="4"/>
    <n v="24000"/>
    <s v="White"/>
    <x v="1"/>
    <x v="3"/>
  </r>
  <r>
    <n v="40"/>
    <x v="4"/>
    <n v="24000"/>
    <s v="White"/>
    <x v="0"/>
    <x v="3"/>
  </r>
  <r>
    <n v="40"/>
    <x v="4"/>
    <n v="24000"/>
    <s v="White"/>
    <x v="0"/>
    <x v="3"/>
  </r>
  <r>
    <n v="35"/>
    <x v="4"/>
    <n v="24000"/>
    <s v="White"/>
    <x v="0"/>
    <x v="3"/>
  </r>
  <r>
    <n v="0"/>
    <x v="4"/>
    <n v="24000"/>
    <s v="Black"/>
    <x v="0"/>
    <x v="3"/>
  </r>
  <r>
    <n v="35"/>
    <x v="4"/>
    <n v="24000"/>
    <s v="White"/>
    <x v="0"/>
    <x v="3"/>
  </r>
  <r>
    <n v="40"/>
    <x v="4"/>
    <n v="24000"/>
    <s v="White"/>
    <x v="1"/>
    <x v="3"/>
  </r>
  <r>
    <n v="40"/>
    <x v="4"/>
    <n v="24000"/>
    <s v="White"/>
    <x v="0"/>
    <x v="3"/>
  </r>
  <r>
    <n v="40"/>
    <x v="4"/>
    <n v="24000"/>
    <s v="White"/>
    <x v="0"/>
    <x v="3"/>
  </r>
  <r>
    <n v="50"/>
    <x v="4"/>
    <n v="24000"/>
    <s v="White"/>
    <x v="1"/>
    <x v="3"/>
  </r>
  <r>
    <n v="42"/>
    <x v="4"/>
    <n v="24400"/>
    <s v="White"/>
    <x v="1"/>
    <x v="3"/>
  </r>
  <r>
    <n v="45"/>
    <x v="4"/>
    <n v="24500"/>
    <s v="White"/>
    <x v="1"/>
    <x v="3"/>
  </r>
  <r>
    <n v="45"/>
    <x v="4"/>
    <n v="24500"/>
    <s v="White"/>
    <x v="1"/>
    <x v="3"/>
  </r>
  <r>
    <n v="40"/>
    <x v="4"/>
    <n v="24500"/>
    <s v="White"/>
    <x v="0"/>
    <x v="3"/>
  </r>
  <r>
    <n v="40"/>
    <x v="4"/>
    <n v="24568"/>
    <s v="White"/>
    <x v="0"/>
    <x v="3"/>
  </r>
  <r>
    <n v="40"/>
    <x v="4"/>
    <n v="24800"/>
    <s v="White"/>
    <x v="0"/>
    <x v="3"/>
  </r>
  <r>
    <n v="40"/>
    <x v="4"/>
    <n v="24836"/>
    <s v="White"/>
    <x v="1"/>
    <x v="3"/>
  </r>
  <r>
    <n v="40"/>
    <x v="4"/>
    <n v="24884"/>
    <s v="Black"/>
    <x v="1"/>
    <x v="3"/>
  </r>
  <r>
    <n v="42"/>
    <x v="4"/>
    <n v="24950"/>
    <s v="White"/>
    <x v="0"/>
    <x v="3"/>
  </r>
  <r>
    <n v="40"/>
    <x v="4"/>
    <n v="24960"/>
    <s v="White"/>
    <x v="0"/>
    <x v="3"/>
  </r>
  <r>
    <n v="40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1"/>
    <x v="3"/>
  </r>
  <r>
    <n v="43"/>
    <x v="4"/>
    <n v="25000"/>
    <s v="White"/>
    <x v="0"/>
    <x v="3"/>
  </r>
  <r>
    <n v="40"/>
    <x v="4"/>
    <n v="25000"/>
    <s v="White"/>
    <x v="1"/>
    <x v="3"/>
  </r>
  <r>
    <n v="50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1"/>
    <x v="3"/>
  </r>
  <r>
    <n v="40"/>
    <x v="4"/>
    <n v="25000"/>
    <s v="Black"/>
    <x v="0"/>
    <x v="3"/>
  </r>
  <r>
    <n v="0"/>
    <x v="4"/>
    <n v="25000"/>
    <s v="White"/>
    <x v="0"/>
    <x v="3"/>
  </r>
  <r>
    <n v="0"/>
    <x v="4"/>
    <n v="25000"/>
    <s v="White"/>
    <x v="1"/>
    <x v="3"/>
  </r>
  <r>
    <n v="0"/>
    <x v="4"/>
    <n v="25000"/>
    <s v="White"/>
    <x v="0"/>
    <x v="3"/>
  </r>
  <r>
    <n v="40"/>
    <x v="4"/>
    <n v="25000"/>
    <s v="Black"/>
    <x v="0"/>
    <x v="3"/>
  </r>
  <r>
    <n v="40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1"/>
    <x v="3"/>
  </r>
  <r>
    <n v="40"/>
    <x v="4"/>
    <n v="25000"/>
    <s v="Black"/>
    <x v="1"/>
    <x v="3"/>
  </r>
  <r>
    <n v="40"/>
    <x v="4"/>
    <n v="25000"/>
    <s v="White"/>
    <x v="0"/>
    <x v="3"/>
  </r>
  <r>
    <n v="40"/>
    <x v="4"/>
    <n v="25000"/>
    <s v="White"/>
    <x v="1"/>
    <x v="3"/>
  </r>
  <r>
    <n v="40"/>
    <x v="4"/>
    <n v="25000"/>
    <s v="Black"/>
    <x v="0"/>
    <x v="3"/>
  </r>
  <r>
    <n v="45"/>
    <x v="4"/>
    <n v="25000"/>
    <s v="White"/>
    <x v="1"/>
    <x v="3"/>
  </r>
  <r>
    <n v="40"/>
    <x v="4"/>
    <n v="25000"/>
    <s v="White"/>
    <x v="0"/>
    <x v="3"/>
  </r>
  <r>
    <n v="40"/>
    <x v="4"/>
    <n v="25000"/>
    <s v="Black"/>
    <x v="0"/>
    <x v="3"/>
  </r>
  <r>
    <n v="40"/>
    <x v="4"/>
    <n v="25000"/>
    <s v="Black"/>
    <x v="0"/>
    <x v="3"/>
  </r>
  <r>
    <n v="60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0"/>
    <x v="3"/>
  </r>
  <r>
    <n v="42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0"/>
    <x v="3"/>
  </r>
  <r>
    <n v="44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1"/>
    <x v="3"/>
  </r>
  <r>
    <n v="35"/>
    <x v="4"/>
    <n v="25000"/>
    <s v="White"/>
    <x v="0"/>
    <x v="3"/>
  </r>
  <r>
    <n v="45"/>
    <x v="4"/>
    <n v="25000"/>
    <s v="White"/>
    <x v="1"/>
    <x v="3"/>
  </r>
  <r>
    <n v="50"/>
    <x v="4"/>
    <n v="25000"/>
    <s v="White"/>
    <x v="1"/>
    <x v="3"/>
  </r>
  <r>
    <n v="55"/>
    <x v="4"/>
    <n v="25000"/>
    <s v="White"/>
    <x v="0"/>
    <x v="3"/>
  </r>
  <r>
    <n v="40"/>
    <x v="4"/>
    <n v="25000"/>
    <s v="White"/>
    <x v="1"/>
    <x v="3"/>
  </r>
  <r>
    <n v="40"/>
    <x v="4"/>
    <n v="25000"/>
    <s v="Black"/>
    <x v="1"/>
    <x v="3"/>
  </r>
  <r>
    <n v="40"/>
    <x v="4"/>
    <n v="25000"/>
    <s v="White"/>
    <x v="0"/>
    <x v="3"/>
  </r>
  <r>
    <n v="51"/>
    <x v="4"/>
    <n v="25000"/>
    <s v="White"/>
    <x v="1"/>
    <x v="3"/>
  </r>
  <r>
    <n v="40"/>
    <x v="4"/>
    <n v="25000"/>
    <s v="White"/>
    <x v="0"/>
    <x v="3"/>
  </r>
  <r>
    <n v="40"/>
    <x v="4"/>
    <n v="25000"/>
    <s v="White"/>
    <x v="0"/>
    <x v="3"/>
  </r>
  <r>
    <n v="50"/>
    <x v="4"/>
    <n v="25000"/>
    <s v="White"/>
    <x v="1"/>
    <x v="3"/>
  </r>
  <r>
    <n v="40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0"/>
    <x v="3"/>
  </r>
  <r>
    <n v="38"/>
    <x v="4"/>
    <n v="25000"/>
    <s v="White"/>
    <x v="0"/>
    <x v="3"/>
  </r>
  <r>
    <n v="50"/>
    <x v="4"/>
    <n v="25000"/>
    <s v="White"/>
    <x v="1"/>
    <x v="3"/>
  </r>
  <r>
    <n v="40"/>
    <x v="4"/>
    <n v="25000"/>
    <s v="Black"/>
    <x v="1"/>
    <x v="3"/>
  </r>
  <r>
    <n v="40"/>
    <x v="4"/>
    <n v="25000"/>
    <s v="White"/>
    <x v="1"/>
    <x v="3"/>
  </r>
  <r>
    <n v="38"/>
    <x v="4"/>
    <n v="25000"/>
    <s v="White"/>
    <x v="0"/>
    <x v="3"/>
  </r>
  <r>
    <n v="40"/>
    <x v="4"/>
    <n v="25000"/>
    <s v="White"/>
    <x v="1"/>
    <x v="3"/>
  </r>
  <r>
    <n v="57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0"/>
    <x v="3"/>
  </r>
  <r>
    <n v="65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1"/>
    <x v="3"/>
  </r>
  <r>
    <n v="45"/>
    <x v="4"/>
    <n v="25000"/>
    <s v="White"/>
    <x v="1"/>
    <x v="3"/>
  </r>
  <r>
    <n v="37"/>
    <x v="4"/>
    <n v="25000"/>
    <s v="White"/>
    <x v="0"/>
    <x v="3"/>
  </r>
  <r>
    <n v="43"/>
    <x v="4"/>
    <n v="25000"/>
    <s v="White"/>
    <x v="1"/>
    <x v="3"/>
  </r>
  <r>
    <n v="0"/>
    <x v="4"/>
    <n v="25000"/>
    <s v="White"/>
    <x v="1"/>
    <x v="3"/>
  </r>
  <r>
    <n v="40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0"/>
    <x v="3"/>
  </r>
  <r>
    <n v="40"/>
    <x v="4"/>
    <n v="25000"/>
    <s v="White"/>
    <x v="0"/>
    <x v="3"/>
  </r>
  <r>
    <n v="0"/>
    <x v="4"/>
    <n v="25000"/>
    <s v="White"/>
    <x v="0"/>
    <x v="3"/>
  </r>
  <r>
    <n v="60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1"/>
    <x v="3"/>
  </r>
  <r>
    <n v="51"/>
    <x v="4"/>
    <n v="25000"/>
    <s v="White"/>
    <x v="1"/>
    <x v="3"/>
  </r>
  <r>
    <n v="40"/>
    <x v="4"/>
    <n v="25000"/>
    <s v="White"/>
    <x v="1"/>
    <x v="3"/>
  </r>
  <r>
    <n v="42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1"/>
    <x v="3"/>
  </r>
  <r>
    <n v="50"/>
    <x v="4"/>
    <n v="25000"/>
    <s v="White"/>
    <x v="0"/>
    <x v="3"/>
  </r>
  <r>
    <n v="45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1"/>
    <x v="3"/>
  </r>
  <r>
    <n v="40"/>
    <x v="4"/>
    <n v="25000"/>
    <s v="White"/>
    <x v="0"/>
    <x v="3"/>
  </r>
  <r>
    <n v="46"/>
    <x v="4"/>
    <n v="25000"/>
    <s v="White"/>
    <x v="1"/>
    <x v="3"/>
  </r>
  <r>
    <n v="40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0"/>
    <x v="3"/>
  </r>
  <r>
    <n v="40"/>
    <x v="4"/>
    <n v="25000"/>
    <s v="White"/>
    <x v="1"/>
    <x v="3"/>
  </r>
  <r>
    <n v="40"/>
    <x v="4"/>
    <n v="25000"/>
    <s v="White"/>
    <x v="0"/>
    <x v="3"/>
  </r>
  <r>
    <n v="48"/>
    <x v="4"/>
    <n v="25000"/>
    <s v="White"/>
    <x v="1"/>
    <x v="3"/>
  </r>
  <r>
    <n v="40"/>
    <x v="4"/>
    <n v="25000"/>
    <s v="White"/>
    <x v="1"/>
    <x v="3"/>
  </r>
  <r>
    <n v="36"/>
    <x v="4"/>
    <n v="25000"/>
    <s v="White"/>
    <x v="0"/>
    <x v="3"/>
  </r>
  <r>
    <n v="40"/>
    <x v="4"/>
    <n v="25000"/>
    <s v="White"/>
    <x v="0"/>
    <x v="3"/>
  </r>
  <r>
    <n v="45"/>
    <x v="4"/>
    <n v="25000"/>
    <s v="White"/>
    <x v="1"/>
    <x v="3"/>
  </r>
  <r>
    <n v="40"/>
    <x v="4"/>
    <n v="25010"/>
    <s v="White"/>
    <x v="0"/>
    <x v="3"/>
  </r>
  <r>
    <n v="40"/>
    <x v="4"/>
    <n v="25010"/>
    <s v="White"/>
    <x v="0"/>
    <x v="3"/>
  </r>
  <r>
    <n v="40"/>
    <x v="4"/>
    <n v="25300"/>
    <s v="White"/>
    <x v="0"/>
    <x v="3"/>
  </r>
  <r>
    <n v="38"/>
    <x v="4"/>
    <n v="25300"/>
    <s v="White"/>
    <x v="0"/>
    <x v="3"/>
  </r>
  <r>
    <n v="40"/>
    <x v="4"/>
    <n v="25376"/>
    <s v="White"/>
    <x v="0"/>
    <x v="3"/>
  </r>
  <r>
    <n v="40"/>
    <x v="4"/>
    <n v="25387"/>
    <s v="White"/>
    <x v="0"/>
    <x v="3"/>
  </r>
  <r>
    <n v="45"/>
    <x v="4"/>
    <n v="25500"/>
    <s v="White"/>
    <x v="0"/>
    <x v="3"/>
  </r>
  <r>
    <n v="40"/>
    <x v="4"/>
    <n v="25500"/>
    <s v="White"/>
    <x v="0"/>
    <x v="3"/>
  </r>
  <r>
    <n v="40"/>
    <x v="4"/>
    <n v="25500"/>
    <s v="White"/>
    <x v="1"/>
    <x v="3"/>
  </r>
  <r>
    <n v="60"/>
    <x v="4"/>
    <n v="25800"/>
    <s v="White"/>
    <x v="1"/>
    <x v="3"/>
  </r>
  <r>
    <n v="40"/>
    <x v="4"/>
    <n v="26000"/>
    <s v="White"/>
    <x v="0"/>
    <x v="3"/>
  </r>
  <r>
    <n v="38"/>
    <x v="4"/>
    <n v="26000"/>
    <s v="Black"/>
    <x v="0"/>
    <x v="3"/>
  </r>
  <r>
    <n v="40"/>
    <x v="4"/>
    <n v="26000"/>
    <s v="Black"/>
    <x v="0"/>
    <x v="3"/>
  </r>
  <r>
    <n v="45"/>
    <x v="4"/>
    <n v="26000"/>
    <s v="White"/>
    <x v="1"/>
    <x v="3"/>
  </r>
  <r>
    <n v="50"/>
    <x v="4"/>
    <n v="26000"/>
    <s v="White"/>
    <x v="0"/>
    <x v="3"/>
  </r>
  <r>
    <n v="70"/>
    <x v="4"/>
    <n v="26000"/>
    <s v="White"/>
    <x v="1"/>
    <x v="3"/>
  </r>
  <r>
    <n v="36"/>
    <x v="4"/>
    <n v="26000"/>
    <s v="White"/>
    <x v="1"/>
    <x v="3"/>
  </r>
  <r>
    <n v="40"/>
    <x v="4"/>
    <n v="26000"/>
    <s v="White"/>
    <x v="1"/>
    <x v="3"/>
  </r>
  <r>
    <n v="50"/>
    <x v="4"/>
    <n v="26000"/>
    <s v="White"/>
    <x v="0"/>
    <x v="3"/>
  </r>
  <r>
    <n v="50"/>
    <x v="4"/>
    <n v="26000"/>
    <s v="White"/>
    <x v="0"/>
    <x v="3"/>
  </r>
  <r>
    <n v="40"/>
    <x v="4"/>
    <n v="26000"/>
    <s v="White"/>
    <x v="1"/>
    <x v="3"/>
  </r>
  <r>
    <n v="55"/>
    <x v="4"/>
    <n v="26000"/>
    <s v="White"/>
    <x v="1"/>
    <x v="3"/>
  </r>
  <r>
    <n v="40"/>
    <x v="4"/>
    <n v="26000"/>
    <s v="Black"/>
    <x v="1"/>
    <x v="3"/>
  </r>
  <r>
    <n v="54"/>
    <x v="4"/>
    <n v="26000"/>
    <s v="White"/>
    <x v="0"/>
    <x v="3"/>
  </r>
  <r>
    <n v="50"/>
    <x v="4"/>
    <n v="26000"/>
    <s v="White"/>
    <x v="0"/>
    <x v="3"/>
  </r>
  <r>
    <n v="40"/>
    <x v="4"/>
    <n v="26000"/>
    <s v="Black"/>
    <x v="1"/>
    <x v="3"/>
  </r>
  <r>
    <n v="40"/>
    <x v="4"/>
    <n v="26000"/>
    <s v="White"/>
    <x v="1"/>
    <x v="3"/>
  </r>
  <r>
    <n v="45"/>
    <x v="4"/>
    <n v="26000"/>
    <s v="White"/>
    <x v="1"/>
    <x v="3"/>
  </r>
  <r>
    <n v="40"/>
    <x v="4"/>
    <n v="26000"/>
    <s v="White"/>
    <x v="1"/>
    <x v="3"/>
  </r>
  <r>
    <n v="40"/>
    <x v="4"/>
    <n v="26000"/>
    <s v="White"/>
    <x v="1"/>
    <x v="3"/>
  </r>
  <r>
    <n v="40"/>
    <x v="4"/>
    <n v="26000"/>
    <s v="White"/>
    <x v="1"/>
    <x v="3"/>
  </r>
  <r>
    <n v="35"/>
    <x v="4"/>
    <n v="26000"/>
    <s v="IndEsk"/>
    <x v="1"/>
    <x v="3"/>
  </r>
  <r>
    <n v="40"/>
    <x v="4"/>
    <n v="26000"/>
    <s v="Black"/>
    <x v="0"/>
    <x v="3"/>
  </r>
  <r>
    <n v="35"/>
    <x v="4"/>
    <n v="26000"/>
    <s v="White"/>
    <x v="0"/>
    <x v="3"/>
  </r>
  <r>
    <n v="45"/>
    <x v="4"/>
    <n v="26000"/>
    <s v="White"/>
    <x v="0"/>
    <x v="3"/>
  </r>
  <r>
    <n v="40"/>
    <x v="4"/>
    <n v="26000"/>
    <s v="White"/>
    <x v="1"/>
    <x v="3"/>
  </r>
  <r>
    <n v="45"/>
    <x v="4"/>
    <n v="26000"/>
    <s v="White"/>
    <x v="1"/>
    <x v="3"/>
  </r>
  <r>
    <n v="62"/>
    <x v="4"/>
    <n v="26000"/>
    <s v="White"/>
    <x v="0"/>
    <x v="3"/>
  </r>
  <r>
    <n v="40"/>
    <x v="4"/>
    <n v="26000"/>
    <s v="White"/>
    <x v="0"/>
    <x v="3"/>
  </r>
  <r>
    <n v="40"/>
    <x v="4"/>
    <n v="26000"/>
    <s v="White"/>
    <x v="1"/>
    <x v="3"/>
  </r>
  <r>
    <n v="43"/>
    <x v="4"/>
    <n v="26000"/>
    <s v="White"/>
    <x v="1"/>
    <x v="3"/>
  </r>
  <r>
    <n v="40"/>
    <x v="4"/>
    <n v="26000"/>
    <s v="White"/>
    <x v="1"/>
    <x v="3"/>
  </r>
  <r>
    <n v="40"/>
    <x v="4"/>
    <n v="26114"/>
    <s v="White"/>
    <x v="1"/>
    <x v="3"/>
  </r>
  <r>
    <n v="60"/>
    <x v="4"/>
    <n v="26130"/>
    <s v="White"/>
    <x v="0"/>
    <x v="3"/>
  </r>
  <r>
    <n v="58"/>
    <x v="4"/>
    <n v="26471"/>
    <s v="White"/>
    <x v="1"/>
    <x v="3"/>
  </r>
  <r>
    <n v="40"/>
    <x v="4"/>
    <n v="26471"/>
    <s v="White"/>
    <x v="1"/>
    <x v="3"/>
  </r>
  <r>
    <n v="43"/>
    <x v="4"/>
    <n v="26500"/>
    <s v="Black"/>
    <x v="0"/>
    <x v="3"/>
  </r>
  <r>
    <n v="40"/>
    <x v="4"/>
    <n v="26700"/>
    <s v="White"/>
    <x v="0"/>
    <x v="3"/>
  </r>
  <r>
    <n v="40"/>
    <x v="4"/>
    <n v="26880"/>
    <s v="White"/>
    <x v="1"/>
    <x v="3"/>
  </r>
  <r>
    <n v="40"/>
    <x v="4"/>
    <n v="26992"/>
    <s v="White"/>
    <x v="1"/>
    <x v="3"/>
  </r>
  <r>
    <n v="40"/>
    <x v="4"/>
    <n v="27000"/>
    <s v="White"/>
    <x v="1"/>
    <x v="3"/>
  </r>
  <r>
    <n v="40"/>
    <x v="4"/>
    <n v="27000"/>
    <s v="White"/>
    <x v="1"/>
    <x v="3"/>
  </r>
  <r>
    <n v="0"/>
    <x v="4"/>
    <n v="27000"/>
    <s v="White"/>
    <x v="0"/>
    <x v="3"/>
  </r>
  <r>
    <n v="40"/>
    <x v="4"/>
    <n v="27000"/>
    <s v="White"/>
    <x v="1"/>
    <x v="3"/>
  </r>
  <r>
    <n v="40"/>
    <x v="4"/>
    <n v="27000"/>
    <s v="White"/>
    <x v="1"/>
    <x v="3"/>
  </r>
  <r>
    <n v="40"/>
    <x v="4"/>
    <n v="27000"/>
    <s v="White"/>
    <x v="0"/>
    <x v="3"/>
  </r>
  <r>
    <n v="40"/>
    <x v="4"/>
    <n v="27000"/>
    <s v="White"/>
    <x v="0"/>
    <x v="3"/>
  </r>
  <r>
    <n v="40"/>
    <x v="4"/>
    <n v="27000"/>
    <s v="White"/>
    <x v="0"/>
    <x v="3"/>
  </r>
  <r>
    <n v="40"/>
    <x v="4"/>
    <n v="27000"/>
    <s v="White"/>
    <x v="1"/>
    <x v="3"/>
  </r>
  <r>
    <n v="45"/>
    <x v="4"/>
    <n v="27000"/>
    <s v="White"/>
    <x v="1"/>
    <x v="3"/>
  </r>
  <r>
    <n v="40"/>
    <x v="4"/>
    <n v="27000"/>
    <s v="White"/>
    <x v="1"/>
    <x v="3"/>
  </r>
  <r>
    <n v="58"/>
    <x v="4"/>
    <n v="27000"/>
    <s v="White"/>
    <x v="1"/>
    <x v="3"/>
  </r>
  <r>
    <n v="40"/>
    <x v="4"/>
    <n v="27000"/>
    <s v="White"/>
    <x v="0"/>
    <x v="3"/>
  </r>
  <r>
    <n v="40"/>
    <x v="4"/>
    <n v="27000"/>
    <s v="White"/>
    <x v="0"/>
    <x v="3"/>
  </r>
  <r>
    <n v="48"/>
    <x v="4"/>
    <n v="27000"/>
    <s v="White"/>
    <x v="0"/>
    <x v="3"/>
  </r>
  <r>
    <n v="40"/>
    <x v="4"/>
    <n v="27000"/>
    <s v="White"/>
    <x v="1"/>
    <x v="3"/>
  </r>
  <r>
    <n v="40"/>
    <x v="4"/>
    <n v="27000"/>
    <s v="White"/>
    <x v="1"/>
    <x v="3"/>
  </r>
  <r>
    <n v="50"/>
    <x v="4"/>
    <n v="27000"/>
    <s v="White"/>
    <x v="1"/>
    <x v="3"/>
  </r>
  <r>
    <n v="40"/>
    <x v="4"/>
    <n v="27000"/>
    <s v="White"/>
    <x v="0"/>
    <x v="3"/>
  </r>
  <r>
    <n v="40"/>
    <x v="4"/>
    <n v="27000"/>
    <s v="White"/>
    <x v="0"/>
    <x v="3"/>
  </r>
  <r>
    <n v="40"/>
    <x v="4"/>
    <n v="27000"/>
    <s v="White"/>
    <x v="0"/>
    <x v="3"/>
  </r>
  <r>
    <n v="40"/>
    <x v="4"/>
    <n v="27000"/>
    <s v="White"/>
    <x v="1"/>
    <x v="3"/>
  </r>
  <r>
    <n v="40"/>
    <x v="4"/>
    <n v="27000"/>
    <s v="White"/>
    <x v="0"/>
    <x v="3"/>
  </r>
  <r>
    <n v="40"/>
    <x v="4"/>
    <n v="27000"/>
    <s v="Black"/>
    <x v="0"/>
    <x v="3"/>
  </r>
  <r>
    <n v="40"/>
    <x v="4"/>
    <n v="27000"/>
    <s v="White"/>
    <x v="1"/>
    <x v="3"/>
  </r>
  <r>
    <n v="40"/>
    <x v="4"/>
    <n v="27000"/>
    <s v="AsianPI"/>
    <x v="0"/>
    <x v="3"/>
  </r>
  <r>
    <n v="40"/>
    <x v="4"/>
    <n v="27000"/>
    <s v="White"/>
    <x v="0"/>
    <x v="3"/>
  </r>
  <r>
    <n v="50"/>
    <x v="4"/>
    <n v="27000"/>
    <s v="White"/>
    <x v="1"/>
    <x v="3"/>
  </r>
  <r>
    <n v="40"/>
    <x v="4"/>
    <n v="27000"/>
    <s v="White"/>
    <x v="1"/>
    <x v="3"/>
  </r>
  <r>
    <n v="40"/>
    <x v="4"/>
    <n v="27000"/>
    <s v="Black"/>
    <x v="1"/>
    <x v="3"/>
  </r>
  <r>
    <n v="40"/>
    <x v="4"/>
    <n v="27000"/>
    <s v="Black"/>
    <x v="1"/>
    <x v="3"/>
  </r>
  <r>
    <n v="40"/>
    <x v="4"/>
    <n v="27000"/>
    <s v="White"/>
    <x v="1"/>
    <x v="3"/>
  </r>
  <r>
    <n v="40"/>
    <x v="4"/>
    <n v="27000"/>
    <s v="White"/>
    <x v="0"/>
    <x v="3"/>
  </r>
  <r>
    <n v="40"/>
    <x v="4"/>
    <n v="27000"/>
    <s v="White"/>
    <x v="0"/>
    <x v="3"/>
  </r>
  <r>
    <n v="50"/>
    <x v="4"/>
    <n v="27000"/>
    <s v="White"/>
    <x v="1"/>
    <x v="3"/>
  </r>
  <r>
    <n v="40"/>
    <x v="4"/>
    <n v="27000"/>
    <s v="White"/>
    <x v="1"/>
    <x v="3"/>
  </r>
  <r>
    <n v="40"/>
    <x v="4"/>
    <n v="27000"/>
    <s v="White"/>
    <x v="1"/>
    <x v="3"/>
  </r>
  <r>
    <n v="40"/>
    <x v="4"/>
    <n v="27000"/>
    <s v="White"/>
    <x v="1"/>
    <x v="3"/>
  </r>
  <r>
    <n v="40"/>
    <x v="4"/>
    <n v="27000"/>
    <s v="Black"/>
    <x v="0"/>
    <x v="3"/>
  </r>
  <r>
    <n v="0"/>
    <x v="4"/>
    <n v="27000"/>
    <s v="White"/>
    <x v="1"/>
    <x v="3"/>
  </r>
  <r>
    <n v="40"/>
    <x v="4"/>
    <n v="27000"/>
    <s v="White"/>
    <x v="0"/>
    <x v="3"/>
  </r>
  <r>
    <n v="45"/>
    <x v="4"/>
    <n v="27000"/>
    <s v="White"/>
    <x v="1"/>
    <x v="3"/>
  </r>
  <r>
    <n v="40"/>
    <x v="4"/>
    <n v="27000"/>
    <s v="White"/>
    <x v="1"/>
    <x v="3"/>
  </r>
  <r>
    <n v="40"/>
    <x v="4"/>
    <n v="27000"/>
    <s v="White"/>
    <x v="0"/>
    <x v="3"/>
  </r>
  <r>
    <n v="36"/>
    <x v="4"/>
    <n v="27000"/>
    <s v="White"/>
    <x v="1"/>
    <x v="3"/>
  </r>
  <r>
    <n v="40"/>
    <x v="4"/>
    <n v="27000"/>
    <s v="Black"/>
    <x v="1"/>
    <x v="3"/>
  </r>
  <r>
    <n v="40"/>
    <x v="4"/>
    <n v="27001"/>
    <s v="White"/>
    <x v="1"/>
    <x v="3"/>
  </r>
  <r>
    <n v="40"/>
    <x v="4"/>
    <n v="27025"/>
    <s v="White"/>
    <x v="0"/>
    <x v="3"/>
  </r>
  <r>
    <n v="40"/>
    <x v="4"/>
    <n v="27040"/>
    <s v="White"/>
    <x v="1"/>
    <x v="3"/>
  </r>
  <r>
    <n v="40"/>
    <x v="4"/>
    <n v="27040"/>
    <s v="White"/>
    <x v="1"/>
    <x v="3"/>
  </r>
  <r>
    <n v="40"/>
    <x v="4"/>
    <n v="27200"/>
    <s v="White"/>
    <x v="1"/>
    <x v="3"/>
  </r>
  <r>
    <n v="39"/>
    <x v="4"/>
    <n v="27300"/>
    <s v="White"/>
    <x v="1"/>
    <x v="3"/>
  </r>
  <r>
    <n v="40"/>
    <x v="4"/>
    <n v="27372"/>
    <s v="White"/>
    <x v="0"/>
    <x v="3"/>
  </r>
  <r>
    <n v="45"/>
    <x v="4"/>
    <n v="27372"/>
    <s v="White"/>
    <x v="0"/>
    <x v="3"/>
  </r>
  <r>
    <n v="40"/>
    <x v="4"/>
    <n v="27500"/>
    <s v="White"/>
    <x v="1"/>
    <x v="3"/>
  </r>
  <r>
    <n v="50"/>
    <x v="4"/>
    <n v="27500"/>
    <s v="White"/>
    <x v="1"/>
    <x v="3"/>
  </r>
  <r>
    <n v="40"/>
    <x v="4"/>
    <n v="27500"/>
    <s v="White"/>
    <x v="0"/>
    <x v="3"/>
  </r>
  <r>
    <n v="40"/>
    <x v="4"/>
    <n v="27500"/>
    <s v="White"/>
    <x v="1"/>
    <x v="3"/>
  </r>
  <r>
    <n v="40"/>
    <x v="4"/>
    <n v="27500"/>
    <s v="White"/>
    <x v="1"/>
    <x v="3"/>
  </r>
  <r>
    <n v="40"/>
    <x v="4"/>
    <n v="27500"/>
    <s v="White"/>
    <x v="1"/>
    <x v="3"/>
  </r>
  <r>
    <n v="40"/>
    <x v="4"/>
    <n v="27560"/>
    <s v="White"/>
    <x v="1"/>
    <x v="3"/>
  </r>
  <r>
    <n v="40"/>
    <x v="4"/>
    <n v="27560"/>
    <s v="White"/>
    <x v="1"/>
    <x v="3"/>
  </r>
  <r>
    <n v="40"/>
    <x v="4"/>
    <n v="27600"/>
    <s v="White"/>
    <x v="1"/>
    <x v="3"/>
  </r>
  <r>
    <n v="45"/>
    <x v="4"/>
    <n v="27600"/>
    <s v="White"/>
    <x v="1"/>
    <x v="3"/>
  </r>
  <r>
    <n v="40"/>
    <x v="4"/>
    <n v="27800"/>
    <s v="White"/>
    <x v="0"/>
    <x v="3"/>
  </r>
  <r>
    <n v="37"/>
    <x v="4"/>
    <n v="27800"/>
    <s v="White"/>
    <x v="0"/>
    <x v="3"/>
  </r>
  <r>
    <n v="0"/>
    <x v="4"/>
    <n v="27800"/>
    <s v="Black"/>
    <x v="0"/>
    <x v="3"/>
  </r>
  <r>
    <n v="50"/>
    <x v="4"/>
    <n v="27900"/>
    <s v="White"/>
    <x v="1"/>
    <x v="3"/>
  </r>
  <r>
    <n v="40"/>
    <x v="4"/>
    <n v="27949"/>
    <s v="White"/>
    <x v="0"/>
    <x v="3"/>
  </r>
  <r>
    <n v="40"/>
    <x v="4"/>
    <n v="27949"/>
    <s v="White"/>
    <x v="0"/>
    <x v="3"/>
  </r>
  <r>
    <n v="40"/>
    <x v="4"/>
    <n v="27995"/>
    <s v="White"/>
    <x v="0"/>
    <x v="3"/>
  </r>
  <r>
    <n v="38"/>
    <x v="4"/>
    <n v="28000"/>
    <s v="White"/>
    <x v="0"/>
    <x v="3"/>
  </r>
  <r>
    <n v="40"/>
    <x v="4"/>
    <n v="28000"/>
    <s v="White"/>
    <x v="1"/>
    <x v="3"/>
  </r>
  <r>
    <n v="70"/>
    <x v="4"/>
    <n v="28000"/>
    <s v="Black"/>
    <x v="1"/>
    <x v="3"/>
  </r>
  <r>
    <n v="45"/>
    <x v="4"/>
    <n v="28000"/>
    <s v="White"/>
    <x v="1"/>
    <x v="3"/>
  </r>
  <r>
    <n v="50"/>
    <x v="4"/>
    <n v="28000"/>
    <s v="White"/>
    <x v="1"/>
    <x v="3"/>
  </r>
  <r>
    <n v="40"/>
    <x v="4"/>
    <n v="28000"/>
    <s v="White"/>
    <x v="1"/>
    <x v="3"/>
  </r>
  <r>
    <n v="45"/>
    <x v="4"/>
    <n v="28000"/>
    <s v="White"/>
    <x v="1"/>
    <x v="3"/>
  </r>
  <r>
    <n v="52"/>
    <x v="4"/>
    <n v="28000"/>
    <s v="White"/>
    <x v="1"/>
    <x v="3"/>
  </r>
  <r>
    <n v="40"/>
    <x v="4"/>
    <n v="28000"/>
    <s v="White"/>
    <x v="1"/>
    <x v="3"/>
  </r>
  <r>
    <n v="40"/>
    <x v="4"/>
    <n v="28000"/>
    <s v="White"/>
    <x v="1"/>
    <x v="3"/>
  </r>
  <r>
    <n v="40"/>
    <x v="4"/>
    <n v="28000"/>
    <s v="White"/>
    <x v="1"/>
    <x v="3"/>
  </r>
  <r>
    <n v="40"/>
    <x v="4"/>
    <n v="28000"/>
    <s v="White"/>
    <x v="0"/>
    <x v="3"/>
  </r>
  <r>
    <n v="40"/>
    <x v="4"/>
    <n v="28000"/>
    <s v="White"/>
    <x v="1"/>
    <x v="3"/>
  </r>
  <r>
    <n v="40"/>
    <x v="4"/>
    <n v="28000"/>
    <s v="White"/>
    <x v="0"/>
    <x v="3"/>
  </r>
  <r>
    <n v="50"/>
    <x v="4"/>
    <n v="28000"/>
    <s v="White"/>
    <x v="1"/>
    <x v="3"/>
  </r>
  <r>
    <n v="70"/>
    <x v="4"/>
    <n v="28000"/>
    <s v="Black"/>
    <x v="1"/>
    <x v="3"/>
  </r>
  <r>
    <n v="0"/>
    <x v="4"/>
    <n v="28000"/>
    <s v="White"/>
    <x v="1"/>
    <x v="3"/>
  </r>
  <r>
    <n v="50"/>
    <x v="4"/>
    <n v="28000"/>
    <s v="White"/>
    <x v="0"/>
    <x v="3"/>
  </r>
  <r>
    <n v="40"/>
    <x v="4"/>
    <n v="28000"/>
    <s v="White"/>
    <x v="1"/>
    <x v="3"/>
  </r>
  <r>
    <n v="40"/>
    <x v="4"/>
    <n v="28000"/>
    <s v="White"/>
    <x v="1"/>
    <x v="3"/>
  </r>
  <r>
    <n v="37"/>
    <x v="4"/>
    <n v="28000"/>
    <s v="White"/>
    <x v="0"/>
    <x v="3"/>
  </r>
  <r>
    <n v="40"/>
    <x v="4"/>
    <n v="28000"/>
    <s v="White"/>
    <x v="1"/>
    <x v="3"/>
  </r>
  <r>
    <n v="40"/>
    <x v="4"/>
    <n v="28000"/>
    <s v="White"/>
    <x v="1"/>
    <x v="3"/>
  </r>
  <r>
    <n v="40"/>
    <x v="4"/>
    <n v="28000"/>
    <s v="White"/>
    <x v="1"/>
    <x v="3"/>
  </r>
  <r>
    <n v="40"/>
    <x v="4"/>
    <n v="28000"/>
    <s v="White"/>
    <x v="0"/>
    <x v="3"/>
  </r>
  <r>
    <n v="40"/>
    <x v="4"/>
    <n v="28000"/>
    <s v="White"/>
    <x v="1"/>
    <x v="3"/>
  </r>
  <r>
    <n v="40"/>
    <x v="4"/>
    <n v="28000"/>
    <s v="White"/>
    <x v="1"/>
    <x v="3"/>
  </r>
  <r>
    <n v="40"/>
    <x v="4"/>
    <n v="28000"/>
    <s v="White"/>
    <x v="1"/>
    <x v="3"/>
  </r>
  <r>
    <n v="40"/>
    <x v="4"/>
    <n v="28049"/>
    <s v="White"/>
    <x v="1"/>
    <x v="3"/>
  </r>
  <r>
    <n v="40"/>
    <x v="4"/>
    <n v="28500"/>
    <s v="White"/>
    <x v="1"/>
    <x v="3"/>
  </r>
  <r>
    <n v="40"/>
    <x v="4"/>
    <n v="28500"/>
    <s v="White"/>
    <x v="0"/>
    <x v="3"/>
  </r>
  <r>
    <n v="0"/>
    <x v="4"/>
    <n v="28500"/>
    <s v="White"/>
    <x v="1"/>
    <x v="3"/>
  </r>
  <r>
    <n v="50"/>
    <x v="4"/>
    <n v="28500"/>
    <s v="White"/>
    <x v="1"/>
    <x v="3"/>
  </r>
  <r>
    <n v="40"/>
    <x v="4"/>
    <n v="28600"/>
    <s v="White"/>
    <x v="0"/>
    <x v="3"/>
  </r>
  <r>
    <n v="40"/>
    <x v="4"/>
    <n v="28774"/>
    <s v="White"/>
    <x v="1"/>
    <x v="3"/>
  </r>
  <r>
    <n v="0"/>
    <x v="4"/>
    <n v="28800"/>
    <s v="White"/>
    <x v="1"/>
    <x v="3"/>
  </r>
  <r>
    <n v="46"/>
    <x v="4"/>
    <n v="28800"/>
    <s v="White"/>
    <x v="1"/>
    <x v="3"/>
  </r>
  <r>
    <n v="40"/>
    <x v="4"/>
    <n v="28825"/>
    <s v="White"/>
    <x v="1"/>
    <x v="3"/>
  </r>
  <r>
    <n v="50"/>
    <x v="4"/>
    <n v="28825"/>
    <s v="White"/>
    <x v="1"/>
    <x v="3"/>
  </r>
  <r>
    <n v="40"/>
    <x v="4"/>
    <n v="28853"/>
    <s v="White"/>
    <x v="1"/>
    <x v="3"/>
  </r>
  <r>
    <n v="0"/>
    <x v="4"/>
    <n v="28901"/>
    <s v="IndEsk"/>
    <x v="0"/>
    <x v="3"/>
  </r>
  <r>
    <n v="70"/>
    <x v="4"/>
    <n v="28998"/>
    <s v="White"/>
    <x v="1"/>
    <x v="3"/>
  </r>
  <r>
    <n v="0"/>
    <x v="4"/>
    <n v="28998"/>
    <s v="White"/>
    <x v="1"/>
    <x v="3"/>
  </r>
  <r>
    <n v="80"/>
    <x v="4"/>
    <n v="29000"/>
    <s v="White"/>
    <x v="1"/>
    <x v="3"/>
  </r>
  <r>
    <n v="40"/>
    <x v="4"/>
    <n v="29000"/>
    <s v="White"/>
    <x v="0"/>
    <x v="3"/>
  </r>
  <r>
    <n v="50"/>
    <x v="4"/>
    <n v="29000"/>
    <s v="White"/>
    <x v="1"/>
    <x v="3"/>
  </r>
  <r>
    <n v="40"/>
    <x v="4"/>
    <n v="29000"/>
    <s v="White"/>
    <x v="0"/>
    <x v="3"/>
  </r>
  <r>
    <n v="45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1"/>
    <x v="3"/>
  </r>
  <r>
    <n v="52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1"/>
    <x v="3"/>
  </r>
  <r>
    <n v="0"/>
    <x v="4"/>
    <n v="29000"/>
    <s v="White"/>
    <x v="1"/>
    <x v="3"/>
  </r>
  <r>
    <n v="40"/>
    <x v="4"/>
    <n v="29000"/>
    <s v="White"/>
    <x v="0"/>
    <x v="3"/>
  </r>
  <r>
    <n v="60"/>
    <x v="4"/>
    <n v="29000"/>
    <s v="White"/>
    <x v="1"/>
    <x v="3"/>
  </r>
  <r>
    <n v="45"/>
    <x v="4"/>
    <n v="29000"/>
    <s v="White"/>
    <x v="1"/>
    <x v="3"/>
  </r>
  <r>
    <n v="50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0"/>
    <x v="3"/>
  </r>
  <r>
    <n v="50"/>
    <x v="4"/>
    <n v="29000"/>
    <s v="White"/>
    <x v="1"/>
    <x v="3"/>
  </r>
  <r>
    <n v="40"/>
    <x v="4"/>
    <n v="29000"/>
    <s v="White"/>
    <x v="1"/>
    <x v="3"/>
  </r>
  <r>
    <n v="40"/>
    <x v="4"/>
    <n v="29000"/>
    <s v="White"/>
    <x v="0"/>
    <x v="3"/>
  </r>
  <r>
    <n v="40"/>
    <x v="4"/>
    <n v="29000"/>
    <s v="White"/>
    <x v="0"/>
    <x v="3"/>
  </r>
  <r>
    <n v="40"/>
    <x v="4"/>
    <n v="29000"/>
    <s v="White"/>
    <x v="0"/>
    <x v="3"/>
  </r>
  <r>
    <n v="40"/>
    <x v="4"/>
    <n v="29000"/>
    <s v="White"/>
    <x v="0"/>
    <x v="3"/>
  </r>
  <r>
    <n v="48"/>
    <x v="4"/>
    <n v="29484"/>
    <s v="White"/>
    <x v="0"/>
    <x v="3"/>
  </r>
  <r>
    <n v="40"/>
    <x v="4"/>
    <n v="29484"/>
    <s v="White"/>
    <x v="0"/>
    <x v="3"/>
  </r>
  <r>
    <n v="50"/>
    <x v="4"/>
    <n v="29500"/>
    <s v="White"/>
    <x v="1"/>
    <x v="3"/>
  </r>
  <r>
    <n v="50"/>
    <x v="4"/>
    <n v="29500"/>
    <s v="White"/>
    <x v="1"/>
    <x v="3"/>
  </r>
  <r>
    <n v="40"/>
    <x v="4"/>
    <n v="29700"/>
    <s v="White"/>
    <x v="1"/>
    <x v="3"/>
  </r>
  <r>
    <n v="40"/>
    <x v="4"/>
    <n v="29700"/>
    <s v="White"/>
    <x v="1"/>
    <x v="3"/>
  </r>
  <r>
    <n v="40"/>
    <x v="4"/>
    <n v="29829"/>
    <s v="White"/>
    <x v="1"/>
    <x v="3"/>
  </r>
  <r>
    <n v="40"/>
    <x v="4"/>
    <n v="29872"/>
    <s v="White"/>
    <x v="0"/>
    <x v="3"/>
  </r>
  <r>
    <n v="56"/>
    <x v="4"/>
    <n v="29900"/>
    <s v="Black"/>
    <x v="0"/>
    <x v="3"/>
  </r>
  <r>
    <n v="40"/>
    <x v="4"/>
    <n v="29991"/>
    <s v="White"/>
    <x v="0"/>
    <x v="3"/>
  </r>
  <r>
    <n v="45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1"/>
    <x v="3"/>
  </r>
  <r>
    <n v="99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1"/>
    <x v="3"/>
  </r>
  <r>
    <n v="45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0"/>
    <x v="3"/>
  </r>
  <r>
    <n v="40"/>
    <x v="4"/>
    <n v="30000"/>
    <s v="Black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0"/>
    <x v="3"/>
  </r>
  <r>
    <n v="35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Black"/>
    <x v="1"/>
    <x v="3"/>
  </r>
  <r>
    <n v="50"/>
    <x v="4"/>
    <n v="30000"/>
    <s v="White"/>
    <x v="1"/>
    <x v="3"/>
  </r>
  <r>
    <n v="70"/>
    <x v="4"/>
    <n v="30000"/>
    <s v="White"/>
    <x v="0"/>
    <x v="3"/>
  </r>
  <r>
    <n v="40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38"/>
    <x v="4"/>
    <n v="30000"/>
    <s v="White"/>
    <x v="0"/>
    <x v="3"/>
  </r>
  <r>
    <n v="65"/>
    <x v="4"/>
    <n v="30000"/>
    <s v="Black"/>
    <x v="1"/>
    <x v="3"/>
  </r>
  <r>
    <n v="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0"/>
    <x v="3"/>
  </r>
  <r>
    <n v="45"/>
    <x v="4"/>
    <n v="30000"/>
    <s v="White"/>
    <x v="1"/>
    <x v="3"/>
  </r>
  <r>
    <n v="5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Black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50"/>
    <x v="4"/>
    <n v="30000"/>
    <s v="White"/>
    <x v="1"/>
    <x v="3"/>
  </r>
  <r>
    <n v="38"/>
    <x v="4"/>
    <n v="30000"/>
    <s v="White"/>
    <x v="0"/>
    <x v="3"/>
  </r>
  <r>
    <n v="40"/>
    <x v="4"/>
    <n v="30000"/>
    <s v="White"/>
    <x v="1"/>
    <x v="3"/>
  </r>
  <r>
    <n v="40"/>
    <x v="4"/>
    <n v="30000"/>
    <s v="Black"/>
    <x v="0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Black"/>
    <x v="1"/>
    <x v="3"/>
  </r>
  <r>
    <n v="40"/>
    <x v="4"/>
    <n v="30000"/>
    <s v="Black"/>
    <x v="0"/>
    <x v="3"/>
  </r>
  <r>
    <n v="50"/>
    <x v="4"/>
    <n v="30000"/>
    <s v="White"/>
    <x v="1"/>
    <x v="3"/>
  </r>
  <r>
    <n v="40"/>
    <x v="4"/>
    <n v="30000"/>
    <s v="White"/>
    <x v="1"/>
    <x v="3"/>
  </r>
  <r>
    <n v="5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0"/>
    <x v="3"/>
  </r>
  <r>
    <n v="40"/>
    <x v="4"/>
    <n v="30000"/>
    <s v="White"/>
    <x v="0"/>
    <x v="3"/>
  </r>
  <r>
    <n v="50"/>
    <x v="4"/>
    <n v="30000"/>
    <s v="White"/>
    <x v="1"/>
    <x v="3"/>
  </r>
  <r>
    <n v="40"/>
    <x v="4"/>
    <n v="30000"/>
    <s v="White"/>
    <x v="0"/>
    <x v="3"/>
  </r>
  <r>
    <n v="75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1"/>
    <x v="3"/>
  </r>
  <r>
    <n v="50"/>
    <x v="4"/>
    <n v="30000"/>
    <s v="White"/>
    <x v="1"/>
    <x v="3"/>
  </r>
  <r>
    <n v="50"/>
    <x v="4"/>
    <n v="30000"/>
    <s v="Black"/>
    <x v="0"/>
    <x v="3"/>
  </r>
  <r>
    <n v="37"/>
    <x v="4"/>
    <n v="30000"/>
    <s v="White"/>
    <x v="0"/>
    <x v="3"/>
  </r>
  <r>
    <n v="45"/>
    <x v="4"/>
    <n v="30000"/>
    <s v="White"/>
    <x v="1"/>
    <x v="3"/>
  </r>
  <r>
    <n v="55"/>
    <x v="4"/>
    <n v="30000"/>
    <s v="White"/>
    <x v="1"/>
    <x v="3"/>
  </r>
  <r>
    <n v="40"/>
    <x v="4"/>
    <n v="30000"/>
    <s v="White"/>
    <x v="1"/>
    <x v="3"/>
  </r>
  <r>
    <n v="45"/>
    <x v="4"/>
    <n v="30000"/>
    <s v="White"/>
    <x v="0"/>
    <x v="3"/>
  </r>
  <r>
    <n v="40"/>
    <x v="4"/>
    <n v="30000"/>
    <s v="White"/>
    <x v="1"/>
    <x v="3"/>
  </r>
  <r>
    <n v="40"/>
    <x v="4"/>
    <n v="30000"/>
    <s v="White"/>
    <x v="1"/>
    <x v="3"/>
  </r>
  <r>
    <n v="45"/>
    <x v="4"/>
    <n v="30000"/>
    <s v="White"/>
    <x v="0"/>
    <x v="3"/>
  </r>
  <r>
    <n v="40"/>
    <x v="4"/>
    <n v="30000"/>
    <s v="White"/>
    <x v="1"/>
    <x v="3"/>
  </r>
  <r>
    <n v="60"/>
    <x v="4"/>
    <n v="30000"/>
    <s v="White"/>
    <x v="1"/>
    <x v="3"/>
  </r>
  <r>
    <n v="40"/>
    <x v="4"/>
    <n v="30000"/>
    <s v="White"/>
    <x v="0"/>
    <x v="3"/>
  </r>
  <r>
    <n v="45"/>
    <x v="4"/>
    <n v="30000"/>
    <s v="White"/>
    <x v="1"/>
    <x v="3"/>
  </r>
  <r>
    <n v="40"/>
    <x v="4"/>
    <n v="30000"/>
    <s v="White"/>
    <x v="1"/>
    <x v="3"/>
  </r>
  <r>
    <n v="36"/>
    <x v="4"/>
    <n v="30000"/>
    <s v="White"/>
    <x v="1"/>
    <x v="3"/>
  </r>
  <r>
    <n v="40"/>
    <x v="4"/>
    <n v="30000"/>
    <s v="White"/>
    <x v="1"/>
    <x v="3"/>
  </r>
  <r>
    <n v="40"/>
    <x v="4"/>
    <n v="30000"/>
    <s v="White"/>
    <x v="0"/>
    <x v="3"/>
  </r>
  <r>
    <n v="40"/>
    <x v="4"/>
    <n v="30104"/>
    <s v="White"/>
    <x v="0"/>
    <x v="3"/>
  </r>
  <r>
    <n v="40"/>
    <x v="4"/>
    <n v="30240"/>
    <s v="White"/>
    <x v="1"/>
    <x v="3"/>
  </r>
  <r>
    <n v="50"/>
    <x v="4"/>
    <n v="30400"/>
    <s v="White"/>
    <x v="0"/>
    <x v="3"/>
  </r>
  <r>
    <n v="40"/>
    <x v="4"/>
    <n v="30500"/>
    <s v="Black"/>
    <x v="1"/>
    <x v="3"/>
  </r>
  <r>
    <n v="40"/>
    <x v="4"/>
    <n v="30500"/>
    <s v="White"/>
    <x v="0"/>
    <x v="3"/>
  </r>
  <r>
    <n v="45"/>
    <x v="4"/>
    <n v="30701"/>
    <s v="White"/>
    <x v="1"/>
    <x v="3"/>
  </r>
  <r>
    <n v="40"/>
    <x v="4"/>
    <n v="30724"/>
    <s v="White"/>
    <x v="1"/>
    <x v="3"/>
  </r>
  <r>
    <n v="50"/>
    <x v="4"/>
    <n v="31000"/>
    <s v="White"/>
    <x v="1"/>
    <x v="3"/>
  </r>
  <r>
    <n v="50"/>
    <x v="4"/>
    <n v="31000"/>
    <s v="White"/>
    <x v="1"/>
    <x v="3"/>
  </r>
  <r>
    <n v="40"/>
    <x v="4"/>
    <n v="31000"/>
    <s v="White"/>
    <x v="1"/>
    <x v="3"/>
  </r>
  <r>
    <n v="40"/>
    <x v="4"/>
    <n v="31000"/>
    <s v="White"/>
    <x v="0"/>
    <x v="3"/>
  </r>
  <r>
    <n v="40"/>
    <x v="4"/>
    <n v="31000"/>
    <s v="White"/>
    <x v="0"/>
    <x v="3"/>
  </r>
  <r>
    <n v="40"/>
    <x v="4"/>
    <n v="31000"/>
    <s v="White"/>
    <x v="1"/>
    <x v="3"/>
  </r>
  <r>
    <n v="40"/>
    <x v="4"/>
    <n v="31000"/>
    <s v="White"/>
    <x v="0"/>
    <x v="3"/>
  </r>
  <r>
    <n v="40"/>
    <x v="4"/>
    <n v="31000"/>
    <s v="White"/>
    <x v="1"/>
    <x v="3"/>
  </r>
  <r>
    <n v="0"/>
    <x v="4"/>
    <n v="31000"/>
    <s v="White"/>
    <x v="1"/>
    <x v="3"/>
  </r>
  <r>
    <n v="40"/>
    <x v="4"/>
    <n v="31000"/>
    <s v="White"/>
    <x v="0"/>
    <x v="3"/>
  </r>
  <r>
    <n v="40"/>
    <x v="4"/>
    <n v="31000"/>
    <s v="White"/>
    <x v="0"/>
    <x v="3"/>
  </r>
  <r>
    <n v="40"/>
    <x v="4"/>
    <n v="31000"/>
    <s v="White"/>
    <x v="1"/>
    <x v="3"/>
  </r>
  <r>
    <n v="50"/>
    <x v="4"/>
    <n v="31000"/>
    <s v="White"/>
    <x v="0"/>
    <x v="3"/>
  </r>
  <r>
    <n v="40"/>
    <x v="4"/>
    <n v="31000"/>
    <s v="White"/>
    <x v="0"/>
    <x v="3"/>
  </r>
  <r>
    <n v="40"/>
    <x v="4"/>
    <n v="31000"/>
    <s v="White"/>
    <x v="0"/>
    <x v="3"/>
  </r>
  <r>
    <n v="40"/>
    <x v="4"/>
    <n v="31009"/>
    <s v="White"/>
    <x v="0"/>
    <x v="3"/>
  </r>
  <r>
    <n v="45"/>
    <x v="4"/>
    <n v="31072"/>
    <s v="White"/>
    <x v="1"/>
    <x v="3"/>
  </r>
  <r>
    <n v="50"/>
    <x v="4"/>
    <n v="31200"/>
    <s v="White"/>
    <x v="1"/>
    <x v="3"/>
  </r>
  <r>
    <n v="40"/>
    <x v="4"/>
    <n v="31200"/>
    <s v="White"/>
    <x v="1"/>
    <x v="3"/>
  </r>
  <r>
    <n v="40"/>
    <x v="4"/>
    <n v="31200"/>
    <s v="White"/>
    <x v="0"/>
    <x v="3"/>
  </r>
  <r>
    <n v="40"/>
    <x v="4"/>
    <n v="31400"/>
    <s v="White"/>
    <x v="1"/>
    <x v="3"/>
  </r>
  <r>
    <n v="40"/>
    <x v="4"/>
    <n v="31434"/>
    <s v="White"/>
    <x v="0"/>
    <x v="3"/>
  </r>
  <r>
    <n v="43"/>
    <x v="4"/>
    <n v="31446"/>
    <s v="White"/>
    <x v="1"/>
    <x v="3"/>
  </r>
  <r>
    <n v="50"/>
    <x v="4"/>
    <n v="31450"/>
    <s v="White"/>
    <x v="1"/>
    <x v="3"/>
  </r>
  <r>
    <n v="40"/>
    <x v="4"/>
    <n v="31500"/>
    <s v="White"/>
    <x v="1"/>
    <x v="3"/>
  </r>
  <r>
    <n v="50"/>
    <x v="4"/>
    <n v="32000"/>
    <s v="White"/>
    <x v="1"/>
    <x v="3"/>
  </r>
  <r>
    <n v="50"/>
    <x v="4"/>
    <n v="32000"/>
    <s v="White"/>
    <x v="1"/>
    <x v="3"/>
  </r>
  <r>
    <n v="40"/>
    <x v="4"/>
    <n v="32000"/>
    <s v="White"/>
    <x v="0"/>
    <x v="3"/>
  </r>
  <r>
    <n v="45"/>
    <x v="4"/>
    <n v="32000"/>
    <s v="White"/>
    <x v="0"/>
    <x v="3"/>
  </r>
  <r>
    <n v="40"/>
    <x v="4"/>
    <n v="32000"/>
    <s v="White"/>
    <x v="1"/>
    <x v="3"/>
  </r>
  <r>
    <n v="40"/>
    <x v="4"/>
    <n v="32000"/>
    <s v="White"/>
    <x v="0"/>
    <x v="3"/>
  </r>
  <r>
    <n v="40"/>
    <x v="4"/>
    <n v="32000"/>
    <s v="White"/>
    <x v="1"/>
    <x v="3"/>
  </r>
  <r>
    <n v="60"/>
    <x v="4"/>
    <n v="32000"/>
    <s v="White"/>
    <x v="1"/>
    <x v="3"/>
  </r>
  <r>
    <n v="35"/>
    <x v="4"/>
    <n v="32000"/>
    <s v="White"/>
    <x v="1"/>
    <x v="3"/>
  </r>
  <r>
    <n v="40"/>
    <x v="4"/>
    <n v="32000"/>
    <s v="AsianPI"/>
    <x v="1"/>
    <x v="3"/>
  </r>
  <r>
    <n v="47"/>
    <x v="4"/>
    <n v="32000"/>
    <s v="White"/>
    <x v="1"/>
    <x v="3"/>
  </r>
  <r>
    <n v="60"/>
    <x v="4"/>
    <n v="32000"/>
    <s v="White"/>
    <x v="1"/>
    <x v="3"/>
  </r>
  <r>
    <n v="40"/>
    <x v="4"/>
    <n v="32000"/>
    <s v="Black"/>
    <x v="0"/>
    <x v="3"/>
  </r>
  <r>
    <n v="60"/>
    <x v="4"/>
    <n v="32000"/>
    <s v="White"/>
    <x v="1"/>
    <x v="3"/>
  </r>
  <r>
    <n v="40"/>
    <x v="4"/>
    <n v="32000"/>
    <s v="Black"/>
    <x v="0"/>
    <x v="3"/>
  </r>
  <r>
    <n v="0"/>
    <x v="4"/>
    <n v="32000"/>
    <s v="White"/>
    <x v="1"/>
    <x v="3"/>
  </r>
  <r>
    <n v="40"/>
    <x v="4"/>
    <n v="32000"/>
    <s v="White"/>
    <x v="0"/>
    <x v="3"/>
  </r>
  <r>
    <n v="40"/>
    <x v="4"/>
    <n v="32000"/>
    <s v="White"/>
    <x v="0"/>
    <x v="3"/>
  </r>
  <r>
    <n v="40"/>
    <x v="4"/>
    <n v="32000"/>
    <s v="White"/>
    <x v="0"/>
    <x v="3"/>
  </r>
  <r>
    <n v="40"/>
    <x v="4"/>
    <n v="32000"/>
    <s v="White"/>
    <x v="0"/>
    <x v="3"/>
  </r>
  <r>
    <n v="40"/>
    <x v="4"/>
    <n v="32000"/>
    <s v="White"/>
    <x v="0"/>
    <x v="3"/>
  </r>
  <r>
    <n v="40"/>
    <x v="4"/>
    <n v="32000"/>
    <s v="White"/>
    <x v="0"/>
    <x v="3"/>
  </r>
  <r>
    <n v="47"/>
    <x v="4"/>
    <n v="32000"/>
    <s v="White"/>
    <x v="1"/>
    <x v="3"/>
  </r>
  <r>
    <n v="40"/>
    <x v="4"/>
    <n v="32000"/>
    <s v="White"/>
    <x v="0"/>
    <x v="3"/>
  </r>
  <r>
    <n v="0"/>
    <x v="4"/>
    <n v="32000"/>
    <s v="White"/>
    <x v="1"/>
    <x v="3"/>
  </r>
  <r>
    <n v="40"/>
    <x v="4"/>
    <n v="32000"/>
    <s v="White"/>
    <x v="1"/>
    <x v="3"/>
  </r>
  <r>
    <n v="40"/>
    <x v="4"/>
    <n v="32000"/>
    <s v="White"/>
    <x v="1"/>
    <x v="3"/>
  </r>
  <r>
    <n v="48"/>
    <x v="4"/>
    <n v="32000"/>
    <s v="White"/>
    <x v="1"/>
    <x v="3"/>
  </r>
  <r>
    <n v="40"/>
    <x v="4"/>
    <n v="32000"/>
    <s v="White"/>
    <x v="1"/>
    <x v="3"/>
  </r>
  <r>
    <n v="40"/>
    <x v="4"/>
    <n v="32000"/>
    <s v="White"/>
    <x v="0"/>
    <x v="3"/>
  </r>
  <r>
    <n v="50"/>
    <x v="4"/>
    <n v="32000"/>
    <s v="White"/>
    <x v="1"/>
    <x v="3"/>
  </r>
  <r>
    <n v="40"/>
    <x v="4"/>
    <n v="32000"/>
    <s v="White"/>
    <x v="1"/>
    <x v="3"/>
  </r>
  <r>
    <n v="38"/>
    <x v="4"/>
    <n v="32000"/>
    <s v="White"/>
    <x v="0"/>
    <x v="3"/>
  </r>
  <r>
    <n v="40"/>
    <x v="4"/>
    <n v="32000"/>
    <s v="White"/>
    <x v="0"/>
    <x v="3"/>
  </r>
  <r>
    <n v="40"/>
    <x v="4"/>
    <n v="32076"/>
    <s v="White"/>
    <x v="1"/>
    <x v="3"/>
  </r>
  <r>
    <n v="40"/>
    <x v="4"/>
    <n v="32130"/>
    <s v="White"/>
    <x v="0"/>
    <x v="3"/>
  </r>
  <r>
    <n v="40"/>
    <x v="4"/>
    <n v="32213"/>
    <s v="White"/>
    <x v="1"/>
    <x v="3"/>
  </r>
  <r>
    <n v="42"/>
    <x v="4"/>
    <n v="32240"/>
    <s v="White"/>
    <x v="1"/>
    <x v="3"/>
  </r>
  <r>
    <n v="40"/>
    <x v="4"/>
    <n v="32400"/>
    <s v="White"/>
    <x v="1"/>
    <x v="3"/>
  </r>
  <r>
    <n v="45"/>
    <x v="4"/>
    <n v="32500"/>
    <s v="White"/>
    <x v="0"/>
    <x v="3"/>
  </r>
  <r>
    <n v="60"/>
    <x v="4"/>
    <n v="32500"/>
    <s v="White"/>
    <x v="1"/>
    <x v="3"/>
  </r>
  <r>
    <n v="0"/>
    <x v="4"/>
    <n v="32600"/>
    <s v="White"/>
    <x v="1"/>
    <x v="3"/>
  </r>
  <r>
    <n v="0"/>
    <x v="4"/>
    <n v="33000"/>
    <s v="Black"/>
    <x v="1"/>
    <x v="3"/>
  </r>
  <r>
    <n v="50"/>
    <x v="4"/>
    <n v="33000"/>
    <s v="White"/>
    <x v="0"/>
    <x v="3"/>
  </r>
  <r>
    <n v="47"/>
    <x v="4"/>
    <n v="33000"/>
    <s v="White"/>
    <x v="1"/>
    <x v="3"/>
  </r>
  <r>
    <n v="50"/>
    <x v="4"/>
    <n v="33000"/>
    <s v="White"/>
    <x v="1"/>
    <x v="3"/>
  </r>
  <r>
    <n v="0"/>
    <x v="4"/>
    <n v="33000"/>
    <s v="White"/>
    <x v="1"/>
    <x v="3"/>
  </r>
  <r>
    <n v="40"/>
    <x v="4"/>
    <n v="33000"/>
    <s v="White"/>
    <x v="0"/>
    <x v="3"/>
  </r>
  <r>
    <n v="40"/>
    <x v="4"/>
    <n v="33000"/>
    <s v="White"/>
    <x v="1"/>
    <x v="3"/>
  </r>
  <r>
    <n v="45"/>
    <x v="4"/>
    <n v="33000"/>
    <s v="White"/>
    <x v="0"/>
    <x v="3"/>
  </r>
  <r>
    <n v="40"/>
    <x v="4"/>
    <n v="33000"/>
    <s v="White"/>
    <x v="1"/>
    <x v="3"/>
  </r>
  <r>
    <n v="40"/>
    <x v="4"/>
    <n v="33000"/>
    <s v="White"/>
    <x v="1"/>
    <x v="3"/>
  </r>
  <r>
    <n v="40"/>
    <x v="4"/>
    <n v="33000"/>
    <s v="White"/>
    <x v="1"/>
    <x v="3"/>
  </r>
  <r>
    <n v="40"/>
    <x v="4"/>
    <n v="33000"/>
    <s v="White"/>
    <x v="0"/>
    <x v="3"/>
  </r>
  <r>
    <n v="40"/>
    <x v="4"/>
    <n v="33000"/>
    <s v="White"/>
    <x v="0"/>
    <x v="3"/>
  </r>
  <r>
    <n v="40"/>
    <x v="4"/>
    <n v="33000"/>
    <s v="White"/>
    <x v="0"/>
    <x v="3"/>
  </r>
  <r>
    <n v="45"/>
    <x v="4"/>
    <n v="33000"/>
    <s v="White"/>
    <x v="1"/>
    <x v="3"/>
  </r>
  <r>
    <n v="40"/>
    <x v="4"/>
    <n v="33000"/>
    <s v="White"/>
    <x v="0"/>
    <x v="3"/>
  </r>
  <r>
    <n v="40"/>
    <x v="4"/>
    <n v="33000"/>
    <s v="White"/>
    <x v="1"/>
    <x v="3"/>
  </r>
  <r>
    <n v="40"/>
    <x v="4"/>
    <n v="33000"/>
    <s v="Black"/>
    <x v="1"/>
    <x v="3"/>
  </r>
  <r>
    <n v="44"/>
    <x v="4"/>
    <n v="33000"/>
    <s v="White"/>
    <x v="1"/>
    <x v="3"/>
  </r>
  <r>
    <n v="40"/>
    <x v="4"/>
    <n v="33000"/>
    <s v="White"/>
    <x v="1"/>
    <x v="3"/>
  </r>
  <r>
    <n v="40"/>
    <x v="4"/>
    <n v="33000"/>
    <s v="White"/>
    <x v="1"/>
    <x v="3"/>
  </r>
  <r>
    <n v="40"/>
    <x v="4"/>
    <n v="33000"/>
    <s v="White"/>
    <x v="1"/>
    <x v="3"/>
  </r>
  <r>
    <n v="44"/>
    <x v="4"/>
    <n v="33200"/>
    <s v="White"/>
    <x v="0"/>
    <x v="3"/>
  </r>
  <r>
    <n v="40"/>
    <x v="4"/>
    <n v="33279"/>
    <s v="White"/>
    <x v="1"/>
    <x v="3"/>
  </r>
  <r>
    <n v="40"/>
    <x v="4"/>
    <n v="33300"/>
    <s v="White"/>
    <x v="0"/>
    <x v="3"/>
  </r>
  <r>
    <n v="45"/>
    <x v="4"/>
    <n v="33600"/>
    <s v="White"/>
    <x v="0"/>
    <x v="3"/>
  </r>
  <r>
    <n v="40"/>
    <x v="4"/>
    <n v="33600"/>
    <s v="White"/>
    <x v="0"/>
    <x v="3"/>
  </r>
  <r>
    <n v="55"/>
    <x v="4"/>
    <n v="33606"/>
    <s v="White"/>
    <x v="1"/>
    <x v="3"/>
  </r>
  <r>
    <n v="60"/>
    <x v="4"/>
    <n v="33700"/>
    <s v="White"/>
    <x v="1"/>
    <x v="3"/>
  </r>
  <r>
    <n v="40"/>
    <x v="4"/>
    <n v="33780"/>
    <s v="White"/>
    <x v="1"/>
    <x v="3"/>
  </r>
  <r>
    <n v="40"/>
    <x v="4"/>
    <n v="33780"/>
    <s v="White"/>
    <x v="1"/>
    <x v="3"/>
  </r>
  <r>
    <n v="45"/>
    <x v="4"/>
    <n v="33800"/>
    <s v="White"/>
    <x v="1"/>
    <x v="3"/>
  </r>
  <r>
    <n v="50"/>
    <x v="4"/>
    <n v="33800"/>
    <s v="White"/>
    <x v="1"/>
    <x v="3"/>
  </r>
  <r>
    <n v="40"/>
    <x v="4"/>
    <n v="34000"/>
    <s v="White"/>
    <x v="1"/>
    <x v="3"/>
  </r>
  <r>
    <n v="40"/>
    <x v="4"/>
    <n v="34000"/>
    <s v="Black"/>
    <x v="0"/>
    <x v="3"/>
  </r>
  <r>
    <n v="40"/>
    <x v="4"/>
    <n v="34000"/>
    <s v="Black"/>
    <x v="0"/>
    <x v="3"/>
  </r>
  <r>
    <n v="45"/>
    <x v="4"/>
    <n v="34000"/>
    <s v="White"/>
    <x v="0"/>
    <x v="3"/>
  </r>
  <r>
    <n v="45"/>
    <x v="4"/>
    <n v="34000"/>
    <s v="White"/>
    <x v="1"/>
    <x v="3"/>
  </r>
  <r>
    <n v="50"/>
    <x v="4"/>
    <n v="34000"/>
    <s v="White"/>
    <x v="1"/>
    <x v="3"/>
  </r>
  <r>
    <n v="40"/>
    <x v="4"/>
    <n v="34000"/>
    <s v="White"/>
    <x v="1"/>
    <x v="3"/>
  </r>
  <r>
    <n v="50"/>
    <x v="4"/>
    <n v="34000"/>
    <s v="White"/>
    <x v="1"/>
    <x v="3"/>
  </r>
  <r>
    <n v="40"/>
    <x v="4"/>
    <n v="34000"/>
    <s v="Black"/>
    <x v="1"/>
    <x v="3"/>
  </r>
  <r>
    <n v="60"/>
    <x v="4"/>
    <n v="34000"/>
    <s v="White"/>
    <x v="1"/>
    <x v="3"/>
  </r>
  <r>
    <n v="50"/>
    <x v="4"/>
    <n v="34000"/>
    <s v="White"/>
    <x v="1"/>
    <x v="3"/>
  </r>
  <r>
    <n v="40"/>
    <x v="4"/>
    <n v="34000"/>
    <s v="White"/>
    <x v="1"/>
    <x v="3"/>
  </r>
  <r>
    <n v="40"/>
    <x v="4"/>
    <n v="34000"/>
    <s v="White"/>
    <x v="1"/>
    <x v="3"/>
  </r>
  <r>
    <n v="80"/>
    <x v="4"/>
    <n v="34000"/>
    <s v="White"/>
    <x v="1"/>
    <x v="3"/>
  </r>
  <r>
    <n v="40"/>
    <x v="4"/>
    <n v="34000"/>
    <s v="White"/>
    <x v="1"/>
    <x v="3"/>
  </r>
  <r>
    <n v="40"/>
    <x v="4"/>
    <n v="34000"/>
    <s v="White"/>
    <x v="1"/>
    <x v="3"/>
  </r>
  <r>
    <n v="53"/>
    <x v="4"/>
    <n v="34000"/>
    <s v="White"/>
    <x v="1"/>
    <x v="3"/>
  </r>
  <r>
    <n v="45"/>
    <x v="4"/>
    <n v="34000"/>
    <s v="White"/>
    <x v="1"/>
    <x v="3"/>
  </r>
  <r>
    <n v="40"/>
    <x v="4"/>
    <n v="34000"/>
    <s v="White"/>
    <x v="1"/>
    <x v="3"/>
  </r>
  <r>
    <n v="50"/>
    <x v="4"/>
    <n v="34500"/>
    <s v="White"/>
    <x v="0"/>
    <x v="3"/>
  </r>
  <r>
    <n v="40"/>
    <x v="4"/>
    <n v="34892"/>
    <s v="White"/>
    <x v="0"/>
    <x v="3"/>
  </r>
  <r>
    <n v="0"/>
    <x v="4"/>
    <n v="34900"/>
    <s v="White"/>
    <x v="1"/>
    <x v="3"/>
  </r>
  <r>
    <n v="40"/>
    <x v="4"/>
    <n v="35000"/>
    <s v="White"/>
    <x v="1"/>
    <x v="3"/>
  </r>
  <r>
    <n v="40"/>
    <x v="4"/>
    <n v="35000"/>
    <s v="White"/>
    <x v="0"/>
    <x v="3"/>
  </r>
  <r>
    <n v="64"/>
    <x v="4"/>
    <n v="35000"/>
    <s v="White"/>
    <x v="0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0"/>
    <x v="3"/>
  </r>
  <r>
    <n v="40"/>
    <x v="4"/>
    <n v="35000"/>
    <s v="White"/>
    <x v="0"/>
    <x v="3"/>
  </r>
  <r>
    <n v="40"/>
    <x v="4"/>
    <n v="35000"/>
    <s v="White"/>
    <x v="0"/>
    <x v="3"/>
  </r>
  <r>
    <n v="50"/>
    <x v="4"/>
    <n v="35000"/>
    <s v="White"/>
    <x v="0"/>
    <x v="3"/>
  </r>
  <r>
    <n v="40"/>
    <x v="4"/>
    <n v="35000"/>
    <s v="White"/>
    <x v="0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0"/>
    <x v="3"/>
  </r>
  <r>
    <n v="50"/>
    <x v="4"/>
    <n v="35000"/>
    <s v="White"/>
    <x v="0"/>
    <x v="3"/>
  </r>
  <r>
    <n v="40"/>
    <x v="4"/>
    <n v="35000"/>
    <s v="White"/>
    <x v="1"/>
    <x v="3"/>
  </r>
  <r>
    <n v="40"/>
    <x v="4"/>
    <n v="35000"/>
    <s v="White"/>
    <x v="1"/>
    <x v="3"/>
  </r>
  <r>
    <n v="65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60"/>
    <x v="4"/>
    <n v="35000"/>
    <s v="White"/>
    <x v="0"/>
    <x v="3"/>
  </r>
  <r>
    <n v="40"/>
    <x v="4"/>
    <n v="35000"/>
    <s v="White"/>
    <x v="0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0"/>
    <x v="3"/>
  </r>
  <r>
    <n v="40"/>
    <x v="4"/>
    <n v="35000"/>
    <s v="White"/>
    <x v="1"/>
    <x v="3"/>
  </r>
  <r>
    <n v="40"/>
    <x v="4"/>
    <n v="35000"/>
    <s v="Black"/>
    <x v="1"/>
    <x v="3"/>
  </r>
  <r>
    <n v="0"/>
    <x v="4"/>
    <n v="35000"/>
    <s v="White"/>
    <x v="1"/>
    <x v="3"/>
  </r>
  <r>
    <n v="40"/>
    <x v="4"/>
    <n v="35000"/>
    <s v="White"/>
    <x v="0"/>
    <x v="3"/>
  </r>
  <r>
    <n v="40"/>
    <x v="4"/>
    <n v="35000"/>
    <s v="White"/>
    <x v="1"/>
    <x v="3"/>
  </r>
  <r>
    <n v="46"/>
    <x v="4"/>
    <n v="35000"/>
    <s v="White"/>
    <x v="1"/>
    <x v="3"/>
  </r>
  <r>
    <n v="40"/>
    <x v="4"/>
    <n v="35000"/>
    <s v="White"/>
    <x v="0"/>
    <x v="3"/>
  </r>
  <r>
    <n v="40"/>
    <x v="4"/>
    <n v="35000"/>
    <s v="Black"/>
    <x v="1"/>
    <x v="3"/>
  </r>
  <r>
    <n v="40"/>
    <x v="4"/>
    <n v="35000"/>
    <s v="White"/>
    <x v="0"/>
    <x v="3"/>
  </r>
  <r>
    <n v="40"/>
    <x v="4"/>
    <n v="35000"/>
    <s v="White"/>
    <x v="1"/>
    <x v="3"/>
  </r>
  <r>
    <n v="50"/>
    <x v="4"/>
    <n v="35000"/>
    <s v="White"/>
    <x v="0"/>
    <x v="3"/>
  </r>
  <r>
    <n v="40"/>
    <x v="4"/>
    <n v="35000"/>
    <s v="White"/>
    <x v="1"/>
    <x v="3"/>
  </r>
  <r>
    <n v="40"/>
    <x v="4"/>
    <n v="35000"/>
    <s v="Black"/>
    <x v="0"/>
    <x v="3"/>
  </r>
  <r>
    <n v="40"/>
    <x v="4"/>
    <n v="35000"/>
    <s v="White"/>
    <x v="1"/>
    <x v="3"/>
  </r>
  <r>
    <n v="40"/>
    <x v="4"/>
    <n v="35000"/>
    <s v="White"/>
    <x v="1"/>
    <x v="3"/>
  </r>
  <r>
    <n v="80"/>
    <x v="4"/>
    <n v="35000"/>
    <s v="White"/>
    <x v="0"/>
    <x v="3"/>
  </r>
  <r>
    <n v="70"/>
    <x v="4"/>
    <n v="35000"/>
    <s v="White"/>
    <x v="1"/>
    <x v="3"/>
  </r>
  <r>
    <n v="40"/>
    <x v="4"/>
    <n v="35000"/>
    <s v="White"/>
    <x v="0"/>
    <x v="3"/>
  </r>
  <r>
    <n v="40"/>
    <x v="4"/>
    <n v="35000"/>
    <s v="White"/>
    <x v="0"/>
    <x v="3"/>
  </r>
  <r>
    <n v="40"/>
    <x v="4"/>
    <n v="35000"/>
    <s v="White"/>
    <x v="1"/>
    <x v="3"/>
  </r>
  <r>
    <n v="40"/>
    <x v="4"/>
    <n v="35000"/>
    <s v="White"/>
    <x v="1"/>
    <x v="3"/>
  </r>
  <r>
    <n v="40"/>
    <x v="4"/>
    <n v="35000"/>
    <s v="White"/>
    <x v="1"/>
    <x v="3"/>
  </r>
  <r>
    <n v="50"/>
    <x v="4"/>
    <n v="35000"/>
    <s v="White"/>
    <x v="1"/>
    <x v="3"/>
  </r>
  <r>
    <n v="40"/>
    <x v="4"/>
    <n v="35000"/>
    <s v="White"/>
    <x v="1"/>
    <x v="3"/>
  </r>
  <r>
    <n v="40"/>
    <x v="4"/>
    <n v="35000"/>
    <s v="Black"/>
    <x v="1"/>
    <x v="3"/>
  </r>
  <r>
    <n v="40"/>
    <x v="4"/>
    <n v="35000"/>
    <s v="White"/>
    <x v="0"/>
    <x v="3"/>
  </r>
  <r>
    <n v="65"/>
    <x v="4"/>
    <n v="35000"/>
    <s v="White"/>
    <x v="1"/>
    <x v="3"/>
  </r>
  <r>
    <n v="40"/>
    <x v="4"/>
    <n v="35000"/>
    <s v="Black"/>
    <x v="1"/>
    <x v="3"/>
  </r>
  <r>
    <n v="50"/>
    <x v="4"/>
    <n v="35000"/>
    <s v="White"/>
    <x v="0"/>
    <x v="3"/>
  </r>
  <r>
    <n v="40"/>
    <x v="4"/>
    <n v="35000"/>
    <s v="White"/>
    <x v="1"/>
    <x v="3"/>
  </r>
  <r>
    <n v="90"/>
    <x v="4"/>
    <n v="35000"/>
    <s v="White"/>
    <x v="1"/>
    <x v="3"/>
  </r>
  <r>
    <n v="45"/>
    <x v="4"/>
    <n v="35000"/>
    <s v="White"/>
    <x v="1"/>
    <x v="3"/>
  </r>
  <r>
    <n v="45"/>
    <x v="4"/>
    <n v="35000"/>
    <s v="White"/>
    <x v="1"/>
    <x v="3"/>
  </r>
  <r>
    <n v="35"/>
    <x v="4"/>
    <n v="35000"/>
    <s v="Black"/>
    <x v="1"/>
    <x v="3"/>
  </r>
  <r>
    <n v="40"/>
    <x v="4"/>
    <n v="35000"/>
    <s v="White"/>
    <x v="1"/>
    <x v="3"/>
  </r>
  <r>
    <n v="60"/>
    <x v="4"/>
    <n v="35000"/>
    <s v="White"/>
    <x v="1"/>
    <x v="3"/>
  </r>
  <r>
    <n v="40"/>
    <x v="4"/>
    <n v="35000"/>
    <s v="White"/>
    <x v="1"/>
    <x v="3"/>
  </r>
  <r>
    <n v="60"/>
    <x v="4"/>
    <n v="35000"/>
    <s v="White"/>
    <x v="1"/>
    <x v="3"/>
  </r>
  <r>
    <n v="40"/>
    <x v="4"/>
    <n v="35000"/>
    <s v="White"/>
    <x v="1"/>
    <x v="3"/>
  </r>
  <r>
    <n v="55"/>
    <x v="4"/>
    <n v="35400"/>
    <s v="White"/>
    <x v="1"/>
    <x v="3"/>
  </r>
  <r>
    <n v="50"/>
    <x v="4"/>
    <n v="35400"/>
    <s v="White"/>
    <x v="1"/>
    <x v="3"/>
  </r>
  <r>
    <n v="55"/>
    <x v="4"/>
    <n v="35400"/>
    <s v="White"/>
    <x v="1"/>
    <x v="3"/>
  </r>
  <r>
    <n v="40"/>
    <x v="4"/>
    <n v="35600"/>
    <s v="White"/>
    <x v="1"/>
    <x v="3"/>
  </r>
  <r>
    <n v="0"/>
    <x v="4"/>
    <n v="35700"/>
    <s v="White"/>
    <x v="1"/>
    <x v="3"/>
  </r>
  <r>
    <n v="40"/>
    <x v="4"/>
    <n v="35775"/>
    <s v="Black"/>
    <x v="1"/>
    <x v="3"/>
  </r>
  <r>
    <n v="40"/>
    <x v="4"/>
    <n v="35828"/>
    <s v="White"/>
    <x v="1"/>
    <x v="3"/>
  </r>
  <r>
    <n v="40"/>
    <x v="4"/>
    <n v="36000"/>
    <s v="White"/>
    <x v="0"/>
    <x v="3"/>
  </r>
  <r>
    <n v="48"/>
    <x v="4"/>
    <n v="36000"/>
    <s v="White"/>
    <x v="0"/>
    <x v="3"/>
  </r>
  <r>
    <n v="40"/>
    <x v="4"/>
    <n v="36000"/>
    <s v="White"/>
    <x v="0"/>
    <x v="3"/>
  </r>
  <r>
    <n v="40"/>
    <x v="4"/>
    <n v="36000"/>
    <s v="White"/>
    <x v="1"/>
    <x v="3"/>
  </r>
  <r>
    <n v="40"/>
    <x v="4"/>
    <n v="36000"/>
    <s v="White"/>
    <x v="1"/>
    <x v="3"/>
  </r>
  <r>
    <n v="40"/>
    <x v="4"/>
    <n v="36000"/>
    <s v="White"/>
    <x v="1"/>
    <x v="3"/>
  </r>
  <r>
    <n v="40"/>
    <x v="4"/>
    <n v="36000"/>
    <s v="White"/>
    <x v="1"/>
    <x v="3"/>
  </r>
  <r>
    <n v="40"/>
    <x v="4"/>
    <n v="36000"/>
    <s v="White"/>
    <x v="1"/>
    <x v="3"/>
  </r>
  <r>
    <n v="60"/>
    <x v="4"/>
    <n v="36000"/>
    <s v="White"/>
    <x v="1"/>
    <x v="3"/>
  </r>
  <r>
    <n v="40"/>
    <x v="4"/>
    <n v="36000"/>
    <s v="White"/>
    <x v="1"/>
    <x v="3"/>
  </r>
  <r>
    <n v="40"/>
    <x v="4"/>
    <n v="36000"/>
    <s v="Black"/>
    <x v="1"/>
    <x v="3"/>
  </r>
  <r>
    <n v="40"/>
    <x v="4"/>
    <n v="36000"/>
    <s v="White"/>
    <x v="0"/>
    <x v="3"/>
  </r>
  <r>
    <n v="45"/>
    <x v="4"/>
    <n v="36000"/>
    <s v="White"/>
    <x v="1"/>
    <x v="3"/>
  </r>
  <r>
    <n v="45"/>
    <x v="4"/>
    <n v="36000"/>
    <s v="White"/>
    <x v="1"/>
    <x v="3"/>
  </r>
  <r>
    <n v="50"/>
    <x v="4"/>
    <n v="36000"/>
    <s v="White"/>
    <x v="1"/>
    <x v="3"/>
  </r>
  <r>
    <n v="0"/>
    <x v="4"/>
    <n v="36000"/>
    <s v="White"/>
    <x v="1"/>
    <x v="3"/>
  </r>
  <r>
    <n v="45"/>
    <x v="4"/>
    <n v="36000"/>
    <s v="White"/>
    <x v="1"/>
    <x v="3"/>
  </r>
  <r>
    <n v="40"/>
    <x v="4"/>
    <n v="36000"/>
    <s v="White"/>
    <x v="1"/>
    <x v="3"/>
  </r>
  <r>
    <n v="40"/>
    <x v="4"/>
    <n v="36000"/>
    <s v="White"/>
    <x v="0"/>
    <x v="3"/>
  </r>
  <r>
    <n v="40"/>
    <x v="4"/>
    <n v="36000"/>
    <s v="White"/>
    <x v="0"/>
    <x v="3"/>
  </r>
  <r>
    <n v="55"/>
    <x v="4"/>
    <n v="36000"/>
    <s v="White"/>
    <x v="1"/>
    <x v="3"/>
  </r>
  <r>
    <n v="70"/>
    <x v="4"/>
    <n v="36000"/>
    <s v="White"/>
    <x v="1"/>
    <x v="3"/>
  </r>
  <r>
    <n v="48"/>
    <x v="4"/>
    <n v="36000"/>
    <s v="White"/>
    <x v="1"/>
    <x v="3"/>
  </r>
  <r>
    <n v="40"/>
    <x v="4"/>
    <n v="36000"/>
    <s v="White"/>
    <x v="1"/>
    <x v="3"/>
  </r>
  <r>
    <n v="40"/>
    <x v="4"/>
    <n v="36200"/>
    <s v="White"/>
    <x v="1"/>
    <x v="3"/>
  </r>
  <r>
    <n v="40"/>
    <x v="4"/>
    <n v="36312"/>
    <s v="White"/>
    <x v="1"/>
    <x v="3"/>
  </r>
  <r>
    <n v="55"/>
    <x v="4"/>
    <n v="36400"/>
    <s v="White"/>
    <x v="1"/>
    <x v="3"/>
  </r>
  <r>
    <n v="40"/>
    <x v="4"/>
    <n v="36400"/>
    <s v="White"/>
    <x v="1"/>
    <x v="3"/>
  </r>
  <r>
    <n v="50"/>
    <x v="4"/>
    <n v="36400"/>
    <s v="White"/>
    <x v="1"/>
    <x v="3"/>
  </r>
  <r>
    <n v="60"/>
    <x v="4"/>
    <n v="36495"/>
    <s v="White"/>
    <x v="1"/>
    <x v="3"/>
  </r>
  <r>
    <n v="0"/>
    <x v="4"/>
    <n v="36500"/>
    <s v="White"/>
    <x v="1"/>
    <x v="3"/>
  </r>
  <r>
    <n v="40"/>
    <x v="4"/>
    <n v="36615"/>
    <s v="White"/>
    <x v="1"/>
    <x v="3"/>
  </r>
  <r>
    <n v="60"/>
    <x v="4"/>
    <n v="36738"/>
    <s v="White"/>
    <x v="0"/>
    <x v="3"/>
  </r>
  <r>
    <n v="45"/>
    <x v="4"/>
    <n v="36800"/>
    <s v="White"/>
    <x v="1"/>
    <x v="3"/>
  </r>
  <r>
    <n v="45"/>
    <x v="4"/>
    <n v="36800"/>
    <s v="White"/>
    <x v="1"/>
    <x v="3"/>
  </r>
  <r>
    <n v="40"/>
    <x v="4"/>
    <n v="37000"/>
    <s v="White"/>
    <x v="1"/>
    <x v="3"/>
  </r>
  <r>
    <n v="40"/>
    <x v="4"/>
    <n v="37000"/>
    <s v="Black"/>
    <x v="1"/>
    <x v="3"/>
  </r>
  <r>
    <n v="40"/>
    <x v="4"/>
    <n v="37000"/>
    <s v="White"/>
    <x v="0"/>
    <x v="3"/>
  </r>
  <r>
    <n v="70"/>
    <x v="4"/>
    <n v="37000"/>
    <s v="White"/>
    <x v="1"/>
    <x v="3"/>
  </r>
  <r>
    <n v="40"/>
    <x v="4"/>
    <n v="37000"/>
    <s v="White"/>
    <x v="0"/>
    <x v="3"/>
  </r>
  <r>
    <n v="40"/>
    <x v="4"/>
    <n v="37000"/>
    <s v="White"/>
    <x v="1"/>
    <x v="3"/>
  </r>
  <r>
    <n v="0"/>
    <x v="4"/>
    <n v="37000"/>
    <s v="White"/>
    <x v="0"/>
    <x v="3"/>
  </r>
  <r>
    <n v="40"/>
    <x v="4"/>
    <n v="37000"/>
    <s v="White"/>
    <x v="0"/>
    <x v="3"/>
  </r>
  <r>
    <n v="40"/>
    <x v="4"/>
    <n v="37000"/>
    <s v="White"/>
    <x v="1"/>
    <x v="3"/>
  </r>
  <r>
    <n v="50"/>
    <x v="4"/>
    <n v="37000"/>
    <s v="IndEsk"/>
    <x v="1"/>
    <x v="3"/>
  </r>
  <r>
    <n v="50"/>
    <x v="4"/>
    <n v="37000"/>
    <s v="White"/>
    <x v="1"/>
    <x v="3"/>
  </r>
  <r>
    <n v="48"/>
    <x v="4"/>
    <n v="37000"/>
    <s v="White"/>
    <x v="0"/>
    <x v="3"/>
  </r>
  <r>
    <n v="40"/>
    <x v="4"/>
    <n v="37000"/>
    <s v="White"/>
    <x v="1"/>
    <x v="3"/>
  </r>
  <r>
    <n v="50"/>
    <x v="4"/>
    <n v="37000"/>
    <s v="White"/>
    <x v="1"/>
    <x v="3"/>
  </r>
  <r>
    <n v="40"/>
    <x v="4"/>
    <n v="37171"/>
    <s v="White"/>
    <x v="1"/>
    <x v="3"/>
  </r>
  <r>
    <n v="40"/>
    <x v="4"/>
    <n v="37300"/>
    <s v="White"/>
    <x v="1"/>
    <x v="3"/>
  </r>
  <r>
    <n v="75"/>
    <x v="4"/>
    <n v="37400"/>
    <s v="White"/>
    <x v="1"/>
    <x v="3"/>
  </r>
  <r>
    <n v="40"/>
    <x v="4"/>
    <n v="37404"/>
    <s v="Black"/>
    <x v="0"/>
    <x v="3"/>
  </r>
  <r>
    <n v="50"/>
    <x v="4"/>
    <n v="37655"/>
    <s v="White"/>
    <x v="1"/>
    <x v="3"/>
  </r>
  <r>
    <n v="59"/>
    <x v="4"/>
    <n v="37889"/>
    <s v="White"/>
    <x v="0"/>
    <x v="3"/>
  </r>
  <r>
    <n v="44"/>
    <x v="4"/>
    <n v="38000"/>
    <s v="White"/>
    <x v="0"/>
    <x v="3"/>
  </r>
  <r>
    <n v="40"/>
    <x v="4"/>
    <n v="38000"/>
    <s v="White"/>
    <x v="1"/>
    <x v="3"/>
  </r>
  <r>
    <n v="60"/>
    <x v="4"/>
    <n v="38000"/>
    <s v="White"/>
    <x v="1"/>
    <x v="3"/>
  </r>
  <r>
    <n v="40"/>
    <x v="4"/>
    <n v="38000"/>
    <s v="White"/>
    <x v="1"/>
    <x v="3"/>
  </r>
  <r>
    <n v="40"/>
    <x v="4"/>
    <n v="38000"/>
    <s v="White"/>
    <x v="0"/>
    <x v="3"/>
  </r>
  <r>
    <n v="40"/>
    <x v="4"/>
    <n v="38000"/>
    <s v="White"/>
    <x v="0"/>
    <x v="3"/>
  </r>
  <r>
    <n v="50"/>
    <x v="4"/>
    <n v="38000"/>
    <s v="White"/>
    <x v="0"/>
    <x v="3"/>
  </r>
  <r>
    <n v="50"/>
    <x v="4"/>
    <n v="38000"/>
    <s v="White"/>
    <x v="0"/>
    <x v="3"/>
  </r>
  <r>
    <n v="60"/>
    <x v="4"/>
    <n v="38000"/>
    <s v="White"/>
    <x v="1"/>
    <x v="3"/>
  </r>
  <r>
    <n v="102"/>
    <x v="4"/>
    <n v="38000"/>
    <s v="White"/>
    <x v="1"/>
    <x v="3"/>
  </r>
  <r>
    <n v="40"/>
    <x v="4"/>
    <n v="38000"/>
    <s v="Black"/>
    <x v="1"/>
    <x v="3"/>
  </r>
  <r>
    <n v="50"/>
    <x v="4"/>
    <n v="38000"/>
    <s v="White"/>
    <x v="0"/>
    <x v="3"/>
  </r>
  <r>
    <n v="40"/>
    <x v="4"/>
    <n v="38000"/>
    <s v="White"/>
    <x v="0"/>
    <x v="3"/>
  </r>
  <r>
    <n v="60"/>
    <x v="4"/>
    <n v="38000"/>
    <s v="White"/>
    <x v="1"/>
    <x v="3"/>
  </r>
  <r>
    <n v="40"/>
    <x v="4"/>
    <n v="38000"/>
    <s v="Black"/>
    <x v="1"/>
    <x v="3"/>
  </r>
  <r>
    <n v="40"/>
    <x v="4"/>
    <n v="38000"/>
    <s v="Black"/>
    <x v="0"/>
    <x v="3"/>
  </r>
  <r>
    <n v="40"/>
    <x v="4"/>
    <n v="38000"/>
    <s v="White"/>
    <x v="0"/>
    <x v="3"/>
  </r>
  <r>
    <n v="40"/>
    <x v="4"/>
    <n v="38000"/>
    <s v="White"/>
    <x v="1"/>
    <x v="3"/>
  </r>
  <r>
    <n v="40"/>
    <x v="4"/>
    <n v="38000"/>
    <s v="White"/>
    <x v="1"/>
    <x v="3"/>
  </r>
  <r>
    <n v="42"/>
    <x v="4"/>
    <n v="38000"/>
    <s v="White"/>
    <x v="1"/>
    <x v="3"/>
  </r>
  <r>
    <n v="55"/>
    <x v="4"/>
    <n v="38000"/>
    <s v="White"/>
    <x v="1"/>
    <x v="3"/>
  </r>
  <r>
    <n v="50"/>
    <x v="4"/>
    <n v="38000"/>
    <s v="White"/>
    <x v="1"/>
    <x v="3"/>
  </r>
  <r>
    <n v="40"/>
    <x v="4"/>
    <n v="38000"/>
    <s v="White"/>
    <x v="1"/>
    <x v="3"/>
  </r>
  <r>
    <n v="40"/>
    <x v="4"/>
    <n v="38000"/>
    <s v="White"/>
    <x v="1"/>
    <x v="3"/>
  </r>
  <r>
    <n v="40"/>
    <x v="4"/>
    <n v="38000"/>
    <s v="White"/>
    <x v="1"/>
    <x v="3"/>
  </r>
  <r>
    <n v="40"/>
    <x v="4"/>
    <n v="38343"/>
    <s v="White"/>
    <x v="1"/>
    <x v="3"/>
  </r>
  <r>
    <n v="53"/>
    <x v="4"/>
    <n v="38684"/>
    <s v="White"/>
    <x v="0"/>
    <x v="3"/>
  </r>
  <r>
    <n v="40"/>
    <x v="4"/>
    <n v="38740"/>
    <s v="White"/>
    <x v="1"/>
    <x v="3"/>
  </r>
  <r>
    <n v="60"/>
    <x v="4"/>
    <n v="39000"/>
    <s v="White"/>
    <x v="1"/>
    <x v="3"/>
  </r>
  <r>
    <n v="40"/>
    <x v="4"/>
    <n v="39000"/>
    <s v="White"/>
    <x v="0"/>
    <x v="3"/>
  </r>
  <r>
    <n v="60"/>
    <x v="4"/>
    <n v="39000"/>
    <s v="White"/>
    <x v="1"/>
    <x v="3"/>
  </r>
  <r>
    <n v="40"/>
    <x v="4"/>
    <n v="39000"/>
    <s v="White"/>
    <x v="0"/>
    <x v="3"/>
  </r>
  <r>
    <n v="40"/>
    <x v="4"/>
    <n v="39350"/>
    <s v="White"/>
    <x v="1"/>
    <x v="3"/>
  </r>
  <r>
    <n v="40"/>
    <x v="4"/>
    <n v="39367"/>
    <s v="White"/>
    <x v="1"/>
    <x v="3"/>
  </r>
  <r>
    <n v="40"/>
    <x v="4"/>
    <n v="39617"/>
    <s v="White"/>
    <x v="1"/>
    <x v="3"/>
  </r>
  <r>
    <n v="60"/>
    <x v="4"/>
    <n v="40000"/>
    <s v="White"/>
    <x v="1"/>
    <x v="3"/>
  </r>
  <r>
    <n v="45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50"/>
    <x v="4"/>
    <n v="40000"/>
    <s v="White"/>
    <x v="1"/>
    <x v="3"/>
  </r>
  <r>
    <n v="40"/>
    <x v="4"/>
    <n v="40000"/>
    <s v="White"/>
    <x v="0"/>
    <x v="3"/>
  </r>
  <r>
    <n v="6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70"/>
    <x v="4"/>
    <n v="40000"/>
    <s v="White"/>
    <x v="0"/>
    <x v="3"/>
  </r>
  <r>
    <n v="54"/>
    <x v="4"/>
    <n v="40000"/>
    <s v="White"/>
    <x v="1"/>
    <x v="3"/>
  </r>
  <r>
    <n v="40"/>
    <x v="4"/>
    <n v="40000"/>
    <s v="White"/>
    <x v="1"/>
    <x v="3"/>
  </r>
  <r>
    <n v="48"/>
    <x v="4"/>
    <n v="40000"/>
    <s v="White"/>
    <x v="1"/>
    <x v="3"/>
  </r>
  <r>
    <n v="40"/>
    <x v="4"/>
    <n v="40000"/>
    <s v="Black"/>
    <x v="1"/>
    <x v="3"/>
  </r>
  <r>
    <n v="40"/>
    <x v="4"/>
    <n v="40000"/>
    <s v="White"/>
    <x v="1"/>
    <x v="3"/>
  </r>
  <r>
    <n v="0"/>
    <x v="4"/>
    <n v="40000"/>
    <s v="White"/>
    <x v="1"/>
    <x v="3"/>
  </r>
  <r>
    <n v="40"/>
    <x v="4"/>
    <n v="40000"/>
    <s v="White"/>
    <x v="0"/>
    <x v="3"/>
  </r>
  <r>
    <n v="50"/>
    <x v="4"/>
    <n v="40000"/>
    <s v="White"/>
    <x v="1"/>
    <x v="3"/>
  </r>
  <r>
    <n v="0"/>
    <x v="4"/>
    <n v="40000"/>
    <s v="White"/>
    <x v="1"/>
    <x v="3"/>
  </r>
  <r>
    <n v="49"/>
    <x v="4"/>
    <n v="40000"/>
    <s v="White"/>
    <x v="1"/>
    <x v="3"/>
  </r>
  <r>
    <n v="40"/>
    <x v="4"/>
    <n v="40000"/>
    <s v="White"/>
    <x v="1"/>
    <x v="3"/>
  </r>
  <r>
    <n v="0"/>
    <x v="4"/>
    <n v="40000"/>
    <s v="IndEsk"/>
    <x v="1"/>
    <x v="3"/>
  </r>
  <r>
    <n v="0"/>
    <x v="4"/>
    <n v="40000"/>
    <s v="White"/>
    <x v="1"/>
    <x v="3"/>
  </r>
  <r>
    <n v="40"/>
    <x v="4"/>
    <n v="40000"/>
    <s v="Black"/>
    <x v="1"/>
    <x v="3"/>
  </r>
  <r>
    <n v="55"/>
    <x v="4"/>
    <n v="40000"/>
    <s v="White"/>
    <x v="1"/>
    <x v="3"/>
  </r>
  <r>
    <n v="40"/>
    <x v="4"/>
    <n v="40000"/>
    <s v="White"/>
    <x v="1"/>
    <x v="3"/>
  </r>
  <r>
    <n v="60"/>
    <x v="4"/>
    <n v="40000"/>
    <s v="White"/>
    <x v="0"/>
    <x v="3"/>
  </r>
  <r>
    <n v="5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0"/>
    <x v="3"/>
  </r>
  <r>
    <n v="4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40"/>
    <x v="4"/>
    <n v="40000"/>
    <s v="White"/>
    <x v="1"/>
    <x v="3"/>
  </r>
  <r>
    <n v="50"/>
    <x v="4"/>
    <n v="40000"/>
    <s v="White"/>
    <x v="0"/>
    <x v="3"/>
  </r>
  <r>
    <n v="55"/>
    <x v="4"/>
    <n v="40000"/>
    <s v="White"/>
    <x v="0"/>
    <x v="3"/>
  </r>
  <r>
    <n v="40"/>
    <x v="4"/>
    <n v="40000"/>
    <s v="White"/>
    <x v="0"/>
    <x v="3"/>
  </r>
  <r>
    <n v="99"/>
    <x v="4"/>
    <n v="40000"/>
    <s v="White"/>
    <x v="1"/>
    <x v="3"/>
  </r>
  <r>
    <n v="40"/>
    <x v="4"/>
    <n v="40000"/>
    <s v="White"/>
    <x v="1"/>
    <x v="3"/>
  </r>
  <r>
    <n v="45"/>
    <x v="4"/>
    <n v="40000"/>
    <s v="White"/>
    <x v="1"/>
    <x v="3"/>
  </r>
  <r>
    <n v="40"/>
    <x v="4"/>
    <n v="40000"/>
    <s v="White"/>
    <x v="1"/>
    <x v="3"/>
  </r>
  <r>
    <n v="55"/>
    <x v="4"/>
    <n v="40000"/>
    <s v="White"/>
    <x v="1"/>
    <x v="3"/>
  </r>
  <r>
    <n v="40"/>
    <x v="4"/>
    <n v="40000"/>
    <s v="White"/>
    <x v="1"/>
    <x v="3"/>
  </r>
  <r>
    <n v="50"/>
    <x v="4"/>
    <n v="40000"/>
    <s v="White"/>
    <x v="1"/>
    <x v="3"/>
  </r>
  <r>
    <n v="0"/>
    <x v="4"/>
    <n v="40000"/>
    <s v="White"/>
    <x v="1"/>
    <x v="3"/>
  </r>
  <r>
    <n v="45"/>
    <x v="4"/>
    <n v="40000"/>
    <s v="White"/>
    <x v="1"/>
    <x v="3"/>
  </r>
  <r>
    <n v="50"/>
    <x v="4"/>
    <n v="40300"/>
    <s v="White"/>
    <x v="0"/>
    <x v="3"/>
  </r>
  <r>
    <n v="50"/>
    <x v="4"/>
    <n v="40372"/>
    <s v="White"/>
    <x v="1"/>
    <x v="3"/>
  </r>
  <r>
    <n v="40"/>
    <x v="4"/>
    <n v="40997"/>
    <s v="White"/>
    <x v="1"/>
    <x v="3"/>
  </r>
  <r>
    <n v="45"/>
    <x v="4"/>
    <n v="41000"/>
    <s v="White"/>
    <x v="1"/>
    <x v="3"/>
  </r>
  <r>
    <n v="52"/>
    <x v="4"/>
    <n v="41000"/>
    <s v="White"/>
    <x v="1"/>
    <x v="3"/>
  </r>
  <r>
    <n v="57"/>
    <x v="4"/>
    <n v="41000"/>
    <s v="White"/>
    <x v="1"/>
    <x v="3"/>
  </r>
  <r>
    <n v="48"/>
    <x v="4"/>
    <n v="41000"/>
    <s v="White"/>
    <x v="1"/>
    <x v="3"/>
  </r>
  <r>
    <n v="35"/>
    <x v="4"/>
    <n v="41000"/>
    <s v="White"/>
    <x v="0"/>
    <x v="3"/>
  </r>
  <r>
    <n v="40"/>
    <x v="4"/>
    <n v="41000"/>
    <s v="Black"/>
    <x v="1"/>
    <x v="3"/>
  </r>
  <r>
    <n v="50"/>
    <x v="4"/>
    <n v="41000"/>
    <s v="White"/>
    <x v="1"/>
    <x v="3"/>
  </r>
  <r>
    <n v="40"/>
    <x v="4"/>
    <n v="41000"/>
    <s v="White"/>
    <x v="1"/>
    <x v="3"/>
  </r>
  <r>
    <n v="60"/>
    <x v="4"/>
    <n v="41000"/>
    <s v="White"/>
    <x v="1"/>
    <x v="3"/>
  </r>
  <r>
    <n v="40"/>
    <x v="4"/>
    <n v="41064"/>
    <s v="White"/>
    <x v="1"/>
    <x v="3"/>
  </r>
  <r>
    <n v="40"/>
    <x v="4"/>
    <n v="41510"/>
    <s v="Black"/>
    <x v="0"/>
    <x v="3"/>
  </r>
  <r>
    <n v="40"/>
    <x v="4"/>
    <n v="41600"/>
    <s v="White"/>
    <x v="1"/>
    <x v="3"/>
  </r>
  <r>
    <n v="40"/>
    <x v="4"/>
    <n v="41600"/>
    <s v="Black"/>
    <x v="1"/>
    <x v="3"/>
  </r>
  <r>
    <n v="50"/>
    <x v="4"/>
    <n v="41600"/>
    <s v="White"/>
    <x v="1"/>
    <x v="3"/>
  </r>
  <r>
    <n v="40"/>
    <x v="4"/>
    <n v="41602"/>
    <s v="White"/>
    <x v="1"/>
    <x v="3"/>
  </r>
  <r>
    <n v="40"/>
    <x v="4"/>
    <n v="42000"/>
    <s v="White"/>
    <x v="1"/>
    <x v="3"/>
  </r>
  <r>
    <n v="40"/>
    <x v="4"/>
    <n v="42000"/>
    <s v="White"/>
    <x v="0"/>
    <x v="3"/>
  </r>
  <r>
    <n v="50"/>
    <x v="4"/>
    <n v="42000"/>
    <s v="White"/>
    <x v="1"/>
    <x v="3"/>
  </r>
  <r>
    <n v="40"/>
    <x v="4"/>
    <n v="42000"/>
    <s v="White"/>
    <x v="1"/>
    <x v="3"/>
  </r>
  <r>
    <n v="40"/>
    <x v="4"/>
    <n v="42000"/>
    <s v="White"/>
    <x v="1"/>
    <x v="3"/>
  </r>
  <r>
    <n v="40"/>
    <x v="4"/>
    <n v="42000"/>
    <s v="Black"/>
    <x v="0"/>
    <x v="3"/>
  </r>
  <r>
    <n v="48"/>
    <x v="4"/>
    <n v="42000"/>
    <s v="White"/>
    <x v="1"/>
    <x v="3"/>
  </r>
  <r>
    <n v="40"/>
    <x v="4"/>
    <n v="42000"/>
    <s v="White"/>
    <x v="1"/>
    <x v="3"/>
  </r>
  <r>
    <n v="48"/>
    <x v="4"/>
    <n v="42000"/>
    <s v="White"/>
    <x v="1"/>
    <x v="3"/>
  </r>
  <r>
    <n v="40"/>
    <x v="4"/>
    <n v="42000"/>
    <s v="White"/>
    <x v="1"/>
    <x v="3"/>
  </r>
  <r>
    <n v="40"/>
    <x v="4"/>
    <n v="42000"/>
    <s v="White"/>
    <x v="1"/>
    <x v="3"/>
  </r>
  <r>
    <n v="40"/>
    <x v="4"/>
    <n v="42000"/>
    <s v="White"/>
    <x v="1"/>
    <x v="3"/>
  </r>
  <r>
    <n v="40"/>
    <x v="4"/>
    <n v="42000"/>
    <s v="White"/>
    <x v="1"/>
    <x v="3"/>
  </r>
  <r>
    <n v="45"/>
    <x v="4"/>
    <n v="42000"/>
    <s v="White"/>
    <x v="1"/>
    <x v="3"/>
  </r>
  <r>
    <n v="45"/>
    <x v="4"/>
    <n v="42000"/>
    <s v="White"/>
    <x v="0"/>
    <x v="3"/>
  </r>
  <r>
    <n v="40"/>
    <x v="4"/>
    <n v="42000"/>
    <s v="White"/>
    <x v="0"/>
    <x v="3"/>
  </r>
  <r>
    <n v="40"/>
    <x v="4"/>
    <n v="42000"/>
    <s v="White"/>
    <x v="1"/>
    <x v="3"/>
  </r>
  <r>
    <n v="40"/>
    <x v="4"/>
    <n v="42000"/>
    <s v="White"/>
    <x v="0"/>
    <x v="3"/>
  </r>
  <r>
    <n v="45"/>
    <x v="4"/>
    <n v="42000"/>
    <s v="White"/>
    <x v="1"/>
    <x v="3"/>
  </r>
  <r>
    <n v="40"/>
    <x v="4"/>
    <n v="42000"/>
    <s v="White"/>
    <x v="1"/>
    <x v="3"/>
  </r>
  <r>
    <n v="40"/>
    <x v="4"/>
    <n v="42000"/>
    <s v="White"/>
    <x v="1"/>
    <x v="3"/>
  </r>
  <r>
    <n v="40"/>
    <x v="4"/>
    <n v="42000"/>
    <s v="White"/>
    <x v="1"/>
    <x v="3"/>
  </r>
  <r>
    <n v="45"/>
    <x v="4"/>
    <n v="42000"/>
    <s v="White"/>
    <x v="1"/>
    <x v="3"/>
  </r>
  <r>
    <n v="48"/>
    <x v="4"/>
    <n v="42000"/>
    <s v="White"/>
    <x v="1"/>
    <x v="3"/>
  </r>
  <r>
    <n v="46"/>
    <x v="4"/>
    <n v="42000"/>
    <s v="White"/>
    <x v="1"/>
    <x v="3"/>
  </r>
  <r>
    <n v="40"/>
    <x v="4"/>
    <n v="42000"/>
    <s v="White"/>
    <x v="0"/>
    <x v="3"/>
  </r>
  <r>
    <n v="40"/>
    <x v="4"/>
    <n v="42000"/>
    <s v="White"/>
    <x v="1"/>
    <x v="3"/>
  </r>
  <r>
    <n v="45"/>
    <x v="4"/>
    <n v="42000"/>
    <s v="White"/>
    <x v="0"/>
    <x v="3"/>
  </r>
  <r>
    <n v="35"/>
    <x v="4"/>
    <n v="42000"/>
    <s v="White"/>
    <x v="0"/>
    <x v="3"/>
  </r>
  <r>
    <n v="40"/>
    <x v="4"/>
    <n v="42000"/>
    <s v="White"/>
    <x v="1"/>
    <x v="3"/>
  </r>
  <r>
    <n v="80"/>
    <x v="4"/>
    <n v="42000"/>
    <s v="AsianPI"/>
    <x v="1"/>
    <x v="3"/>
  </r>
  <r>
    <n v="40"/>
    <x v="4"/>
    <n v="42000"/>
    <s v="White"/>
    <x v="1"/>
    <x v="3"/>
  </r>
  <r>
    <n v="55"/>
    <x v="4"/>
    <n v="42099"/>
    <s v="White"/>
    <x v="1"/>
    <x v="3"/>
  </r>
  <r>
    <n v="40"/>
    <x v="4"/>
    <n v="42500"/>
    <s v="White"/>
    <x v="1"/>
    <x v="3"/>
  </r>
  <r>
    <n v="40"/>
    <x v="4"/>
    <n v="43000"/>
    <s v="White"/>
    <x v="1"/>
    <x v="3"/>
  </r>
  <r>
    <n v="55"/>
    <x v="4"/>
    <n v="43000"/>
    <s v="White"/>
    <x v="1"/>
    <x v="3"/>
  </r>
  <r>
    <n v="40"/>
    <x v="4"/>
    <n v="43000"/>
    <s v="Black"/>
    <x v="0"/>
    <x v="3"/>
  </r>
  <r>
    <n v="50"/>
    <x v="4"/>
    <n v="43000"/>
    <s v="White"/>
    <x v="0"/>
    <x v="3"/>
  </r>
  <r>
    <n v="0"/>
    <x v="4"/>
    <n v="43000"/>
    <s v="Black"/>
    <x v="0"/>
    <x v="3"/>
  </r>
  <r>
    <n v="40"/>
    <x v="4"/>
    <n v="43000"/>
    <s v="White"/>
    <x v="0"/>
    <x v="3"/>
  </r>
  <r>
    <n v="38"/>
    <x v="4"/>
    <n v="43000"/>
    <s v="White"/>
    <x v="0"/>
    <x v="3"/>
  </r>
  <r>
    <n v="0"/>
    <x v="4"/>
    <n v="43000"/>
    <s v="White"/>
    <x v="1"/>
    <x v="3"/>
  </r>
  <r>
    <n v="40"/>
    <x v="4"/>
    <n v="43000"/>
    <s v="Black"/>
    <x v="0"/>
    <x v="3"/>
  </r>
  <r>
    <n v="40"/>
    <x v="4"/>
    <n v="43000"/>
    <s v="White"/>
    <x v="1"/>
    <x v="3"/>
  </r>
  <r>
    <n v="40"/>
    <x v="4"/>
    <n v="43000"/>
    <s v="White"/>
    <x v="1"/>
    <x v="3"/>
  </r>
  <r>
    <n v="40"/>
    <x v="4"/>
    <n v="43000"/>
    <s v="White"/>
    <x v="1"/>
    <x v="3"/>
  </r>
  <r>
    <n v="0"/>
    <x v="4"/>
    <n v="43000"/>
    <s v="White"/>
    <x v="1"/>
    <x v="3"/>
  </r>
  <r>
    <n v="40"/>
    <x v="4"/>
    <n v="43200"/>
    <s v="White"/>
    <x v="0"/>
    <x v="3"/>
  </r>
  <r>
    <n v="45"/>
    <x v="4"/>
    <n v="43208"/>
    <s v="White"/>
    <x v="1"/>
    <x v="3"/>
  </r>
  <r>
    <n v="40"/>
    <x v="4"/>
    <n v="43680"/>
    <s v="White"/>
    <x v="1"/>
    <x v="3"/>
  </r>
  <r>
    <n v="40"/>
    <x v="4"/>
    <n v="43851"/>
    <s v="White"/>
    <x v="1"/>
    <x v="3"/>
  </r>
  <r>
    <n v="50"/>
    <x v="4"/>
    <n v="44000"/>
    <s v="White"/>
    <x v="0"/>
    <x v="3"/>
  </r>
  <r>
    <n v="37"/>
    <x v="4"/>
    <n v="44000"/>
    <s v="White"/>
    <x v="0"/>
    <x v="3"/>
  </r>
  <r>
    <n v="40"/>
    <x v="4"/>
    <n v="44000"/>
    <s v="White"/>
    <x v="1"/>
    <x v="3"/>
  </r>
  <r>
    <n v="40"/>
    <x v="4"/>
    <n v="44000"/>
    <s v="White"/>
    <x v="1"/>
    <x v="3"/>
  </r>
  <r>
    <n v="45"/>
    <x v="4"/>
    <n v="44000"/>
    <s v="White"/>
    <x v="1"/>
    <x v="3"/>
  </r>
  <r>
    <n v="40"/>
    <x v="4"/>
    <n v="44000"/>
    <s v="White"/>
    <x v="1"/>
    <x v="3"/>
  </r>
  <r>
    <n v="55"/>
    <x v="4"/>
    <n v="44000"/>
    <s v="White"/>
    <x v="1"/>
    <x v="3"/>
  </r>
  <r>
    <n v="40"/>
    <x v="4"/>
    <n v="44196"/>
    <s v="White"/>
    <x v="1"/>
    <x v="3"/>
  </r>
  <r>
    <n v="0"/>
    <x v="4"/>
    <n v="449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44"/>
    <x v="4"/>
    <n v="45000"/>
    <s v="White"/>
    <x v="1"/>
    <x v="3"/>
  </r>
  <r>
    <n v="40"/>
    <x v="4"/>
    <n v="45000"/>
    <s v="White"/>
    <x v="1"/>
    <x v="3"/>
  </r>
  <r>
    <n v="0"/>
    <x v="4"/>
    <n v="45000"/>
    <s v="Black"/>
    <x v="1"/>
    <x v="3"/>
  </r>
  <r>
    <n v="40"/>
    <x v="4"/>
    <n v="45000"/>
    <s v="Black"/>
    <x v="1"/>
    <x v="3"/>
  </r>
  <r>
    <n v="0"/>
    <x v="4"/>
    <n v="45000"/>
    <s v="White"/>
    <x v="1"/>
    <x v="3"/>
  </r>
  <r>
    <n v="55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50"/>
    <x v="4"/>
    <n v="45000"/>
    <s v="White"/>
    <x v="1"/>
    <x v="3"/>
  </r>
  <r>
    <n v="40"/>
    <x v="4"/>
    <n v="45000"/>
    <s v="White"/>
    <x v="1"/>
    <x v="3"/>
  </r>
  <r>
    <n v="50"/>
    <x v="4"/>
    <n v="45000"/>
    <s v="White"/>
    <x v="1"/>
    <x v="3"/>
  </r>
  <r>
    <n v="47"/>
    <x v="4"/>
    <n v="45000"/>
    <s v="White"/>
    <x v="1"/>
    <x v="3"/>
  </r>
  <r>
    <n v="55"/>
    <x v="4"/>
    <n v="45000"/>
    <s v="White"/>
    <x v="1"/>
    <x v="3"/>
  </r>
  <r>
    <n v="40"/>
    <x v="4"/>
    <n v="45000"/>
    <s v="White"/>
    <x v="1"/>
    <x v="3"/>
  </r>
  <r>
    <n v="5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45"/>
    <x v="4"/>
    <n v="45000"/>
    <s v="Black"/>
    <x v="1"/>
    <x v="3"/>
  </r>
  <r>
    <n v="40"/>
    <x v="4"/>
    <n v="45000"/>
    <s v="White"/>
    <x v="0"/>
    <x v="3"/>
  </r>
  <r>
    <n v="60"/>
    <x v="4"/>
    <n v="45000"/>
    <s v="White"/>
    <x v="1"/>
    <x v="3"/>
  </r>
  <r>
    <n v="40"/>
    <x v="4"/>
    <n v="45000"/>
    <s v="White"/>
    <x v="0"/>
    <x v="3"/>
  </r>
  <r>
    <n v="6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0"/>
    <x v="3"/>
  </r>
  <r>
    <n v="5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0"/>
    <x v="3"/>
  </r>
  <r>
    <n v="40"/>
    <x v="4"/>
    <n v="45000"/>
    <s v="Black"/>
    <x v="1"/>
    <x v="3"/>
  </r>
  <r>
    <n v="80"/>
    <x v="4"/>
    <n v="45000"/>
    <s v="White"/>
    <x v="1"/>
    <x v="3"/>
  </r>
  <r>
    <n v="40"/>
    <x v="4"/>
    <n v="45000"/>
    <s v="White"/>
    <x v="1"/>
    <x v="3"/>
  </r>
  <r>
    <n v="50"/>
    <x v="4"/>
    <n v="45000"/>
    <s v="White"/>
    <x v="1"/>
    <x v="3"/>
  </r>
  <r>
    <n v="40"/>
    <x v="4"/>
    <n v="45000"/>
    <s v="White"/>
    <x v="1"/>
    <x v="3"/>
  </r>
  <r>
    <n v="50"/>
    <x v="4"/>
    <n v="45000"/>
    <s v="White"/>
    <x v="1"/>
    <x v="3"/>
  </r>
  <r>
    <n v="40"/>
    <x v="4"/>
    <n v="45000"/>
    <s v="White"/>
    <x v="1"/>
    <x v="3"/>
  </r>
  <r>
    <n v="40"/>
    <x v="4"/>
    <n v="45000"/>
    <s v="White"/>
    <x v="1"/>
    <x v="3"/>
  </r>
  <r>
    <n v="45"/>
    <x v="4"/>
    <n v="45000"/>
    <s v="White"/>
    <x v="1"/>
    <x v="3"/>
  </r>
  <r>
    <n v="40"/>
    <x v="4"/>
    <n v="45298"/>
    <s v="White"/>
    <x v="1"/>
    <x v="3"/>
  </r>
  <r>
    <n v="40"/>
    <x v="4"/>
    <n v="46000"/>
    <s v="White"/>
    <x v="1"/>
    <x v="3"/>
  </r>
  <r>
    <n v="50"/>
    <x v="4"/>
    <n v="46000"/>
    <s v="White"/>
    <x v="1"/>
    <x v="3"/>
  </r>
  <r>
    <n v="50"/>
    <x v="4"/>
    <n v="46000"/>
    <s v="White"/>
    <x v="1"/>
    <x v="3"/>
  </r>
  <r>
    <n v="40"/>
    <x v="4"/>
    <n v="46000"/>
    <s v="White"/>
    <x v="1"/>
    <x v="3"/>
  </r>
  <r>
    <n v="40"/>
    <x v="4"/>
    <n v="46000"/>
    <s v="White"/>
    <x v="1"/>
    <x v="3"/>
  </r>
  <r>
    <n v="45"/>
    <x v="4"/>
    <n v="46000"/>
    <s v="White"/>
    <x v="1"/>
    <x v="3"/>
  </r>
  <r>
    <n v="40"/>
    <x v="4"/>
    <n v="46000"/>
    <s v="White"/>
    <x v="1"/>
    <x v="3"/>
  </r>
  <r>
    <n v="70"/>
    <x v="4"/>
    <n v="46000"/>
    <s v="White"/>
    <x v="1"/>
    <x v="3"/>
  </r>
  <r>
    <n v="50"/>
    <x v="4"/>
    <n v="46400"/>
    <s v="White"/>
    <x v="1"/>
    <x v="3"/>
  </r>
  <r>
    <n v="40"/>
    <x v="4"/>
    <n v="46800"/>
    <s v="White"/>
    <x v="1"/>
    <x v="3"/>
  </r>
  <r>
    <n v="50"/>
    <x v="4"/>
    <n v="46800"/>
    <s v="White"/>
    <x v="1"/>
    <x v="3"/>
  </r>
  <r>
    <n v="50"/>
    <x v="4"/>
    <n v="47000"/>
    <s v="White"/>
    <x v="1"/>
    <x v="3"/>
  </r>
  <r>
    <n v="55"/>
    <x v="4"/>
    <n v="47000"/>
    <s v="IndEsk"/>
    <x v="1"/>
    <x v="3"/>
  </r>
  <r>
    <n v="40"/>
    <x v="4"/>
    <n v="47000"/>
    <s v="White"/>
    <x v="1"/>
    <x v="3"/>
  </r>
  <r>
    <n v="50"/>
    <x v="4"/>
    <n v="47000"/>
    <s v="White"/>
    <x v="1"/>
    <x v="3"/>
  </r>
  <r>
    <n v="40"/>
    <x v="4"/>
    <n v="47000"/>
    <s v="White"/>
    <x v="1"/>
    <x v="3"/>
  </r>
  <r>
    <n v="48"/>
    <x v="4"/>
    <n v="47000"/>
    <s v="White"/>
    <x v="1"/>
    <x v="3"/>
  </r>
  <r>
    <n v="45"/>
    <x v="4"/>
    <n v="47000"/>
    <s v="White"/>
    <x v="1"/>
    <x v="3"/>
  </r>
  <r>
    <n v="40"/>
    <x v="4"/>
    <n v="47000"/>
    <s v="White"/>
    <x v="1"/>
    <x v="3"/>
  </r>
  <r>
    <n v="65"/>
    <x v="4"/>
    <n v="47025"/>
    <s v="White"/>
    <x v="1"/>
    <x v="3"/>
  </r>
  <r>
    <n v="40"/>
    <x v="4"/>
    <n v="47025"/>
    <s v="White"/>
    <x v="1"/>
    <x v="3"/>
  </r>
  <r>
    <n v="40"/>
    <x v="4"/>
    <n v="47717"/>
    <s v="White"/>
    <x v="1"/>
    <x v="3"/>
  </r>
  <r>
    <n v="0"/>
    <x v="4"/>
    <n v="47800"/>
    <s v="White"/>
    <x v="1"/>
    <x v="3"/>
  </r>
  <r>
    <n v="40"/>
    <x v="4"/>
    <n v="48000"/>
    <s v="White"/>
    <x v="0"/>
    <x v="3"/>
  </r>
  <r>
    <n v="50"/>
    <x v="4"/>
    <n v="48000"/>
    <s v="White"/>
    <x v="1"/>
    <x v="3"/>
  </r>
  <r>
    <n v="40"/>
    <x v="4"/>
    <n v="48000"/>
    <s v="White"/>
    <x v="1"/>
    <x v="3"/>
  </r>
  <r>
    <n v="40"/>
    <x v="4"/>
    <n v="48000"/>
    <s v="White"/>
    <x v="1"/>
    <x v="3"/>
  </r>
  <r>
    <n v="48"/>
    <x v="4"/>
    <n v="48000"/>
    <s v="White"/>
    <x v="1"/>
    <x v="3"/>
  </r>
  <r>
    <n v="40"/>
    <x v="4"/>
    <n v="48000"/>
    <s v="White"/>
    <x v="1"/>
    <x v="3"/>
  </r>
  <r>
    <n v="40"/>
    <x v="4"/>
    <n v="48000"/>
    <s v="White"/>
    <x v="1"/>
    <x v="3"/>
  </r>
  <r>
    <n v="40"/>
    <x v="4"/>
    <n v="48000"/>
    <s v="White"/>
    <x v="1"/>
    <x v="3"/>
  </r>
  <r>
    <n v="40"/>
    <x v="4"/>
    <n v="48000"/>
    <s v="White"/>
    <x v="1"/>
    <x v="3"/>
  </r>
  <r>
    <n v="50"/>
    <x v="4"/>
    <n v="48000"/>
    <s v="White"/>
    <x v="1"/>
    <x v="3"/>
  </r>
  <r>
    <n v="40"/>
    <x v="4"/>
    <n v="48000"/>
    <s v="White"/>
    <x v="1"/>
    <x v="3"/>
  </r>
  <r>
    <n v="40"/>
    <x v="4"/>
    <n v="48000"/>
    <s v="White"/>
    <x v="1"/>
    <x v="3"/>
  </r>
  <r>
    <n v="40"/>
    <x v="4"/>
    <n v="48000"/>
    <s v="White"/>
    <x v="1"/>
    <x v="3"/>
  </r>
  <r>
    <n v="52"/>
    <x v="4"/>
    <n v="48000"/>
    <s v="White"/>
    <x v="1"/>
    <x v="3"/>
  </r>
  <r>
    <n v="45"/>
    <x v="4"/>
    <n v="48000"/>
    <s v="White"/>
    <x v="1"/>
    <x v="3"/>
  </r>
  <r>
    <n v="40"/>
    <x v="4"/>
    <n v="48000"/>
    <s v="White"/>
    <x v="1"/>
    <x v="3"/>
  </r>
  <r>
    <n v="50"/>
    <x v="4"/>
    <n v="48000"/>
    <s v="White"/>
    <x v="0"/>
    <x v="3"/>
  </r>
  <r>
    <n v="50"/>
    <x v="4"/>
    <n v="48000"/>
    <s v="White"/>
    <x v="1"/>
    <x v="3"/>
  </r>
  <r>
    <n v="40"/>
    <x v="4"/>
    <n v="48048"/>
    <s v="White"/>
    <x v="1"/>
    <x v="3"/>
  </r>
  <r>
    <n v="50"/>
    <x v="4"/>
    <n v="48800"/>
    <s v="White"/>
    <x v="1"/>
    <x v="3"/>
  </r>
  <r>
    <n v="40"/>
    <x v="4"/>
    <n v="48818"/>
    <s v="White"/>
    <x v="1"/>
    <x v="3"/>
  </r>
  <r>
    <n v="40"/>
    <x v="4"/>
    <n v="48818"/>
    <s v="White"/>
    <x v="1"/>
    <x v="3"/>
  </r>
  <r>
    <n v="40"/>
    <x v="4"/>
    <n v="48900"/>
    <s v="White"/>
    <x v="1"/>
    <x v="3"/>
  </r>
  <r>
    <n v="40"/>
    <x v="4"/>
    <n v="49000"/>
    <s v="White"/>
    <x v="1"/>
    <x v="3"/>
  </r>
  <r>
    <n v="40"/>
    <x v="4"/>
    <n v="49000"/>
    <s v="White"/>
    <x v="0"/>
    <x v="3"/>
  </r>
  <r>
    <n v="50"/>
    <x v="4"/>
    <n v="49000"/>
    <s v="White"/>
    <x v="1"/>
    <x v="3"/>
  </r>
  <r>
    <n v="40"/>
    <x v="4"/>
    <n v="49000"/>
    <s v="White"/>
    <x v="1"/>
    <x v="3"/>
  </r>
  <r>
    <n v="40"/>
    <x v="4"/>
    <n v="49000"/>
    <s v="White"/>
    <x v="1"/>
    <x v="3"/>
  </r>
  <r>
    <n v="40"/>
    <x v="4"/>
    <n v="49000"/>
    <s v="White"/>
    <x v="1"/>
    <x v="3"/>
  </r>
  <r>
    <n v="40"/>
    <x v="4"/>
    <n v="49000"/>
    <s v="White"/>
    <x v="1"/>
    <x v="3"/>
  </r>
  <r>
    <n v="40"/>
    <x v="4"/>
    <n v="49000"/>
    <s v="White"/>
    <x v="1"/>
    <x v="3"/>
  </r>
  <r>
    <n v="65"/>
    <x v="4"/>
    <n v="49000"/>
    <s v="White"/>
    <x v="1"/>
    <x v="3"/>
  </r>
  <r>
    <n v="66"/>
    <x v="4"/>
    <n v="49000"/>
    <s v="White"/>
    <x v="0"/>
    <x v="3"/>
  </r>
  <r>
    <n v="40"/>
    <x v="4"/>
    <n v="49200"/>
    <s v="White"/>
    <x v="1"/>
    <x v="3"/>
  </r>
  <r>
    <n v="40"/>
    <x v="4"/>
    <n v="49400"/>
    <s v="White"/>
    <x v="1"/>
    <x v="3"/>
  </r>
  <r>
    <n v="50"/>
    <x v="4"/>
    <n v="49800"/>
    <s v="White"/>
    <x v="1"/>
    <x v="3"/>
  </r>
  <r>
    <n v="40"/>
    <x v="4"/>
    <n v="50000"/>
    <s v="White"/>
    <x v="1"/>
    <x v="3"/>
  </r>
  <r>
    <n v="50"/>
    <x v="4"/>
    <n v="50000"/>
    <s v="White"/>
    <x v="1"/>
    <x v="3"/>
  </r>
  <r>
    <n v="50"/>
    <x v="4"/>
    <n v="50000"/>
    <s v="White"/>
    <x v="1"/>
    <x v="3"/>
  </r>
  <r>
    <n v="40"/>
    <x v="4"/>
    <n v="50000"/>
    <s v="Black"/>
    <x v="1"/>
    <x v="3"/>
  </r>
  <r>
    <n v="40"/>
    <x v="4"/>
    <n v="50000"/>
    <s v="White"/>
    <x v="0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56"/>
    <x v="4"/>
    <n v="50000"/>
    <s v="White"/>
    <x v="1"/>
    <x v="3"/>
  </r>
  <r>
    <n v="40"/>
    <x v="4"/>
    <n v="50000"/>
    <s v="White"/>
    <x v="1"/>
    <x v="3"/>
  </r>
  <r>
    <n v="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50"/>
    <x v="4"/>
    <n v="50000"/>
    <s v="White"/>
    <x v="1"/>
    <x v="3"/>
  </r>
  <r>
    <n v="40"/>
    <x v="4"/>
    <n v="50000"/>
    <s v="White"/>
    <x v="0"/>
    <x v="3"/>
  </r>
  <r>
    <n v="0"/>
    <x v="4"/>
    <n v="50000"/>
    <s v="White"/>
    <x v="0"/>
    <x v="3"/>
  </r>
  <r>
    <n v="5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2"/>
    <x v="4"/>
    <n v="50000"/>
    <s v="White"/>
    <x v="0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8"/>
    <x v="4"/>
    <n v="50000"/>
    <s v="White"/>
    <x v="1"/>
    <x v="3"/>
  </r>
  <r>
    <n v="40"/>
    <x v="4"/>
    <n v="50000"/>
    <s v="Black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48"/>
    <x v="4"/>
    <n v="50000"/>
    <s v="White"/>
    <x v="1"/>
    <x v="3"/>
  </r>
  <r>
    <n v="50"/>
    <x v="4"/>
    <n v="50000"/>
    <s v="White"/>
    <x v="1"/>
    <x v="3"/>
  </r>
  <r>
    <n v="40"/>
    <x v="4"/>
    <n v="50000"/>
    <s v="White"/>
    <x v="1"/>
    <x v="3"/>
  </r>
  <r>
    <n v="52"/>
    <x v="4"/>
    <n v="50000"/>
    <s v="White"/>
    <x v="1"/>
    <x v="3"/>
  </r>
  <r>
    <n v="40"/>
    <x v="4"/>
    <n v="50000"/>
    <s v="Black"/>
    <x v="1"/>
    <x v="3"/>
  </r>
  <r>
    <n v="50"/>
    <x v="4"/>
    <n v="50000"/>
    <s v="White"/>
    <x v="1"/>
    <x v="3"/>
  </r>
  <r>
    <n v="40"/>
    <x v="4"/>
    <n v="50000"/>
    <s v="White"/>
    <x v="0"/>
    <x v="3"/>
  </r>
  <r>
    <n v="40"/>
    <x v="4"/>
    <n v="50000"/>
    <s v="White"/>
    <x v="1"/>
    <x v="3"/>
  </r>
  <r>
    <n v="50"/>
    <x v="4"/>
    <n v="50000"/>
    <s v="White"/>
    <x v="1"/>
    <x v="3"/>
  </r>
  <r>
    <n v="40"/>
    <x v="4"/>
    <n v="50000"/>
    <s v="White"/>
    <x v="0"/>
    <x v="3"/>
  </r>
  <r>
    <n v="40"/>
    <x v="4"/>
    <n v="50000"/>
    <s v="White"/>
    <x v="1"/>
    <x v="3"/>
  </r>
  <r>
    <n v="40"/>
    <x v="4"/>
    <n v="50000"/>
    <s v="White"/>
    <x v="1"/>
    <x v="3"/>
  </r>
  <r>
    <n v="40"/>
    <x v="4"/>
    <n v="50000"/>
    <s v="White"/>
    <x v="1"/>
    <x v="3"/>
  </r>
  <r>
    <n v="50"/>
    <x v="4"/>
    <n v="50000"/>
    <s v="White"/>
    <x v="0"/>
    <x v="3"/>
  </r>
  <r>
    <n v="50"/>
    <x v="4"/>
    <n v="50000"/>
    <s v="White"/>
    <x v="1"/>
    <x v="3"/>
  </r>
  <r>
    <n v="40"/>
    <x v="4"/>
    <n v="50000"/>
    <s v="White"/>
    <x v="1"/>
    <x v="3"/>
  </r>
  <r>
    <n v="55"/>
    <x v="4"/>
    <n v="50200"/>
    <s v="White"/>
    <x v="1"/>
    <x v="3"/>
  </r>
  <r>
    <n v="40"/>
    <x v="4"/>
    <n v="50350"/>
    <s v="White"/>
    <x v="1"/>
    <x v="3"/>
  </r>
  <r>
    <n v="40"/>
    <x v="4"/>
    <n v="50350"/>
    <s v="White"/>
    <x v="1"/>
    <x v="3"/>
  </r>
  <r>
    <n v="40"/>
    <x v="4"/>
    <n v="50831"/>
    <s v="White"/>
    <x v="1"/>
    <x v="3"/>
  </r>
  <r>
    <n v="50"/>
    <x v="4"/>
    <n v="50871"/>
    <s v="White"/>
    <x v="1"/>
    <x v="3"/>
  </r>
  <r>
    <n v="40"/>
    <x v="4"/>
    <n v="50900"/>
    <s v="Black"/>
    <x v="0"/>
    <x v="3"/>
  </r>
  <r>
    <n v="48"/>
    <x v="4"/>
    <n v="50913"/>
    <s v="White"/>
    <x v="1"/>
    <x v="3"/>
  </r>
  <r>
    <n v="40"/>
    <x v="4"/>
    <n v="50913"/>
    <s v="White"/>
    <x v="1"/>
    <x v="3"/>
  </r>
  <r>
    <n v="0"/>
    <x v="4"/>
    <n v="51000"/>
    <s v="White"/>
    <x v="1"/>
    <x v="3"/>
  </r>
  <r>
    <n v="60"/>
    <x v="4"/>
    <n v="51000"/>
    <s v="White"/>
    <x v="1"/>
    <x v="3"/>
  </r>
  <r>
    <n v="40"/>
    <x v="4"/>
    <n v="51000"/>
    <s v="Black"/>
    <x v="0"/>
    <x v="3"/>
  </r>
  <r>
    <n v="75"/>
    <x v="4"/>
    <n v="51000"/>
    <s v="White"/>
    <x v="1"/>
    <x v="3"/>
  </r>
  <r>
    <n v="75"/>
    <x v="4"/>
    <n v="51300"/>
    <s v="White"/>
    <x v="1"/>
    <x v="3"/>
  </r>
  <r>
    <n v="40"/>
    <x v="4"/>
    <n v="51338"/>
    <s v="White"/>
    <x v="1"/>
    <x v="3"/>
  </r>
  <r>
    <n v="35"/>
    <x v="4"/>
    <n v="52000"/>
    <s v="White"/>
    <x v="1"/>
    <x v="3"/>
  </r>
  <r>
    <n v="42"/>
    <x v="4"/>
    <n v="52000"/>
    <s v="White"/>
    <x v="1"/>
    <x v="3"/>
  </r>
  <r>
    <n v="40"/>
    <x v="4"/>
    <n v="52000"/>
    <s v="White"/>
    <x v="1"/>
    <x v="3"/>
  </r>
  <r>
    <n v="40"/>
    <x v="4"/>
    <n v="52000"/>
    <s v="White"/>
    <x v="1"/>
    <x v="3"/>
  </r>
  <r>
    <n v="48"/>
    <x v="4"/>
    <n v="52000"/>
    <s v="White"/>
    <x v="1"/>
    <x v="3"/>
  </r>
  <r>
    <n v="40"/>
    <x v="4"/>
    <n v="52000"/>
    <s v="White"/>
    <x v="1"/>
    <x v="3"/>
  </r>
  <r>
    <n v="50"/>
    <x v="4"/>
    <n v="52000"/>
    <s v="White"/>
    <x v="1"/>
    <x v="3"/>
  </r>
  <r>
    <n v="45"/>
    <x v="4"/>
    <n v="52000"/>
    <s v="White"/>
    <x v="0"/>
    <x v="3"/>
  </r>
  <r>
    <n v="40"/>
    <x v="4"/>
    <n v="52000"/>
    <s v="White"/>
    <x v="1"/>
    <x v="3"/>
  </r>
  <r>
    <n v="40"/>
    <x v="4"/>
    <n v="52500"/>
    <s v="White"/>
    <x v="1"/>
    <x v="3"/>
  </r>
  <r>
    <n v="40"/>
    <x v="4"/>
    <n v="52500"/>
    <s v="White"/>
    <x v="1"/>
    <x v="3"/>
  </r>
  <r>
    <n v="40"/>
    <x v="4"/>
    <n v="52587"/>
    <s v="White"/>
    <x v="0"/>
    <x v="3"/>
  </r>
  <r>
    <n v="40"/>
    <x v="4"/>
    <n v="53000"/>
    <s v="White"/>
    <x v="1"/>
    <x v="3"/>
  </r>
  <r>
    <n v="40"/>
    <x v="4"/>
    <n v="53000"/>
    <s v="White"/>
    <x v="1"/>
    <x v="3"/>
  </r>
  <r>
    <n v="60"/>
    <x v="4"/>
    <n v="53000"/>
    <s v="White"/>
    <x v="1"/>
    <x v="3"/>
  </r>
  <r>
    <n v="43"/>
    <x v="4"/>
    <n v="53000"/>
    <s v="White"/>
    <x v="1"/>
    <x v="3"/>
  </r>
  <r>
    <n v="40"/>
    <x v="4"/>
    <n v="53000"/>
    <s v="White"/>
    <x v="1"/>
    <x v="3"/>
  </r>
  <r>
    <n v="0"/>
    <x v="4"/>
    <n v="53000"/>
    <s v="White"/>
    <x v="1"/>
    <x v="3"/>
  </r>
  <r>
    <n v="0"/>
    <x v="4"/>
    <n v="53000"/>
    <s v="White"/>
    <x v="1"/>
    <x v="3"/>
  </r>
  <r>
    <n v="40"/>
    <x v="4"/>
    <n v="53000"/>
    <s v="White"/>
    <x v="1"/>
    <x v="3"/>
  </r>
  <r>
    <n v="70"/>
    <x v="4"/>
    <n v="53287"/>
    <s v="White"/>
    <x v="1"/>
    <x v="3"/>
  </r>
  <r>
    <n v="40"/>
    <x v="4"/>
    <n v="53900"/>
    <s v="Black"/>
    <x v="1"/>
    <x v="3"/>
  </r>
  <r>
    <n v="0"/>
    <x v="4"/>
    <n v="54000"/>
    <s v="White"/>
    <x v="1"/>
    <x v="3"/>
  </r>
  <r>
    <n v="55"/>
    <x v="4"/>
    <n v="54000"/>
    <s v="White"/>
    <x v="1"/>
    <x v="3"/>
  </r>
  <r>
    <n v="50"/>
    <x v="4"/>
    <n v="54000"/>
    <s v="White"/>
    <x v="0"/>
    <x v="3"/>
  </r>
  <r>
    <n v="40"/>
    <x v="4"/>
    <n v="54000"/>
    <s v="White"/>
    <x v="1"/>
    <x v="3"/>
  </r>
  <r>
    <n v="40"/>
    <x v="4"/>
    <n v="54000"/>
    <s v="White"/>
    <x v="1"/>
    <x v="3"/>
  </r>
  <r>
    <n v="45"/>
    <x v="4"/>
    <n v="54000"/>
    <s v="White"/>
    <x v="1"/>
    <x v="3"/>
  </r>
  <r>
    <n v="40"/>
    <x v="4"/>
    <n v="54000"/>
    <s v="White"/>
    <x v="0"/>
    <x v="3"/>
  </r>
  <r>
    <n v="40"/>
    <x v="4"/>
    <n v="54190"/>
    <s v="White"/>
    <x v="0"/>
    <x v="3"/>
  </r>
  <r>
    <n v="60"/>
    <x v="4"/>
    <n v="54900"/>
    <s v="White"/>
    <x v="1"/>
    <x v="3"/>
  </r>
  <r>
    <n v="45"/>
    <x v="4"/>
    <n v="55000"/>
    <s v="White"/>
    <x v="0"/>
    <x v="3"/>
  </r>
  <r>
    <n v="45"/>
    <x v="4"/>
    <n v="55000"/>
    <s v="White"/>
    <x v="1"/>
    <x v="3"/>
  </r>
  <r>
    <n v="40"/>
    <x v="4"/>
    <n v="55000"/>
    <s v="White"/>
    <x v="1"/>
    <x v="3"/>
  </r>
  <r>
    <n v="40"/>
    <x v="4"/>
    <n v="55000"/>
    <s v="White"/>
    <x v="1"/>
    <x v="3"/>
  </r>
  <r>
    <n v="0"/>
    <x v="4"/>
    <n v="55000"/>
    <s v="White"/>
    <x v="1"/>
    <x v="3"/>
  </r>
  <r>
    <n v="70"/>
    <x v="4"/>
    <n v="55000"/>
    <s v="White"/>
    <x v="1"/>
    <x v="3"/>
  </r>
  <r>
    <n v="0"/>
    <x v="4"/>
    <n v="55000"/>
    <s v="White"/>
    <x v="1"/>
    <x v="3"/>
  </r>
  <r>
    <n v="50"/>
    <x v="4"/>
    <n v="55000"/>
    <s v="White"/>
    <x v="1"/>
    <x v="3"/>
  </r>
  <r>
    <n v="40"/>
    <x v="4"/>
    <n v="55000"/>
    <s v="White"/>
    <x v="1"/>
    <x v="3"/>
  </r>
  <r>
    <n v="40"/>
    <x v="4"/>
    <n v="55000"/>
    <s v="White"/>
    <x v="1"/>
    <x v="3"/>
  </r>
  <r>
    <n v="50"/>
    <x v="4"/>
    <n v="55000"/>
    <s v="White"/>
    <x v="1"/>
    <x v="3"/>
  </r>
  <r>
    <n v="40"/>
    <x v="4"/>
    <n v="55000"/>
    <s v="IndEsk"/>
    <x v="1"/>
    <x v="3"/>
  </r>
  <r>
    <n v="40"/>
    <x v="4"/>
    <n v="55000"/>
    <s v="White"/>
    <x v="1"/>
    <x v="3"/>
  </r>
  <r>
    <n v="40"/>
    <x v="4"/>
    <n v="55000"/>
    <s v="White"/>
    <x v="1"/>
    <x v="3"/>
  </r>
  <r>
    <n v="35"/>
    <x v="4"/>
    <n v="55145"/>
    <s v="White"/>
    <x v="0"/>
    <x v="3"/>
  </r>
  <r>
    <n v="40"/>
    <x v="4"/>
    <n v="56000"/>
    <s v="White"/>
    <x v="0"/>
    <x v="3"/>
  </r>
  <r>
    <n v="40"/>
    <x v="4"/>
    <n v="56000"/>
    <s v="White"/>
    <x v="1"/>
    <x v="3"/>
  </r>
  <r>
    <n v="40"/>
    <x v="4"/>
    <n v="56800"/>
    <s v="White"/>
    <x v="1"/>
    <x v="3"/>
  </r>
  <r>
    <n v="65"/>
    <x v="4"/>
    <n v="56800"/>
    <s v="White"/>
    <x v="1"/>
    <x v="3"/>
  </r>
  <r>
    <n v="40"/>
    <x v="4"/>
    <n v="57000"/>
    <s v="White"/>
    <x v="1"/>
    <x v="3"/>
  </r>
  <r>
    <n v="40"/>
    <x v="4"/>
    <n v="57000"/>
    <s v="Black"/>
    <x v="1"/>
    <x v="3"/>
  </r>
  <r>
    <n v="40"/>
    <x v="4"/>
    <n v="57000"/>
    <s v="White"/>
    <x v="1"/>
    <x v="3"/>
  </r>
  <r>
    <n v="45"/>
    <x v="4"/>
    <n v="57000"/>
    <s v="White"/>
    <x v="1"/>
    <x v="3"/>
  </r>
  <r>
    <n v="40"/>
    <x v="4"/>
    <n v="57200"/>
    <s v="White"/>
    <x v="1"/>
    <x v="3"/>
  </r>
  <r>
    <n v="40"/>
    <x v="4"/>
    <n v="58000"/>
    <s v="White"/>
    <x v="1"/>
    <x v="3"/>
  </r>
  <r>
    <n v="40"/>
    <x v="4"/>
    <n v="58000"/>
    <s v="White"/>
    <x v="0"/>
    <x v="3"/>
  </r>
  <r>
    <n v="48"/>
    <x v="4"/>
    <n v="58000"/>
    <s v="White"/>
    <x v="1"/>
    <x v="3"/>
  </r>
  <r>
    <n v="45"/>
    <x v="4"/>
    <n v="58000"/>
    <s v="White"/>
    <x v="0"/>
    <x v="3"/>
  </r>
  <r>
    <n v="52"/>
    <x v="4"/>
    <n v="58000"/>
    <s v="White"/>
    <x v="1"/>
    <x v="3"/>
  </r>
  <r>
    <n v="45"/>
    <x v="4"/>
    <n v="58000"/>
    <s v="White"/>
    <x v="1"/>
    <x v="3"/>
  </r>
  <r>
    <n v="40"/>
    <x v="4"/>
    <n v="58000"/>
    <s v="White"/>
    <x v="1"/>
    <x v="3"/>
  </r>
  <r>
    <n v="0"/>
    <x v="4"/>
    <n v="58000"/>
    <s v="White"/>
    <x v="1"/>
    <x v="3"/>
  </r>
  <r>
    <n v="40"/>
    <x v="4"/>
    <n v="59000"/>
    <s v="White"/>
    <x v="1"/>
    <x v="3"/>
  </r>
  <r>
    <n v="40"/>
    <x v="4"/>
    <n v="59000"/>
    <s v="White"/>
    <x v="0"/>
    <x v="3"/>
  </r>
  <r>
    <n v="40"/>
    <x v="4"/>
    <n v="59200"/>
    <s v="White"/>
    <x v="1"/>
    <x v="3"/>
  </r>
  <r>
    <n v="60"/>
    <x v="4"/>
    <n v="59800"/>
    <s v="White"/>
    <x v="1"/>
    <x v="3"/>
  </r>
  <r>
    <n v="80"/>
    <x v="4"/>
    <n v="59925"/>
    <s v="White"/>
    <x v="1"/>
    <x v="3"/>
  </r>
  <r>
    <n v="40"/>
    <x v="4"/>
    <n v="60000"/>
    <s v="White"/>
    <x v="1"/>
    <x v="3"/>
  </r>
  <r>
    <n v="45"/>
    <x v="4"/>
    <n v="60000"/>
    <s v="White"/>
    <x v="0"/>
    <x v="3"/>
  </r>
  <r>
    <n v="97"/>
    <x v="4"/>
    <n v="60000"/>
    <s v="White"/>
    <x v="1"/>
    <x v="3"/>
  </r>
  <r>
    <n v="60"/>
    <x v="4"/>
    <n v="60000"/>
    <s v="White"/>
    <x v="1"/>
    <x v="3"/>
  </r>
  <r>
    <n v="60"/>
    <x v="4"/>
    <n v="60000"/>
    <s v="White"/>
    <x v="1"/>
    <x v="3"/>
  </r>
  <r>
    <n v="45"/>
    <x v="4"/>
    <n v="60000"/>
    <s v="White"/>
    <x v="1"/>
    <x v="3"/>
  </r>
  <r>
    <n v="40"/>
    <x v="4"/>
    <n v="60000"/>
    <s v="White"/>
    <x v="1"/>
    <x v="3"/>
  </r>
  <r>
    <n v="40"/>
    <x v="4"/>
    <n v="60000"/>
    <s v="White"/>
    <x v="0"/>
    <x v="3"/>
  </r>
  <r>
    <n v="48"/>
    <x v="4"/>
    <n v="60000"/>
    <s v="White"/>
    <x v="1"/>
    <x v="3"/>
  </r>
  <r>
    <n v="70"/>
    <x v="4"/>
    <n v="60000"/>
    <s v="White"/>
    <x v="1"/>
    <x v="3"/>
  </r>
  <r>
    <n v="40"/>
    <x v="4"/>
    <n v="60000"/>
    <s v="White"/>
    <x v="1"/>
    <x v="3"/>
  </r>
  <r>
    <n v="40"/>
    <x v="4"/>
    <n v="60000"/>
    <s v="White"/>
    <x v="1"/>
    <x v="3"/>
  </r>
  <r>
    <n v="40"/>
    <x v="4"/>
    <n v="60000"/>
    <s v="White"/>
    <x v="1"/>
    <x v="3"/>
  </r>
  <r>
    <n v="40"/>
    <x v="4"/>
    <n v="60000"/>
    <s v="Black"/>
    <x v="0"/>
    <x v="3"/>
  </r>
  <r>
    <n v="100"/>
    <x v="4"/>
    <n v="60000"/>
    <s v="White"/>
    <x v="1"/>
    <x v="3"/>
  </r>
  <r>
    <n v="48"/>
    <x v="4"/>
    <n v="60000"/>
    <s v="White"/>
    <x v="1"/>
    <x v="3"/>
  </r>
  <r>
    <n v="40"/>
    <x v="4"/>
    <n v="60000"/>
    <s v="White"/>
    <x v="1"/>
    <x v="3"/>
  </r>
  <r>
    <n v="48"/>
    <x v="4"/>
    <n v="60000"/>
    <s v="White"/>
    <x v="1"/>
    <x v="3"/>
  </r>
  <r>
    <n v="40"/>
    <x v="4"/>
    <n v="60000"/>
    <s v="White"/>
    <x v="1"/>
    <x v="3"/>
  </r>
  <r>
    <n v="48"/>
    <x v="4"/>
    <n v="60000"/>
    <s v="White"/>
    <x v="1"/>
    <x v="3"/>
  </r>
  <r>
    <n v="40"/>
    <x v="4"/>
    <n v="60000"/>
    <s v="White"/>
    <x v="1"/>
    <x v="3"/>
  </r>
  <r>
    <n v="55"/>
    <x v="4"/>
    <n v="60000"/>
    <s v="White"/>
    <x v="1"/>
    <x v="3"/>
  </r>
  <r>
    <n v="35"/>
    <x v="4"/>
    <n v="60000"/>
    <s v="White"/>
    <x v="0"/>
    <x v="3"/>
  </r>
  <r>
    <n v="45"/>
    <x v="4"/>
    <n v="60000"/>
    <s v="White"/>
    <x v="1"/>
    <x v="3"/>
  </r>
  <r>
    <n v="45"/>
    <x v="4"/>
    <n v="60000"/>
    <s v="White"/>
    <x v="1"/>
    <x v="3"/>
  </r>
  <r>
    <n v="60"/>
    <x v="4"/>
    <n v="60000"/>
    <s v="White"/>
    <x v="1"/>
    <x v="3"/>
  </r>
  <r>
    <n v="35"/>
    <x v="4"/>
    <n v="60198"/>
    <s v="White"/>
    <x v="1"/>
    <x v="3"/>
  </r>
  <r>
    <n v="40"/>
    <x v="4"/>
    <n v="60500"/>
    <s v="White"/>
    <x v="1"/>
    <x v="3"/>
  </r>
  <r>
    <n v="55"/>
    <x v="4"/>
    <n v="61000"/>
    <s v="White"/>
    <x v="1"/>
    <x v="3"/>
  </r>
  <r>
    <n v="60"/>
    <x v="4"/>
    <n v="61000"/>
    <s v="White"/>
    <x v="1"/>
    <x v="3"/>
  </r>
  <r>
    <n v="40"/>
    <x v="4"/>
    <n v="61000"/>
    <s v="White"/>
    <x v="1"/>
    <x v="3"/>
  </r>
  <r>
    <n v="40"/>
    <x v="4"/>
    <n v="61000"/>
    <s v="White"/>
    <x v="1"/>
    <x v="3"/>
  </r>
  <r>
    <n v="45"/>
    <x v="4"/>
    <n v="61629"/>
    <s v="White"/>
    <x v="1"/>
    <x v="3"/>
  </r>
  <r>
    <n v="50"/>
    <x v="4"/>
    <n v="62000"/>
    <s v="White"/>
    <x v="1"/>
    <x v="3"/>
  </r>
  <r>
    <n v="40"/>
    <x v="4"/>
    <n v="62000"/>
    <s v="White"/>
    <x v="1"/>
    <x v="3"/>
  </r>
  <r>
    <n v="48"/>
    <x v="4"/>
    <n v="62000"/>
    <s v="White"/>
    <x v="1"/>
    <x v="3"/>
  </r>
  <r>
    <n v="40"/>
    <x v="4"/>
    <n v="62000"/>
    <s v="White"/>
    <x v="1"/>
    <x v="3"/>
  </r>
  <r>
    <n v="40"/>
    <x v="4"/>
    <n v="62000"/>
    <s v="White"/>
    <x v="1"/>
    <x v="3"/>
  </r>
  <r>
    <n v="0"/>
    <x v="4"/>
    <n v="62400"/>
    <s v="White"/>
    <x v="1"/>
    <x v="3"/>
  </r>
  <r>
    <n v="40"/>
    <x v="4"/>
    <n v="62400"/>
    <s v="White"/>
    <x v="1"/>
    <x v="3"/>
  </r>
  <r>
    <n v="0"/>
    <x v="4"/>
    <n v="62400"/>
    <s v="White"/>
    <x v="1"/>
    <x v="3"/>
  </r>
  <r>
    <n v="40"/>
    <x v="4"/>
    <n v="62400"/>
    <s v="White"/>
    <x v="1"/>
    <x v="3"/>
  </r>
  <r>
    <n v="50"/>
    <x v="4"/>
    <n v="63000"/>
    <s v="White"/>
    <x v="1"/>
    <x v="3"/>
  </r>
  <r>
    <n v="48"/>
    <x v="4"/>
    <n v="63000"/>
    <s v="White"/>
    <x v="1"/>
    <x v="3"/>
  </r>
  <r>
    <n v="40"/>
    <x v="4"/>
    <n v="63000"/>
    <s v="White"/>
    <x v="1"/>
    <x v="3"/>
  </r>
  <r>
    <n v="40"/>
    <x v="4"/>
    <n v="64000"/>
    <s v="White"/>
    <x v="1"/>
    <x v="3"/>
  </r>
  <r>
    <n v="40"/>
    <x v="4"/>
    <n v="65000"/>
    <s v="White"/>
    <x v="1"/>
    <x v="3"/>
  </r>
  <r>
    <n v="40"/>
    <x v="4"/>
    <n v="65000"/>
    <s v="White"/>
    <x v="1"/>
    <x v="3"/>
  </r>
  <r>
    <n v="50"/>
    <x v="4"/>
    <n v="65000"/>
    <s v="White"/>
    <x v="1"/>
    <x v="3"/>
  </r>
  <r>
    <n v="58"/>
    <x v="4"/>
    <n v="65000"/>
    <s v="White"/>
    <x v="1"/>
    <x v="3"/>
  </r>
  <r>
    <n v="45"/>
    <x v="4"/>
    <n v="65000"/>
    <s v="White"/>
    <x v="0"/>
    <x v="3"/>
  </r>
  <r>
    <n v="50"/>
    <x v="4"/>
    <n v="65000"/>
    <s v="White"/>
    <x v="1"/>
    <x v="3"/>
  </r>
  <r>
    <n v="40"/>
    <x v="4"/>
    <n v="65000"/>
    <s v="Black"/>
    <x v="1"/>
    <x v="3"/>
  </r>
  <r>
    <n v="60"/>
    <x v="4"/>
    <n v="65000"/>
    <s v="White"/>
    <x v="0"/>
    <x v="3"/>
  </r>
  <r>
    <n v="0"/>
    <x v="4"/>
    <n v="65000"/>
    <s v="White"/>
    <x v="1"/>
    <x v="3"/>
  </r>
  <r>
    <n v="50"/>
    <x v="4"/>
    <n v="65000"/>
    <s v="White"/>
    <x v="1"/>
    <x v="3"/>
  </r>
  <r>
    <n v="40"/>
    <x v="4"/>
    <n v="66000"/>
    <s v="White"/>
    <x v="0"/>
    <x v="3"/>
  </r>
  <r>
    <n v="60"/>
    <x v="4"/>
    <n v="66000"/>
    <s v="White"/>
    <x v="0"/>
    <x v="3"/>
  </r>
  <r>
    <n v="50"/>
    <x v="4"/>
    <n v="66000"/>
    <s v="White"/>
    <x v="1"/>
    <x v="3"/>
  </r>
  <r>
    <n v="84"/>
    <x v="4"/>
    <n v="67406"/>
    <s v="White"/>
    <x v="1"/>
    <x v="3"/>
  </r>
  <r>
    <n v="40"/>
    <x v="4"/>
    <n v="68000"/>
    <s v="White"/>
    <x v="1"/>
    <x v="3"/>
  </r>
  <r>
    <n v="40"/>
    <x v="4"/>
    <n v="69000"/>
    <s v="White"/>
    <x v="1"/>
    <x v="3"/>
  </r>
  <r>
    <n v="45"/>
    <x v="4"/>
    <n v="69000"/>
    <s v="White"/>
    <x v="1"/>
    <x v="3"/>
  </r>
  <r>
    <n v="45"/>
    <x v="4"/>
    <n v="69079"/>
    <s v="White"/>
    <x v="1"/>
    <x v="3"/>
  </r>
  <r>
    <n v="46"/>
    <x v="4"/>
    <n v="69500"/>
    <s v="White"/>
    <x v="1"/>
    <x v="3"/>
  </r>
  <r>
    <n v="50"/>
    <x v="4"/>
    <n v="70000"/>
    <s v="White"/>
    <x v="1"/>
    <x v="3"/>
  </r>
  <r>
    <n v="40"/>
    <x v="4"/>
    <n v="70000"/>
    <s v="White"/>
    <x v="1"/>
    <x v="3"/>
  </r>
  <r>
    <n v="0"/>
    <x v="4"/>
    <n v="70000"/>
    <s v="White"/>
    <x v="1"/>
    <x v="3"/>
  </r>
  <r>
    <n v="40"/>
    <x v="4"/>
    <n v="70000"/>
    <s v="White"/>
    <x v="1"/>
    <x v="3"/>
  </r>
  <r>
    <n v="40"/>
    <x v="4"/>
    <n v="70000"/>
    <s v="White"/>
    <x v="1"/>
    <x v="3"/>
  </r>
  <r>
    <n v="40"/>
    <x v="4"/>
    <n v="70000"/>
    <s v="White"/>
    <x v="1"/>
    <x v="3"/>
  </r>
  <r>
    <n v="70"/>
    <x v="4"/>
    <n v="72000"/>
    <s v="White"/>
    <x v="1"/>
    <x v="3"/>
  </r>
  <r>
    <n v="45"/>
    <x v="4"/>
    <n v="72000"/>
    <s v="White"/>
    <x v="1"/>
    <x v="3"/>
  </r>
  <r>
    <n v="40"/>
    <x v="4"/>
    <n v="72000"/>
    <s v="White"/>
    <x v="1"/>
    <x v="3"/>
  </r>
  <r>
    <n v="40"/>
    <x v="4"/>
    <n v="73771"/>
    <s v="White"/>
    <x v="1"/>
    <x v="3"/>
  </r>
  <r>
    <n v="67"/>
    <x v="4"/>
    <n v="74000"/>
    <s v="White"/>
    <x v="1"/>
    <x v="3"/>
  </r>
  <r>
    <n v="45"/>
    <x v="4"/>
    <n v="74000"/>
    <s v="White"/>
    <x v="0"/>
    <x v="3"/>
  </r>
  <r>
    <n v="50"/>
    <x v="4"/>
    <n v="75000"/>
    <s v="White"/>
    <x v="0"/>
    <x v="3"/>
  </r>
  <r>
    <n v="60"/>
    <x v="4"/>
    <n v="75000"/>
    <s v="White"/>
    <x v="1"/>
    <x v="3"/>
  </r>
  <r>
    <n v="56"/>
    <x v="4"/>
    <n v="75000"/>
    <s v="White"/>
    <x v="1"/>
    <x v="3"/>
  </r>
  <r>
    <n v="40"/>
    <x v="4"/>
    <n v="75000"/>
    <s v="White"/>
    <x v="1"/>
    <x v="3"/>
  </r>
  <r>
    <n v="42"/>
    <x v="4"/>
    <n v="75000"/>
    <s v="White"/>
    <x v="1"/>
    <x v="3"/>
  </r>
  <r>
    <n v="40"/>
    <x v="4"/>
    <n v="75000"/>
    <s v="White"/>
    <x v="1"/>
    <x v="3"/>
  </r>
  <r>
    <n v="40"/>
    <x v="4"/>
    <n v="75000"/>
    <s v="Black"/>
    <x v="1"/>
    <x v="3"/>
  </r>
  <r>
    <n v="40"/>
    <x v="4"/>
    <n v="75000"/>
    <s v="White"/>
    <x v="1"/>
    <x v="3"/>
  </r>
  <r>
    <n v="40"/>
    <x v="4"/>
    <n v="76000"/>
    <s v="White"/>
    <x v="1"/>
    <x v="3"/>
  </r>
  <r>
    <n v="80"/>
    <x v="4"/>
    <n v="76000"/>
    <s v="White"/>
    <x v="1"/>
    <x v="3"/>
  </r>
  <r>
    <n v="56"/>
    <x v="4"/>
    <n v="76000"/>
    <s v="Black"/>
    <x v="0"/>
    <x v="3"/>
  </r>
  <r>
    <n v="55"/>
    <x v="4"/>
    <n v="76000"/>
    <s v="White"/>
    <x v="1"/>
    <x v="3"/>
  </r>
  <r>
    <n v="45"/>
    <x v="4"/>
    <n v="76830"/>
    <s v="White"/>
    <x v="1"/>
    <x v="3"/>
  </r>
  <r>
    <n v="40"/>
    <x v="4"/>
    <n v="77790"/>
    <s v="White"/>
    <x v="1"/>
    <x v="3"/>
  </r>
  <r>
    <n v="50"/>
    <x v="4"/>
    <n v="78000"/>
    <s v="White"/>
    <x v="1"/>
    <x v="3"/>
  </r>
  <r>
    <n v="50"/>
    <x v="4"/>
    <n v="80000"/>
    <s v="White"/>
    <x v="1"/>
    <x v="3"/>
  </r>
  <r>
    <n v="72"/>
    <x v="4"/>
    <n v="80000"/>
    <s v="White"/>
    <x v="1"/>
    <x v="3"/>
  </r>
  <r>
    <n v="60"/>
    <x v="4"/>
    <n v="80000"/>
    <s v="White"/>
    <x v="1"/>
    <x v="3"/>
  </r>
  <r>
    <n v="50"/>
    <x v="4"/>
    <n v="80000"/>
    <s v="White"/>
    <x v="1"/>
    <x v="3"/>
  </r>
  <r>
    <n v="40"/>
    <x v="4"/>
    <n v="82000"/>
    <s v="White"/>
    <x v="1"/>
    <x v="3"/>
  </r>
  <r>
    <n v="0"/>
    <x v="4"/>
    <n v="82925"/>
    <s v="White"/>
    <x v="1"/>
    <x v="3"/>
  </r>
  <r>
    <n v="40"/>
    <x v="4"/>
    <n v="84000"/>
    <s v="White"/>
    <x v="1"/>
    <x v="3"/>
  </r>
  <r>
    <n v="55"/>
    <x v="4"/>
    <n v="84225"/>
    <s v="White"/>
    <x v="1"/>
    <x v="3"/>
  </r>
  <r>
    <n v="72"/>
    <x v="4"/>
    <n v="87000"/>
    <s v="White"/>
    <x v="0"/>
    <x v="3"/>
  </r>
  <r>
    <n v="65"/>
    <x v="4"/>
    <n v="90000"/>
    <s v="White"/>
    <x v="1"/>
    <x v="3"/>
  </r>
  <r>
    <n v="40"/>
    <x v="4"/>
    <n v="91000"/>
    <s v="White"/>
    <x v="1"/>
    <x v="3"/>
  </r>
  <r>
    <n v="40"/>
    <x v="4"/>
    <n v="91000"/>
    <s v="White"/>
    <x v="1"/>
    <x v="3"/>
  </r>
  <r>
    <n v="60"/>
    <x v="4"/>
    <n v="92000"/>
    <s v="White"/>
    <x v="1"/>
    <x v="3"/>
  </r>
  <r>
    <n v="50"/>
    <x v="4"/>
    <n v="94000"/>
    <s v="White"/>
    <x v="1"/>
    <x v="3"/>
  </r>
  <r>
    <n v="50"/>
    <x v="4"/>
    <n v="97000"/>
    <s v="White"/>
    <x v="1"/>
    <x v="3"/>
  </r>
  <r>
    <n v="55"/>
    <x v="4"/>
    <n v="98000"/>
    <s v="White"/>
    <x v="1"/>
    <x v="3"/>
  </r>
  <r>
    <n v="50"/>
    <x v="4"/>
    <n v="99925"/>
    <s v="White"/>
    <x v="1"/>
    <x v="3"/>
  </r>
  <r>
    <n v="50"/>
    <x v="4"/>
    <n v="100000"/>
    <s v="White"/>
    <x v="1"/>
    <x v="3"/>
  </r>
  <r>
    <n v="44"/>
    <x v="4"/>
    <n v="100000"/>
    <s v="White"/>
    <x v="1"/>
    <x v="3"/>
  </r>
  <r>
    <n v="54"/>
    <x v="4"/>
    <n v="100000"/>
    <s v="Black"/>
    <x v="1"/>
    <x v="3"/>
  </r>
  <r>
    <n v="80"/>
    <x v="4"/>
    <n v="102678"/>
    <s v="White"/>
    <x v="1"/>
    <x v="3"/>
  </r>
  <r>
    <n v="40"/>
    <x v="4"/>
    <n v="104000"/>
    <s v="White"/>
    <x v="0"/>
    <x v="3"/>
  </r>
  <r>
    <n v="50"/>
    <x v="4"/>
    <n v="104000"/>
    <s v="White"/>
    <x v="0"/>
    <x v="3"/>
  </r>
  <r>
    <n v="40"/>
    <x v="4"/>
    <n v="108000"/>
    <s v="White"/>
    <x v="1"/>
    <x v="3"/>
  </r>
  <r>
    <n v="40"/>
    <x v="4"/>
    <n v="109139"/>
    <s v="Black"/>
    <x v="1"/>
    <x v="3"/>
  </r>
  <r>
    <n v="43"/>
    <x v="4"/>
    <n v="110000"/>
    <s v="White"/>
    <x v="1"/>
    <x v="3"/>
  </r>
  <r>
    <n v="50"/>
    <x v="4"/>
    <n v="120000"/>
    <s v="White"/>
    <x v="1"/>
    <x v="3"/>
  </r>
  <r>
    <n v="40"/>
    <x v="4"/>
    <n v="123925"/>
    <s v="White"/>
    <x v="1"/>
    <x v="3"/>
  </r>
  <r>
    <n v="40"/>
    <x v="4"/>
    <n v="125000"/>
    <s v="White"/>
    <x v="1"/>
    <x v="3"/>
  </r>
  <r>
    <n v="40"/>
    <x v="4"/>
    <n v="132000"/>
    <s v="IndEsk"/>
    <x v="1"/>
    <x v="3"/>
  </r>
  <r>
    <n v="50"/>
    <x v="4"/>
    <n v="132000"/>
    <s v="White"/>
    <x v="1"/>
    <x v="3"/>
  </r>
  <r>
    <n v="55"/>
    <x v="4"/>
    <n v="135000"/>
    <s v="White"/>
    <x v="1"/>
    <x v="3"/>
  </r>
  <r>
    <n v="40"/>
    <x v="4"/>
    <n v="348516"/>
    <s v="White"/>
    <x v="1"/>
    <x v="3"/>
  </r>
  <r>
    <n v="40"/>
    <x v="4"/>
    <n v="492657"/>
    <s v="White"/>
    <x v="1"/>
    <x v="3"/>
  </r>
  <r>
    <n v="99"/>
    <x v="5"/>
    <n v="500"/>
    <s v="White"/>
    <x v="1"/>
    <x v="4"/>
  </r>
  <r>
    <n v="40"/>
    <x v="5"/>
    <n v="1200"/>
    <s v="White"/>
    <x v="1"/>
    <x v="4"/>
  </r>
  <r>
    <n v="40"/>
    <x v="5"/>
    <n v="2655"/>
    <s v="Black"/>
    <x v="1"/>
    <x v="4"/>
  </r>
  <r>
    <n v="40"/>
    <x v="5"/>
    <n v="6300"/>
    <s v="White"/>
    <x v="1"/>
    <x v="4"/>
  </r>
  <r>
    <n v="0"/>
    <x v="5"/>
    <n v="7700"/>
    <s v="White"/>
    <x v="1"/>
    <x v="4"/>
  </r>
  <r>
    <n v="40"/>
    <x v="5"/>
    <n v="7800"/>
    <s v="AsianPI"/>
    <x v="0"/>
    <x v="4"/>
  </r>
  <r>
    <n v="40"/>
    <x v="5"/>
    <n v="9000"/>
    <s v="White"/>
    <x v="1"/>
    <x v="4"/>
  </r>
  <r>
    <n v="35"/>
    <x v="5"/>
    <n v="9440"/>
    <s v="White"/>
    <x v="1"/>
    <x v="4"/>
  </r>
  <r>
    <n v="50"/>
    <x v="5"/>
    <n v="10000"/>
    <s v="Black"/>
    <x v="0"/>
    <x v="4"/>
  </r>
  <r>
    <n v="40"/>
    <x v="5"/>
    <n v="10640"/>
    <s v="Black"/>
    <x v="0"/>
    <x v="4"/>
  </r>
  <r>
    <n v="40"/>
    <x v="5"/>
    <n v="11000"/>
    <s v="Black"/>
    <x v="0"/>
    <x v="4"/>
  </r>
  <r>
    <n v="40"/>
    <x v="5"/>
    <n v="11128"/>
    <s v="White"/>
    <x v="1"/>
    <x v="4"/>
  </r>
  <r>
    <n v="40"/>
    <x v="5"/>
    <n v="11500"/>
    <s v="Black"/>
    <x v="1"/>
    <x v="4"/>
  </r>
  <r>
    <n v="40"/>
    <x v="5"/>
    <n v="13000"/>
    <s v="Black"/>
    <x v="0"/>
    <x v="4"/>
  </r>
  <r>
    <n v="40"/>
    <x v="5"/>
    <n v="13520"/>
    <s v="Black"/>
    <x v="1"/>
    <x v="4"/>
  </r>
  <r>
    <n v="50"/>
    <x v="5"/>
    <n v="14000"/>
    <s v="White"/>
    <x v="1"/>
    <x v="4"/>
  </r>
  <r>
    <n v="50"/>
    <x v="5"/>
    <n v="15000"/>
    <s v="White"/>
    <x v="0"/>
    <x v="4"/>
  </r>
  <r>
    <n v="40"/>
    <x v="5"/>
    <n v="16080"/>
    <s v="White"/>
    <x v="1"/>
    <x v="4"/>
  </r>
  <r>
    <n v="55"/>
    <x v="5"/>
    <n v="18000"/>
    <s v="White"/>
    <x v="1"/>
    <x v="4"/>
  </r>
  <r>
    <n v="40"/>
    <x v="5"/>
    <n v="20000"/>
    <s v="White"/>
    <x v="1"/>
    <x v="4"/>
  </r>
  <r>
    <n v="40"/>
    <x v="5"/>
    <n v="20000"/>
    <s v="White"/>
    <x v="0"/>
    <x v="4"/>
  </r>
  <r>
    <n v="40"/>
    <x v="5"/>
    <n v="20000"/>
    <s v="White"/>
    <x v="1"/>
    <x v="4"/>
  </r>
  <r>
    <n v="40"/>
    <x v="5"/>
    <n v="20000"/>
    <s v="White"/>
    <x v="1"/>
    <x v="4"/>
  </r>
  <r>
    <n v="40"/>
    <x v="5"/>
    <n v="21000"/>
    <s v="White"/>
    <x v="1"/>
    <x v="4"/>
  </r>
  <r>
    <n v="40"/>
    <x v="5"/>
    <n v="21500"/>
    <s v="White"/>
    <x v="1"/>
    <x v="4"/>
  </r>
  <r>
    <n v="50"/>
    <x v="5"/>
    <n v="23001"/>
    <s v="White"/>
    <x v="1"/>
    <x v="4"/>
  </r>
  <r>
    <n v="50"/>
    <x v="5"/>
    <n v="23400"/>
    <s v="IndEsk"/>
    <x v="1"/>
    <x v="4"/>
  </r>
  <r>
    <n v="40"/>
    <x v="5"/>
    <n v="25000"/>
    <s v="White"/>
    <x v="1"/>
    <x v="4"/>
  </r>
  <r>
    <n v="40"/>
    <x v="5"/>
    <n v="27040"/>
    <s v="White"/>
    <x v="1"/>
    <x v="4"/>
  </r>
  <r>
    <n v="40"/>
    <x v="5"/>
    <n v="28000"/>
    <s v="White"/>
    <x v="0"/>
    <x v="4"/>
  </r>
  <r>
    <n v="40"/>
    <x v="5"/>
    <n v="28905"/>
    <s v="Black"/>
    <x v="1"/>
    <x v="4"/>
  </r>
  <r>
    <n v="62"/>
    <x v="5"/>
    <n v="30000"/>
    <s v="Black"/>
    <x v="0"/>
    <x v="4"/>
  </r>
  <r>
    <n v="40"/>
    <x v="5"/>
    <n v="30000"/>
    <s v="White"/>
    <x v="1"/>
    <x v="4"/>
  </r>
  <r>
    <n v="40"/>
    <x v="5"/>
    <n v="30000"/>
    <s v="White"/>
    <x v="1"/>
    <x v="4"/>
  </r>
  <r>
    <n v="40"/>
    <x v="5"/>
    <n v="30000"/>
    <s v="White"/>
    <x v="1"/>
    <x v="4"/>
  </r>
  <r>
    <n v="45"/>
    <x v="5"/>
    <n v="34000"/>
    <s v="White"/>
    <x v="1"/>
    <x v="4"/>
  </r>
  <r>
    <n v="50"/>
    <x v="5"/>
    <n v="35000"/>
    <s v="White"/>
    <x v="1"/>
    <x v="4"/>
  </r>
  <r>
    <n v="40"/>
    <x v="5"/>
    <n v="35000"/>
    <s v="White"/>
    <x v="1"/>
    <x v="4"/>
  </r>
  <r>
    <n v="40"/>
    <x v="5"/>
    <n v="35576"/>
    <s v="White"/>
    <x v="1"/>
    <x v="4"/>
  </r>
  <r>
    <n v="40"/>
    <x v="5"/>
    <n v="37000"/>
    <s v="White"/>
    <x v="1"/>
    <x v="4"/>
  </r>
  <r>
    <n v="60"/>
    <x v="5"/>
    <n v="38000"/>
    <s v="White"/>
    <x v="1"/>
    <x v="4"/>
  </r>
  <r>
    <n v="40"/>
    <x v="5"/>
    <n v="38000"/>
    <s v="White"/>
    <x v="1"/>
    <x v="4"/>
  </r>
  <r>
    <n v="60"/>
    <x v="5"/>
    <n v="43000"/>
    <s v="White"/>
    <x v="1"/>
    <x v="4"/>
  </r>
  <r>
    <n v="45"/>
    <x v="5"/>
    <n v="45000"/>
    <s v="White"/>
    <x v="1"/>
    <x v="4"/>
  </r>
  <r>
    <n v="40"/>
    <x v="5"/>
    <n v="47375"/>
    <s v="White"/>
    <x v="0"/>
    <x v="4"/>
  </r>
  <r>
    <n v="40"/>
    <x v="5"/>
    <n v="49241"/>
    <s v="Black"/>
    <x v="1"/>
    <x v="4"/>
  </r>
  <r>
    <n v="40"/>
    <x v="5"/>
    <n v="50000"/>
    <s v="White"/>
    <x v="1"/>
    <x v="4"/>
  </r>
  <r>
    <n v="35"/>
    <x v="5"/>
    <n v="55000"/>
    <s v="White"/>
    <x v="1"/>
    <x v="4"/>
  </r>
  <r>
    <n v="40"/>
    <x v="5"/>
    <n v="60000"/>
    <s v="White"/>
    <x v="1"/>
    <x v="4"/>
  </r>
  <r>
    <n v="40"/>
    <x v="6"/>
    <n v="2000"/>
    <s v="White"/>
    <x v="0"/>
    <x v="4"/>
  </r>
  <r>
    <n v="40"/>
    <x v="6"/>
    <n v="2900"/>
    <s v="Black"/>
    <x v="0"/>
    <x v="4"/>
  </r>
  <r>
    <n v="50"/>
    <x v="6"/>
    <n v="2940"/>
    <s v="Black"/>
    <x v="0"/>
    <x v="4"/>
  </r>
  <r>
    <n v="40"/>
    <x v="6"/>
    <n v="3000"/>
    <s v="Black"/>
    <x v="0"/>
    <x v="4"/>
  </r>
  <r>
    <n v="36"/>
    <x v="6"/>
    <n v="3800"/>
    <s v="White"/>
    <x v="0"/>
    <x v="4"/>
  </r>
  <r>
    <n v="35"/>
    <x v="6"/>
    <n v="4048"/>
    <s v="White"/>
    <x v="0"/>
    <x v="4"/>
  </r>
  <r>
    <n v="40"/>
    <x v="6"/>
    <n v="5000"/>
    <s v="Black"/>
    <x v="0"/>
    <x v="4"/>
  </r>
  <r>
    <n v="36"/>
    <x v="6"/>
    <n v="5000"/>
    <s v="White"/>
    <x v="0"/>
    <x v="4"/>
  </r>
  <r>
    <n v="40"/>
    <x v="6"/>
    <n v="5720"/>
    <s v="White"/>
    <x v="1"/>
    <x v="4"/>
  </r>
  <r>
    <n v="40"/>
    <x v="6"/>
    <n v="6000"/>
    <s v="White"/>
    <x v="1"/>
    <x v="4"/>
  </r>
  <r>
    <n v="40"/>
    <x v="6"/>
    <n v="7300"/>
    <s v="White"/>
    <x v="1"/>
    <x v="4"/>
  </r>
  <r>
    <n v="40"/>
    <x v="6"/>
    <n v="7800"/>
    <s v="White"/>
    <x v="1"/>
    <x v="4"/>
  </r>
  <r>
    <n v="35"/>
    <x v="6"/>
    <n v="8000"/>
    <s v="White"/>
    <x v="0"/>
    <x v="4"/>
  </r>
  <r>
    <n v="0"/>
    <x v="6"/>
    <n v="8400"/>
    <s v="White"/>
    <x v="1"/>
    <x v="4"/>
  </r>
  <r>
    <n v="43"/>
    <x v="6"/>
    <n v="8800"/>
    <s v="IndEsk"/>
    <x v="1"/>
    <x v="4"/>
  </r>
  <r>
    <n v="40"/>
    <x v="6"/>
    <n v="9000"/>
    <s v="White"/>
    <x v="1"/>
    <x v="4"/>
  </r>
  <r>
    <n v="35"/>
    <x v="6"/>
    <n v="9000"/>
    <s v="White"/>
    <x v="0"/>
    <x v="4"/>
  </r>
  <r>
    <n v="40"/>
    <x v="6"/>
    <n v="9500"/>
    <s v="White"/>
    <x v="0"/>
    <x v="4"/>
  </r>
  <r>
    <n v="40"/>
    <x v="6"/>
    <n v="9500"/>
    <s v="White"/>
    <x v="1"/>
    <x v="4"/>
  </r>
  <r>
    <n v="40"/>
    <x v="6"/>
    <n v="9600"/>
    <s v="White"/>
    <x v="1"/>
    <x v="4"/>
  </r>
  <r>
    <n v="40"/>
    <x v="6"/>
    <n v="10000"/>
    <s v="Black"/>
    <x v="1"/>
    <x v="4"/>
  </r>
  <r>
    <n v="40"/>
    <x v="6"/>
    <n v="10000"/>
    <s v="Black"/>
    <x v="1"/>
    <x v="4"/>
  </r>
  <r>
    <n v="40"/>
    <x v="6"/>
    <n v="10064"/>
    <s v="White"/>
    <x v="0"/>
    <x v="4"/>
  </r>
  <r>
    <n v="40"/>
    <x v="6"/>
    <n v="10400"/>
    <s v="Black"/>
    <x v="0"/>
    <x v="4"/>
  </r>
  <r>
    <n v="40"/>
    <x v="6"/>
    <n v="10920"/>
    <s v="White"/>
    <x v="0"/>
    <x v="4"/>
  </r>
  <r>
    <n v="40"/>
    <x v="6"/>
    <n v="11000"/>
    <s v="White"/>
    <x v="1"/>
    <x v="4"/>
  </r>
  <r>
    <n v="0"/>
    <x v="6"/>
    <n v="11000"/>
    <s v="White"/>
    <x v="0"/>
    <x v="4"/>
  </r>
  <r>
    <n v="40"/>
    <x v="6"/>
    <n v="11440"/>
    <s v="Black"/>
    <x v="1"/>
    <x v="4"/>
  </r>
  <r>
    <n v="40"/>
    <x v="6"/>
    <n v="11440"/>
    <s v="White"/>
    <x v="0"/>
    <x v="4"/>
  </r>
  <r>
    <n v="40"/>
    <x v="6"/>
    <n v="11920"/>
    <s v="White"/>
    <x v="0"/>
    <x v="4"/>
  </r>
  <r>
    <n v="40"/>
    <x v="6"/>
    <n v="12000"/>
    <s v="White"/>
    <x v="1"/>
    <x v="4"/>
  </r>
  <r>
    <n v="40"/>
    <x v="6"/>
    <n v="12000"/>
    <s v="Black"/>
    <x v="0"/>
    <x v="4"/>
  </r>
  <r>
    <n v="45"/>
    <x v="6"/>
    <n v="12000"/>
    <s v="White"/>
    <x v="1"/>
    <x v="4"/>
  </r>
  <r>
    <n v="40"/>
    <x v="6"/>
    <n v="12500"/>
    <s v="White"/>
    <x v="0"/>
    <x v="4"/>
  </r>
  <r>
    <n v="40"/>
    <x v="6"/>
    <n v="12600"/>
    <s v="White"/>
    <x v="1"/>
    <x v="4"/>
  </r>
  <r>
    <n v="56"/>
    <x v="6"/>
    <n v="12960"/>
    <s v="White"/>
    <x v="1"/>
    <x v="4"/>
  </r>
  <r>
    <n v="40"/>
    <x v="6"/>
    <n v="13000"/>
    <s v="White"/>
    <x v="1"/>
    <x v="4"/>
  </r>
  <r>
    <n v="40"/>
    <x v="6"/>
    <n v="13208"/>
    <s v="Black"/>
    <x v="0"/>
    <x v="4"/>
  </r>
  <r>
    <n v="38"/>
    <x v="6"/>
    <n v="14000"/>
    <s v="White"/>
    <x v="1"/>
    <x v="4"/>
  </r>
  <r>
    <n v="40"/>
    <x v="6"/>
    <n v="14000"/>
    <s v="White"/>
    <x v="1"/>
    <x v="4"/>
  </r>
  <r>
    <n v="44"/>
    <x v="6"/>
    <n v="14000"/>
    <s v="Black"/>
    <x v="0"/>
    <x v="4"/>
  </r>
  <r>
    <n v="40"/>
    <x v="6"/>
    <n v="14000"/>
    <s v="Black"/>
    <x v="0"/>
    <x v="4"/>
  </r>
  <r>
    <n v="40"/>
    <x v="6"/>
    <n v="15000"/>
    <s v="White"/>
    <x v="0"/>
    <x v="4"/>
  </r>
  <r>
    <n v="65"/>
    <x v="6"/>
    <n v="15000"/>
    <s v="White"/>
    <x v="1"/>
    <x v="4"/>
  </r>
  <r>
    <n v="45"/>
    <x v="6"/>
    <n v="15000"/>
    <s v="White"/>
    <x v="0"/>
    <x v="4"/>
  </r>
  <r>
    <n v="40"/>
    <x v="6"/>
    <n v="15000"/>
    <s v="White"/>
    <x v="1"/>
    <x v="4"/>
  </r>
  <r>
    <n v="40"/>
    <x v="6"/>
    <n v="15000"/>
    <s v="White"/>
    <x v="1"/>
    <x v="4"/>
  </r>
  <r>
    <n v="40"/>
    <x v="6"/>
    <n v="15000"/>
    <s v="White"/>
    <x v="1"/>
    <x v="4"/>
  </r>
  <r>
    <n v="40"/>
    <x v="6"/>
    <n v="15000"/>
    <s v="White"/>
    <x v="0"/>
    <x v="4"/>
  </r>
  <r>
    <n v="40"/>
    <x v="6"/>
    <n v="15000"/>
    <s v="White"/>
    <x v="1"/>
    <x v="4"/>
  </r>
  <r>
    <n v="40"/>
    <x v="6"/>
    <n v="15340"/>
    <s v="Black"/>
    <x v="1"/>
    <x v="4"/>
  </r>
  <r>
    <n v="40"/>
    <x v="6"/>
    <n v="15600"/>
    <s v="White"/>
    <x v="1"/>
    <x v="4"/>
  </r>
  <r>
    <n v="50"/>
    <x v="6"/>
    <n v="15611"/>
    <s v="White"/>
    <x v="1"/>
    <x v="4"/>
  </r>
  <r>
    <n v="40"/>
    <x v="6"/>
    <n v="15960"/>
    <s v="White"/>
    <x v="0"/>
    <x v="4"/>
  </r>
  <r>
    <n v="40"/>
    <x v="6"/>
    <n v="16000"/>
    <s v="Black"/>
    <x v="1"/>
    <x v="4"/>
  </r>
  <r>
    <n v="40"/>
    <x v="6"/>
    <n v="16040"/>
    <s v="Black"/>
    <x v="0"/>
    <x v="4"/>
  </r>
  <r>
    <n v="40"/>
    <x v="6"/>
    <n v="17000"/>
    <s v="Black"/>
    <x v="0"/>
    <x v="4"/>
  </r>
  <r>
    <n v="50"/>
    <x v="6"/>
    <n v="17000"/>
    <s v="White"/>
    <x v="1"/>
    <x v="4"/>
  </r>
  <r>
    <n v="40"/>
    <x v="6"/>
    <n v="17264"/>
    <s v="White"/>
    <x v="0"/>
    <x v="4"/>
  </r>
  <r>
    <n v="40"/>
    <x v="6"/>
    <n v="17472"/>
    <s v="AsianPI"/>
    <x v="1"/>
    <x v="4"/>
  </r>
  <r>
    <n v="40"/>
    <x v="6"/>
    <n v="18000"/>
    <s v="White"/>
    <x v="0"/>
    <x v="4"/>
  </r>
  <r>
    <n v="40"/>
    <x v="6"/>
    <n v="18000"/>
    <s v="Black"/>
    <x v="0"/>
    <x v="4"/>
  </r>
  <r>
    <n v="40"/>
    <x v="6"/>
    <n v="18000"/>
    <s v="White"/>
    <x v="1"/>
    <x v="4"/>
  </r>
  <r>
    <n v="55"/>
    <x v="6"/>
    <n v="18000"/>
    <s v="White"/>
    <x v="0"/>
    <x v="4"/>
  </r>
  <r>
    <n v="40"/>
    <x v="6"/>
    <n v="18720"/>
    <s v="White"/>
    <x v="1"/>
    <x v="4"/>
  </r>
  <r>
    <n v="40"/>
    <x v="6"/>
    <n v="19000"/>
    <s v="IndEsk"/>
    <x v="0"/>
    <x v="4"/>
  </r>
  <r>
    <n v="40"/>
    <x v="6"/>
    <n v="19000"/>
    <s v="Black"/>
    <x v="0"/>
    <x v="4"/>
  </r>
  <r>
    <n v="40"/>
    <x v="6"/>
    <n v="19019"/>
    <s v="White"/>
    <x v="1"/>
    <x v="4"/>
  </r>
  <r>
    <n v="40"/>
    <x v="6"/>
    <n v="20000"/>
    <s v="White"/>
    <x v="1"/>
    <x v="4"/>
  </r>
  <r>
    <n v="40"/>
    <x v="6"/>
    <n v="20000"/>
    <s v="White"/>
    <x v="1"/>
    <x v="4"/>
  </r>
  <r>
    <n v="40"/>
    <x v="6"/>
    <n v="20000"/>
    <s v="Black"/>
    <x v="1"/>
    <x v="4"/>
  </r>
  <r>
    <n v="43"/>
    <x v="6"/>
    <n v="20000"/>
    <s v="Black"/>
    <x v="0"/>
    <x v="4"/>
  </r>
  <r>
    <n v="40"/>
    <x v="6"/>
    <n v="20000"/>
    <s v="White"/>
    <x v="0"/>
    <x v="4"/>
  </r>
  <r>
    <n v="50"/>
    <x v="6"/>
    <n v="20000"/>
    <s v="Black"/>
    <x v="1"/>
    <x v="4"/>
  </r>
  <r>
    <n v="40"/>
    <x v="6"/>
    <n v="20000"/>
    <s v="White"/>
    <x v="1"/>
    <x v="4"/>
  </r>
  <r>
    <n v="80"/>
    <x v="6"/>
    <n v="20000"/>
    <s v="White"/>
    <x v="1"/>
    <x v="4"/>
  </r>
  <r>
    <n v="40"/>
    <x v="6"/>
    <n v="20800"/>
    <s v="White"/>
    <x v="0"/>
    <x v="4"/>
  </r>
  <r>
    <n v="36"/>
    <x v="6"/>
    <n v="21000"/>
    <s v="White"/>
    <x v="1"/>
    <x v="4"/>
  </r>
  <r>
    <n v="40"/>
    <x v="6"/>
    <n v="21526"/>
    <s v="White"/>
    <x v="0"/>
    <x v="4"/>
  </r>
  <r>
    <n v="40"/>
    <x v="6"/>
    <n v="22000"/>
    <s v="White"/>
    <x v="0"/>
    <x v="4"/>
  </r>
  <r>
    <n v="40"/>
    <x v="6"/>
    <n v="22620"/>
    <s v="White"/>
    <x v="1"/>
    <x v="4"/>
  </r>
  <r>
    <n v="40"/>
    <x v="6"/>
    <n v="22620"/>
    <s v="White"/>
    <x v="1"/>
    <x v="4"/>
  </r>
  <r>
    <n v="40"/>
    <x v="6"/>
    <n v="23000"/>
    <s v="White"/>
    <x v="0"/>
    <x v="4"/>
  </r>
  <r>
    <n v="40"/>
    <x v="6"/>
    <n v="23000"/>
    <s v="Black"/>
    <x v="1"/>
    <x v="4"/>
  </r>
  <r>
    <n v="0"/>
    <x v="6"/>
    <n v="23400"/>
    <s v="White"/>
    <x v="0"/>
    <x v="4"/>
  </r>
  <r>
    <n v="40"/>
    <x v="6"/>
    <n v="24000"/>
    <s v="White"/>
    <x v="1"/>
    <x v="4"/>
  </r>
  <r>
    <n v="42"/>
    <x v="6"/>
    <n v="24000"/>
    <s v="White"/>
    <x v="1"/>
    <x v="4"/>
  </r>
  <r>
    <n v="48"/>
    <x v="6"/>
    <n v="24000"/>
    <s v="White"/>
    <x v="0"/>
    <x v="4"/>
  </r>
  <r>
    <n v="0"/>
    <x v="6"/>
    <n v="24960"/>
    <s v="White"/>
    <x v="1"/>
    <x v="4"/>
  </r>
  <r>
    <n v="50"/>
    <x v="6"/>
    <n v="25000"/>
    <s v="White"/>
    <x v="1"/>
    <x v="4"/>
  </r>
  <r>
    <n v="40"/>
    <x v="6"/>
    <n v="25000"/>
    <s v="Black"/>
    <x v="1"/>
    <x v="4"/>
  </r>
  <r>
    <n v="40"/>
    <x v="6"/>
    <n v="25000"/>
    <s v="White"/>
    <x v="1"/>
    <x v="4"/>
  </r>
  <r>
    <n v="40"/>
    <x v="6"/>
    <n v="25000"/>
    <s v="White"/>
    <x v="1"/>
    <x v="4"/>
  </r>
  <r>
    <n v="40"/>
    <x v="6"/>
    <n v="25082"/>
    <s v="White"/>
    <x v="1"/>
    <x v="4"/>
  </r>
  <r>
    <n v="40"/>
    <x v="6"/>
    <n v="26000"/>
    <s v="White"/>
    <x v="0"/>
    <x v="4"/>
  </r>
  <r>
    <n v="40"/>
    <x v="6"/>
    <n v="26000"/>
    <s v="White"/>
    <x v="0"/>
    <x v="4"/>
  </r>
  <r>
    <n v="40"/>
    <x v="6"/>
    <n v="26000"/>
    <s v="White"/>
    <x v="1"/>
    <x v="4"/>
  </r>
  <r>
    <n v="35"/>
    <x v="6"/>
    <n v="26000"/>
    <s v="White"/>
    <x v="0"/>
    <x v="4"/>
  </r>
  <r>
    <n v="40"/>
    <x v="6"/>
    <n v="28000"/>
    <s v="AsianPI"/>
    <x v="0"/>
    <x v="4"/>
  </r>
  <r>
    <n v="40"/>
    <x v="6"/>
    <n v="28000"/>
    <s v="White"/>
    <x v="1"/>
    <x v="4"/>
  </r>
  <r>
    <n v="40"/>
    <x v="6"/>
    <n v="28000"/>
    <s v="White"/>
    <x v="1"/>
    <x v="4"/>
  </r>
  <r>
    <n v="40"/>
    <x v="6"/>
    <n v="28000"/>
    <s v="Black"/>
    <x v="1"/>
    <x v="4"/>
  </r>
  <r>
    <n v="40"/>
    <x v="6"/>
    <n v="28000"/>
    <s v="White"/>
    <x v="0"/>
    <x v="4"/>
  </r>
  <r>
    <n v="55"/>
    <x v="6"/>
    <n v="28000"/>
    <s v="White"/>
    <x v="1"/>
    <x v="4"/>
  </r>
  <r>
    <n v="40"/>
    <x v="6"/>
    <n v="28600"/>
    <s v="White"/>
    <x v="1"/>
    <x v="4"/>
  </r>
  <r>
    <n v="40"/>
    <x v="6"/>
    <n v="28750"/>
    <s v="White"/>
    <x v="1"/>
    <x v="4"/>
  </r>
  <r>
    <n v="40"/>
    <x v="6"/>
    <n v="30000"/>
    <s v="White"/>
    <x v="1"/>
    <x v="4"/>
  </r>
  <r>
    <n v="50"/>
    <x v="6"/>
    <n v="30000"/>
    <s v="White"/>
    <x v="1"/>
    <x v="4"/>
  </r>
  <r>
    <n v="50"/>
    <x v="6"/>
    <n v="30000"/>
    <s v="White"/>
    <x v="0"/>
    <x v="4"/>
  </r>
  <r>
    <n v="45"/>
    <x v="6"/>
    <n v="30000"/>
    <s v="White"/>
    <x v="1"/>
    <x v="4"/>
  </r>
  <r>
    <n v="40"/>
    <x v="6"/>
    <n v="30000"/>
    <s v="White"/>
    <x v="1"/>
    <x v="4"/>
  </r>
  <r>
    <n v="40"/>
    <x v="6"/>
    <n v="30000"/>
    <s v="White"/>
    <x v="1"/>
    <x v="4"/>
  </r>
  <r>
    <n v="50"/>
    <x v="6"/>
    <n v="30800"/>
    <s v="White"/>
    <x v="0"/>
    <x v="4"/>
  </r>
  <r>
    <n v="44"/>
    <x v="6"/>
    <n v="31376"/>
    <s v="White"/>
    <x v="1"/>
    <x v="4"/>
  </r>
  <r>
    <n v="40"/>
    <x v="6"/>
    <n v="33235"/>
    <s v="Black"/>
    <x v="1"/>
    <x v="4"/>
  </r>
  <r>
    <n v="0"/>
    <x v="6"/>
    <n v="34400"/>
    <s v="White"/>
    <x v="0"/>
    <x v="4"/>
  </r>
  <r>
    <n v="50"/>
    <x v="6"/>
    <n v="35000"/>
    <s v="White"/>
    <x v="1"/>
    <x v="4"/>
  </r>
  <r>
    <n v="40"/>
    <x v="6"/>
    <n v="35000"/>
    <s v="IndEsk"/>
    <x v="1"/>
    <x v="4"/>
  </r>
  <r>
    <n v="40"/>
    <x v="6"/>
    <n v="36000"/>
    <s v="White"/>
    <x v="1"/>
    <x v="4"/>
  </r>
  <r>
    <n v="50"/>
    <x v="6"/>
    <n v="37000"/>
    <s v="White"/>
    <x v="1"/>
    <x v="4"/>
  </r>
  <r>
    <n v="55"/>
    <x v="6"/>
    <n v="37000"/>
    <s v="White"/>
    <x v="1"/>
    <x v="4"/>
  </r>
  <r>
    <n v="35"/>
    <x v="6"/>
    <n v="37000"/>
    <s v="White"/>
    <x v="1"/>
    <x v="4"/>
  </r>
  <r>
    <n v="40"/>
    <x v="6"/>
    <n v="38000"/>
    <s v="White"/>
    <x v="1"/>
    <x v="4"/>
  </r>
  <r>
    <n v="0"/>
    <x v="6"/>
    <n v="38000"/>
    <s v="White"/>
    <x v="1"/>
    <x v="4"/>
  </r>
  <r>
    <n v="40"/>
    <x v="6"/>
    <n v="38000"/>
    <s v="White"/>
    <x v="1"/>
    <x v="4"/>
  </r>
  <r>
    <n v="45"/>
    <x v="6"/>
    <n v="38600"/>
    <s v="White"/>
    <x v="1"/>
    <x v="4"/>
  </r>
  <r>
    <n v="40"/>
    <x v="6"/>
    <n v="40000"/>
    <s v="Black"/>
    <x v="1"/>
    <x v="4"/>
  </r>
  <r>
    <n v="45"/>
    <x v="6"/>
    <n v="40000"/>
    <s v="White"/>
    <x v="1"/>
    <x v="4"/>
  </r>
  <r>
    <n v="40"/>
    <x v="6"/>
    <n v="42000"/>
    <s v="Black"/>
    <x v="0"/>
    <x v="4"/>
  </r>
  <r>
    <n v="50"/>
    <x v="6"/>
    <n v="43000"/>
    <s v="White"/>
    <x v="1"/>
    <x v="4"/>
  </r>
  <r>
    <n v="52"/>
    <x v="6"/>
    <n v="45000"/>
    <s v="White"/>
    <x v="0"/>
    <x v="4"/>
  </r>
  <r>
    <n v="40"/>
    <x v="6"/>
    <n v="47000"/>
    <s v="White"/>
    <x v="0"/>
    <x v="4"/>
  </r>
  <r>
    <n v="40"/>
    <x v="6"/>
    <n v="49537"/>
    <s v="White"/>
    <x v="1"/>
    <x v="4"/>
  </r>
  <r>
    <n v="0"/>
    <x v="6"/>
    <n v="50000"/>
    <s v="White"/>
    <x v="1"/>
    <x v="4"/>
  </r>
  <r>
    <n v="40"/>
    <x v="6"/>
    <n v="50000"/>
    <s v="White"/>
    <x v="1"/>
    <x v="4"/>
  </r>
  <r>
    <n v="70"/>
    <x v="6"/>
    <n v="54000"/>
    <s v="White"/>
    <x v="1"/>
    <x v="4"/>
  </r>
  <r>
    <n v="40"/>
    <x v="6"/>
    <n v="55000"/>
    <s v="White"/>
    <x v="1"/>
    <x v="4"/>
  </r>
  <r>
    <n v="40"/>
    <x v="6"/>
    <n v="56550"/>
    <s v="White"/>
    <x v="1"/>
    <x v="4"/>
  </r>
  <r>
    <n v="40"/>
    <x v="6"/>
    <n v="60600"/>
    <s v="White"/>
    <x v="1"/>
    <x v="4"/>
  </r>
  <r>
    <n v="40"/>
    <x v="6"/>
    <n v="70000"/>
    <s v="White"/>
    <x v="1"/>
    <x v="4"/>
  </r>
  <r>
    <n v="35"/>
    <x v="7"/>
    <n v="750"/>
    <s v="White"/>
    <x v="0"/>
    <x v="4"/>
  </r>
  <r>
    <n v="40"/>
    <x v="7"/>
    <n v="842"/>
    <s v="White"/>
    <x v="0"/>
    <x v="4"/>
  </r>
  <r>
    <n v="40"/>
    <x v="7"/>
    <n v="2000"/>
    <s v="White"/>
    <x v="0"/>
    <x v="4"/>
  </r>
  <r>
    <n v="40"/>
    <x v="7"/>
    <n v="2500"/>
    <s v="White"/>
    <x v="0"/>
    <x v="4"/>
  </r>
  <r>
    <n v="40"/>
    <x v="7"/>
    <n v="2500"/>
    <s v="White"/>
    <x v="0"/>
    <x v="4"/>
  </r>
  <r>
    <n v="60"/>
    <x v="7"/>
    <n v="3000"/>
    <s v="White"/>
    <x v="0"/>
    <x v="4"/>
  </r>
  <r>
    <n v="40"/>
    <x v="7"/>
    <n v="3200"/>
    <s v="White"/>
    <x v="1"/>
    <x v="4"/>
  </r>
  <r>
    <n v="36"/>
    <x v="7"/>
    <n v="5100"/>
    <s v="White"/>
    <x v="1"/>
    <x v="4"/>
  </r>
  <r>
    <n v="40"/>
    <x v="7"/>
    <n v="5500"/>
    <s v="White"/>
    <x v="0"/>
    <x v="4"/>
  </r>
  <r>
    <n v="40"/>
    <x v="7"/>
    <n v="6000"/>
    <s v="White"/>
    <x v="1"/>
    <x v="4"/>
  </r>
  <r>
    <n v="45"/>
    <x v="7"/>
    <n v="6000"/>
    <s v="White"/>
    <x v="1"/>
    <x v="4"/>
  </r>
  <r>
    <n v="40"/>
    <x v="7"/>
    <n v="6500"/>
    <s v="White"/>
    <x v="0"/>
    <x v="4"/>
  </r>
  <r>
    <n v="40"/>
    <x v="7"/>
    <n v="6600"/>
    <s v="White"/>
    <x v="1"/>
    <x v="4"/>
  </r>
  <r>
    <n v="40"/>
    <x v="7"/>
    <n v="7000"/>
    <s v="White"/>
    <x v="1"/>
    <x v="4"/>
  </r>
  <r>
    <n v="40"/>
    <x v="7"/>
    <n v="7670"/>
    <s v="Black"/>
    <x v="0"/>
    <x v="4"/>
  </r>
  <r>
    <n v="40"/>
    <x v="7"/>
    <n v="8000"/>
    <s v="White"/>
    <x v="0"/>
    <x v="4"/>
  </r>
  <r>
    <n v="40"/>
    <x v="7"/>
    <n v="9000"/>
    <s v="AsianPI"/>
    <x v="0"/>
    <x v="4"/>
  </r>
  <r>
    <n v="48"/>
    <x v="7"/>
    <n v="9000"/>
    <s v="White"/>
    <x v="0"/>
    <x v="4"/>
  </r>
  <r>
    <n v="40"/>
    <x v="7"/>
    <n v="9754"/>
    <s v="White"/>
    <x v="1"/>
    <x v="4"/>
  </r>
  <r>
    <n v="40"/>
    <x v="7"/>
    <n v="10000"/>
    <s v="White"/>
    <x v="1"/>
    <x v="4"/>
  </r>
  <r>
    <n v="40"/>
    <x v="7"/>
    <n v="10000"/>
    <s v="White"/>
    <x v="0"/>
    <x v="4"/>
  </r>
  <r>
    <n v="40"/>
    <x v="7"/>
    <n v="10000"/>
    <s v="Black"/>
    <x v="1"/>
    <x v="4"/>
  </r>
  <r>
    <n v="40"/>
    <x v="7"/>
    <n v="10400"/>
    <s v="Black"/>
    <x v="0"/>
    <x v="4"/>
  </r>
  <r>
    <n v="40"/>
    <x v="7"/>
    <n v="10400"/>
    <s v="White"/>
    <x v="0"/>
    <x v="4"/>
  </r>
  <r>
    <n v="35"/>
    <x v="7"/>
    <n v="11000"/>
    <s v="White"/>
    <x v="0"/>
    <x v="4"/>
  </r>
  <r>
    <n v="40"/>
    <x v="7"/>
    <n v="11000"/>
    <s v="White"/>
    <x v="1"/>
    <x v="4"/>
  </r>
  <r>
    <n v="0"/>
    <x v="7"/>
    <n v="11440"/>
    <s v="Black"/>
    <x v="1"/>
    <x v="4"/>
  </r>
  <r>
    <n v="40"/>
    <x v="7"/>
    <n v="12000"/>
    <s v="White"/>
    <x v="0"/>
    <x v="4"/>
  </r>
  <r>
    <n v="40"/>
    <x v="7"/>
    <n v="12000"/>
    <s v="White"/>
    <x v="1"/>
    <x v="4"/>
  </r>
  <r>
    <n v="0"/>
    <x v="7"/>
    <n v="12000"/>
    <s v="White"/>
    <x v="1"/>
    <x v="4"/>
  </r>
  <r>
    <n v="55"/>
    <x v="7"/>
    <n v="12000"/>
    <s v="White"/>
    <x v="1"/>
    <x v="4"/>
  </r>
  <r>
    <n v="40"/>
    <x v="7"/>
    <n v="12999"/>
    <s v="White"/>
    <x v="1"/>
    <x v="4"/>
  </r>
  <r>
    <n v="40"/>
    <x v="7"/>
    <n v="13000"/>
    <s v="White"/>
    <x v="0"/>
    <x v="4"/>
  </r>
  <r>
    <n v="39"/>
    <x v="7"/>
    <n v="13080"/>
    <s v="White"/>
    <x v="0"/>
    <x v="4"/>
  </r>
  <r>
    <n v="0"/>
    <x v="7"/>
    <n v="13600"/>
    <s v="White"/>
    <x v="1"/>
    <x v="4"/>
  </r>
  <r>
    <n v="40"/>
    <x v="7"/>
    <n v="14000"/>
    <s v="Black"/>
    <x v="0"/>
    <x v="4"/>
  </r>
  <r>
    <n v="40"/>
    <x v="7"/>
    <n v="14000"/>
    <s v="White"/>
    <x v="0"/>
    <x v="4"/>
  </r>
  <r>
    <n v="40"/>
    <x v="7"/>
    <n v="14200"/>
    <s v="White"/>
    <x v="1"/>
    <x v="4"/>
  </r>
  <r>
    <n v="40"/>
    <x v="7"/>
    <n v="14200"/>
    <s v="White"/>
    <x v="1"/>
    <x v="4"/>
  </r>
  <r>
    <n v="40"/>
    <x v="7"/>
    <n v="14248"/>
    <s v="Black"/>
    <x v="0"/>
    <x v="4"/>
  </r>
  <r>
    <n v="40"/>
    <x v="7"/>
    <n v="14560"/>
    <s v="White"/>
    <x v="0"/>
    <x v="4"/>
  </r>
  <r>
    <n v="40"/>
    <x v="7"/>
    <n v="15000"/>
    <s v="White"/>
    <x v="0"/>
    <x v="4"/>
  </r>
  <r>
    <n v="40"/>
    <x v="7"/>
    <n v="15000"/>
    <s v="Black"/>
    <x v="1"/>
    <x v="4"/>
  </r>
  <r>
    <n v="40"/>
    <x v="7"/>
    <n v="15000"/>
    <s v="White"/>
    <x v="1"/>
    <x v="4"/>
  </r>
  <r>
    <n v="36"/>
    <x v="7"/>
    <n v="15360"/>
    <s v="White"/>
    <x v="1"/>
    <x v="4"/>
  </r>
  <r>
    <n v="40"/>
    <x v="7"/>
    <n v="16422"/>
    <s v="White"/>
    <x v="0"/>
    <x v="4"/>
  </r>
  <r>
    <n v="40"/>
    <x v="7"/>
    <n v="16640"/>
    <s v="White"/>
    <x v="0"/>
    <x v="4"/>
  </r>
  <r>
    <n v="0"/>
    <x v="7"/>
    <n v="17000"/>
    <s v="White"/>
    <x v="1"/>
    <x v="4"/>
  </r>
  <r>
    <n v="40"/>
    <x v="7"/>
    <n v="17000"/>
    <s v="Black"/>
    <x v="0"/>
    <x v="4"/>
  </r>
  <r>
    <n v="45"/>
    <x v="7"/>
    <n v="17000"/>
    <s v="White"/>
    <x v="1"/>
    <x v="4"/>
  </r>
  <r>
    <n v="55"/>
    <x v="7"/>
    <n v="17500"/>
    <s v="White"/>
    <x v="0"/>
    <x v="4"/>
  </r>
  <r>
    <n v="40"/>
    <x v="7"/>
    <n v="17900"/>
    <s v="White"/>
    <x v="0"/>
    <x v="4"/>
  </r>
  <r>
    <n v="0"/>
    <x v="7"/>
    <n v="18000"/>
    <s v="White"/>
    <x v="0"/>
    <x v="4"/>
  </r>
  <r>
    <n v="50"/>
    <x v="7"/>
    <n v="18000"/>
    <s v="White"/>
    <x v="1"/>
    <x v="4"/>
  </r>
  <r>
    <n v="40"/>
    <x v="7"/>
    <n v="18000"/>
    <s v="Black"/>
    <x v="1"/>
    <x v="4"/>
  </r>
  <r>
    <n v="40"/>
    <x v="7"/>
    <n v="18000"/>
    <s v="White"/>
    <x v="0"/>
    <x v="4"/>
  </r>
  <r>
    <n v="40"/>
    <x v="7"/>
    <n v="18000"/>
    <s v="White"/>
    <x v="1"/>
    <x v="4"/>
  </r>
  <r>
    <n v="40"/>
    <x v="7"/>
    <n v="18200"/>
    <s v="White"/>
    <x v="0"/>
    <x v="4"/>
  </r>
  <r>
    <n v="40"/>
    <x v="7"/>
    <n v="18720"/>
    <s v="White"/>
    <x v="1"/>
    <x v="4"/>
  </r>
  <r>
    <n v="40"/>
    <x v="7"/>
    <n v="18800"/>
    <s v="White"/>
    <x v="0"/>
    <x v="4"/>
  </r>
  <r>
    <n v="40"/>
    <x v="7"/>
    <n v="19000"/>
    <s v="White"/>
    <x v="1"/>
    <x v="4"/>
  </r>
  <r>
    <n v="52"/>
    <x v="7"/>
    <n v="19980"/>
    <s v="White"/>
    <x v="1"/>
    <x v="4"/>
  </r>
  <r>
    <n v="40"/>
    <x v="7"/>
    <n v="20000"/>
    <s v="White"/>
    <x v="0"/>
    <x v="4"/>
  </r>
  <r>
    <n v="40"/>
    <x v="7"/>
    <n v="20000"/>
    <s v="White"/>
    <x v="1"/>
    <x v="4"/>
  </r>
  <r>
    <n v="35"/>
    <x v="7"/>
    <n v="20000"/>
    <s v="White"/>
    <x v="1"/>
    <x v="4"/>
  </r>
  <r>
    <n v="45"/>
    <x v="7"/>
    <n v="21000"/>
    <s v="White"/>
    <x v="0"/>
    <x v="4"/>
  </r>
  <r>
    <n v="40"/>
    <x v="7"/>
    <n v="21000"/>
    <s v="White"/>
    <x v="1"/>
    <x v="4"/>
  </r>
  <r>
    <n v="48"/>
    <x v="7"/>
    <n v="21600"/>
    <s v="White"/>
    <x v="1"/>
    <x v="4"/>
  </r>
  <r>
    <n v="50"/>
    <x v="7"/>
    <n v="22000"/>
    <s v="White"/>
    <x v="1"/>
    <x v="4"/>
  </r>
  <r>
    <n v="40"/>
    <x v="7"/>
    <n v="22000"/>
    <s v="White"/>
    <x v="1"/>
    <x v="4"/>
  </r>
  <r>
    <n v="40"/>
    <x v="7"/>
    <n v="22100"/>
    <s v="White"/>
    <x v="1"/>
    <x v="4"/>
  </r>
  <r>
    <n v="40"/>
    <x v="7"/>
    <n v="23000"/>
    <s v="IndEsk"/>
    <x v="0"/>
    <x v="4"/>
  </r>
  <r>
    <n v="40"/>
    <x v="7"/>
    <n v="23000"/>
    <s v="White"/>
    <x v="1"/>
    <x v="4"/>
  </r>
  <r>
    <n v="0"/>
    <x v="7"/>
    <n v="23000"/>
    <s v="White"/>
    <x v="1"/>
    <x v="4"/>
  </r>
  <r>
    <n v="50"/>
    <x v="7"/>
    <n v="24000"/>
    <s v="White"/>
    <x v="1"/>
    <x v="4"/>
  </r>
  <r>
    <n v="55"/>
    <x v="7"/>
    <n v="24000"/>
    <s v="White"/>
    <x v="1"/>
    <x v="4"/>
  </r>
  <r>
    <n v="40"/>
    <x v="7"/>
    <n v="24400"/>
    <s v="White"/>
    <x v="1"/>
    <x v="4"/>
  </r>
  <r>
    <n v="40"/>
    <x v="7"/>
    <n v="25000"/>
    <s v="Black"/>
    <x v="1"/>
    <x v="4"/>
  </r>
  <r>
    <n v="48"/>
    <x v="7"/>
    <n v="25000"/>
    <s v="White"/>
    <x v="1"/>
    <x v="4"/>
  </r>
  <r>
    <n v="50"/>
    <x v="7"/>
    <n v="25000"/>
    <s v="White"/>
    <x v="1"/>
    <x v="4"/>
  </r>
  <r>
    <n v="40"/>
    <x v="7"/>
    <n v="25000"/>
    <s v="White"/>
    <x v="0"/>
    <x v="4"/>
  </r>
  <r>
    <n v="40"/>
    <x v="7"/>
    <n v="25000"/>
    <s v="White"/>
    <x v="1"/>
    <x v="4"/>
  </r>
  <r>
    <n v="40"/>
    <x v="7"/>
    <n v="27200"/>
    <s v="White"/>
    <x v="1"/>
    <x v="4"/>
  </r>
  <r>
    <n v="0"/>
    <x v="7"/>
    <n v="27900"/>
    <s v="White"/>
    <x v="1"/>
    <x v="4"/>
  </r>
  <r>
    <n v="40"/>
    <x v="7"/>
    <n v="28000"/>
    <s v="White"/>
    <x v="1"/>
    <x v="4"/>
  </r>
  <r>
    <n v="55"/>
    <x v="7"/>
    <n v="28500"/>
    <s v="White"/>
    <x v="1"/>
    <x v="4"/>
  </r>
  <r>
    <n v="40"/>
    <x v="7"/>
    <n v="28800"/>
    <s v="White"/>
    <x v="1"/>
    <x v="4"/>
  </r>
  <r>
    <n v="40"/>
    <x v="7"/>
    <n v="30000"/>
    <s v="White"/>
    <x v="1"/>
    <x v="4"/>
  </r>
  <r>
    <n v="0"/>
    <x v="7"/>
    <n v="30000"/>
    <s v="White"/>
    <x v="1"/>
    <x v="4"/>
  </r>
  <r>
    <n v="40"/>
    <x v="7"/>
    <n v="30000"/>
    <s v="White"/>
    <x v="1"/>
    <x v="4"/>
  </r>
  <r>
    <n v="40"/>
    <x v="7"/>
    <n v="30000"/>
    <s v="White"/>
    <x v="1"/>
    <x v="4"/>
  </r>
  <r>
    <n v="50"/>
    <x v="7"/>
    <n v="30000"/>
    <s v="White"/>
    <x v="1"/>
    <x v="4"/>
  </r>
  <r>
    <n v="50"/>
    <x v="7"/>
    <n v="31000"/>
    <s v="White"/>
    <x v="1"/>
    <x v="4"/>
  </r>
  <r>
    <n v="40"/>
    <x v="7"/>
    <n v="31169"/>
    <s v="White"/>
    <x v="1"/>
    <x v="4"/>
  </r>
  <r>
    <n v="40"/>
    <x v="7"/>
    <n v="31200"/>
    <s v="Black"/>
    <x v="0"/>
    <x v="4"/>
  </r>
  <r>
    <n v="40"/>
    <x v="7"/>
    <n v="31200"/>
    <s v="White"/>
    <x v="0"/>
    <x v="4"/>
  </r>
  <r>
    <n v="72"/>
    <x v="7"/>
    <n v="32000"/>
    <s v="White"/>
    <x v="1"/>
    <x v="4"/>
  </r>
  <r>
    <n v="75"/>
    <x v="7"/>
    <n v="32479"/>
    <s v="White"/>
    <x v="1"/>
    <x v="4"/>
  </r>
  <r>
    <n v="40"/>
    <x v="7"/>
    <n v="33000"/>
    <s v="White"/>
    <x v="1"/>
    <x v="4"/>
  </r>
  <r>
    <n v="45"/>
    <x v="7"/>
    <n v="33000"/>
    <s v="White"/>
    <x v="1"/>
    <x v="4"/>
  </r>
  <r>
    <n v="60"/>
    <x v="7"/>
    <n v="34000"/>
    <s v="IndEsk"/>
    <x v="1"/>
    <x v="4"/>
  </r>
  <r>
    <n v="40"/>
    <x v="7"/>
    <n v="34000"/>
    <s v="Black"/>
    <x v="1"/>
    <x v="4"/>
  </r>
  <r>
    <n v="35"/>
    <x v="7"/>
    <n v="35000"/>
    <s v="White"/>
    <x v="1"/>
    <x v="4"/>
  </r>
  <r>
    <n v="40"/>
    <x v="7"/>
    <n v="35000"/>
    <s v="White"/>
    <x v="1"/>
    <x v="4"/>
  </r>
  <r>
    <n v="40"/>
    <x v="7"/>
    <n v="35000"/>
    <s v="White"/>
    <x v="1"/>
    <x v="4"/>
  </r>
  <r>
    <n v="40"/>
    <x v="7"/>
    <n v="36000"/>
    <s v="White"/>
    <x v="1"/>
    <x v="4"/>
  </r>
  <r>
    <n v="40"/>
    <x v="7"/>
    <n v="38000"/>
    <s v="White"/>
    <x v="1"/>
    <x v="4"/>
  </r>
  <r>
    <n v="40"/>
    <x v="7"/>
    <n v="38000"/>
    <s v="White"/>
    <x v="1"/>
    <x v="4"/>
  </r>
  <r>
    <n v="40"/>
    <x v="7"/>
    <n v="40000"/>
    <s v="White"/>
    <x v="0"/>
    <x v="4"/>
  </r>
  <r>
    <n v="40"/>
    <x v="7"/>
    <n v="40000"/>
    <s v="White"/>
    <x v="1"/>
    <x v="4"/>
  </r>
  <r>
    <n v="65"/>
    <x v="7"/>
    <n v="40000"/>
    <s v="IndEsk"/>
    <x v="1"/>
    <x v="4"/>
  </r>
  <r>
    <n v="40"/>
    <x v="7"/>
    <n v="40000"/>
    <s v="White"/>
    <x v="1"/>
    <x v="4"/>
  </r>
  <r>
    <n v="50"/>
    <x v="7"/>
    <n v="45000"/>
    <s v="White"/>
    <x v="1"/>
    <x v="4"/>
  </r>
  <r>
    <n v="35"/>
    <x v="7"/>
    <n v="51500"/>
    <s v="White"/>
    <x v="1"/>
    <x v="4"/>
  </r>
  <r>
    <n v="50"/>
    <x v="7"/>
    <n v="55000"/>
    <s v="White"/>
    <x v="1"/>
    <x v="4"/>
  </r>
  <r>
    <n v="40"/>
    <x v="7"/>
    <n v="64000"/>
    <s v="White"/>
    <x v="1"/>
    <x v="4"/>
  </r>
  <r>
    <n v="40"/>
    <x v="7"/>
    <n v="77005"/>
    <s v="White"/>
    <x v="1"/>
    <x v="4"/>
  </r>
  <r>
    <n v="35"/>
    <x v="7"/>
    <n v="94000"/>
    <s v="White"/>
    <x v="1"/>
    <x v="4"/>
  </r>
  <r>
    <n v="40"/>
    <x v="8"/>
    <n v="412"/>
    <s v="Black"/>
    <x v="1"/>
    <x v="4"/>
  </r>
  <r>
    <n v="0"/>
    <x v="8"/>
    <n v="3000"/>
    <s v="White"/>
    <x v="1"/>
    <x v="4"/>
  </r>
  <r>
    <n v="45"/>
    <x v="8"/>
    <n v="4000"/>
    <s v="White"/>
    <x v="1"/>
    <x v="4"/>
  </r>
  <r>
    <n v="50"/>
    <x v="8"/>
    <n v="8000"/>
    <s v="White"/>
    <x v="0"/>
    <x v="4"/>
  </r>
  <r>
    <n v="40"/>
    <x v="8"/>
    <n v="9000"/>
    <s v="White"/>
    <x v="0"/>
    <x v="4"/>
  </r>
  <r>
    <n v="35"/>
    <x v="8"/>
    <n v="9079"/>
    <s v="White"/>
    <x v="0"/>
    <x v="4"/>
  </r>
  <r>
    <n v="40"/>
    <x v="8"/>
    <n v="10000"/>
    <s v="White"/>
    <x v="0"/>
    <x v="4"/>
  </r>
  <r>
    <n v="38"/>
    <x v="8"/>
    <n v="11000"/>
    <s v="White"/>
    <x v="0"/>
    <x v="4"/>
  </r>
  <r>
    <n v="38"/>
    <x v="8"/>
    <n v="11000"/>
    <s v="White"/>
    <x v="0"/>
    <x v="4"/>
  </r>
  <r>
    <n v="45"/>
    <x v="8"/>
    <n v="11000"/>
    <s v="Black"/>
    <x v="0"/>
    <x v="4"/>
  </r>
  <r>
    <n v="40"/>
    <x v="8"/>
    <n v="11250"/>
    <s v="White"/>
    <x v="1"/>
    <x v="4"/>
  </r>
  <r>
    <n v="40"/>
    <x v="8"/>
    <n v="12000"/>
    <s v="White"/>
    <x v="1"/>
    <x v="4"/>
  </r>
  <r>
    <n v="40"/>
    <x v="8"/>
    <n v="12000"/>
    <s v="White"/>
    <x v="0"/>
    <x v="4"/>
  </r>
  <r>
    <n v="40"/>
    <x v="8"/>
    <n v="12480"/>
    <s v="White"/>
    <x v="1"/>
    <x v="4"/>
  </r>
  <r>
    <n v="38"/>
    <x v="8"/>
    <n v="12500"/>
    <s v="White"/>
    <x v="0"/>
    <x v="4"/>
  </r>
  <r>
    <n v="40"/>
    <x v="8"/>
    <n v="12500"/>
    <s v="White"/>
    <x v="0"/>
    <x v="4"/>
  </r>
  <r>
    <n v="40"/>
    <x v="8"/>
    <n v="13000"/>
    <s v="White"/>
    <x v="1"/>
    <x v="4"/>
  </r>
  <r>
    <n v="40"/>
    <x v="8"/>
    <n v="13520"/>
    <s v="AsianPI"/>
    <x v="1"/>
    <x v="4"/>
  </r>
  <r>
    <n v="40"/>
    <x v="8"/>
    <n v="14000"/>
    <s v="White"/>
    <x v="1"/>
    <x v="4"/>
  </r>
  <r>
    <n v="40"/>
    <x v="8"/>
    <n v="14700"/>
    <s v="Black"/>
    <x v="1"/>
    <x v="4"/>
  </r>
  <r>
    <n v="40"/>
    <x v="8"/>
    <n v="15000"/>
    <s v="White"/>
    <x v="1"/>
    <x v="4"/>
  </r>
  <r>
    <n v="40"/>
    <x v="8"/>
    <n v="15400"/>
    <s v="AsianPI"/>
    <x v="1"/>
    <x v="4"/>
  </r>
  <r>
    <n v="40"/>
    <x v="8"/>
    <n v="15600"/>
    <s v="White"/>
    <x v="0"/>
    <x v="4"/>
  </r>
  <r>
    <n v="40"/>
    <x v="8"/>
    <n v="15600"/>
    <s v="White"/>
    <x v="1"/>
    <x v="4"/>
  </r>
  <r>
    <n v="40"/>
    <x v="8"/>
    <n v="16640"/>
    <s v="White"/>
    <x v="1"/>
    <x v="4"/>
  </r>
  <r>
    <n v="40"/>
    <x v="8"/>
    <n v="17850"/>
    <s v="White"/>
    <x v="1"/>
    <x v="4"/>
  </r>
  <r>
    <n v="40"/>
    <x v="8"/>
    <n v="18000"/>
    <s v="Black"/>
    <x v="0"/>
    <x v="4"/>
  </r>
  <r>
    <n v="47"/>
    <x v="8"/>
    <n v="18000"/>
    <s v="White"/>
    <x v="0"/>
    <x v="4"/>
  </r>
  <r>
    <n v="40"/>
    <x v="8"/>
    <n v="18000"/>
    <s v="White"/>
    <x v="0"/>
    <x v="4"/>
  </r>
  <r>
    <n v="40"/>
    <x v="8"/>
    <n v="18300"/>
    <s v="White"/>
    <x v="1"/>
    <x v="4"/>
  </r>
  <r>
    <n v="40"/>
    <x v="8"/>
    <n v="20000"/>
    <s v="White"/>
    <x v="1"/>
    <x v="4"/>
  </r>
  <r>
    <n v="40"/>
    <x v="8"/>
    <n v="22000"/>
    <s v="White"/>
    <x v="0"/>
    <x v="4"/>
  </r>
  <r>
    <n v="40"/>
    <x v="8"/>
    <n v="22000"/>
    <s v="White"/>
    <x v="0"/>
    <x v="4"/>
  </r>
  <r>
    <n v="40"/>
    <x v="8"/>
    <n v="23000"/>
    <s v="White"/>
    <x v="1"/>
    <x v="4"/>
  </r>
  <r>
    <n v="40"/>
    <x v="8"/>
    <n v="26000"/>
    <s v="White"/>
    <x v="0"/>
    <x v="4"/>
  </r>
  <r>
    <n v="40"/>
    <x v="8"/>
    <n v="27000"/>
    <s v="White"/>
    <x v="0"/>
    <x v="4"/>
  </r>
  <r>
    <n v="60"/>
    <x v="8"/>
    <n v="29000"/>
    <s v="White"/>
    <x v="1"/>
    <x v="4"/>
  </r>
  <r>
    <n v="40"/>
    <x v="8"/>
    <n v="32000"/>
    <s v="White"/>
    <x v="1"/>
    <x v="4"/>
  </r>
  <r>
    <n v="40"/>
    <x v="8"/>
    <n v="35000"/>
    <s v="White"/>
    <x v="1"/>
    <x v="4"/>
  </r>
  <r>
    <n v="40"/>
    <x v="8"/>
    <n v="40631"/>
    <s v="White"/>
    <x v="1"/>
    <x v="4"/>
  </r>
  <r>
    <n v="40"/>
    <x v="8"/>
    <n v="41000"/>
    <s v="White"/>
    <x v="1"/>
    <x v="4"/>
  </r>
  <r>
    <n v="40"/>
    <x v="8"/>
    <n v="44000"/>
    <s v="White"/>
    <x v="1"/>
    <x v="4"/>
  </r>
  <r>
    <n v="55"/>
    <x v="8"/>
    <n v="45000"/>
    <s v="White"/>
    <x v="1"/>
    <x v="4"/>
  </r>
  <r>
    <n v="40"/>
    <x v="8"/>
    <n v="56000"/>
    <s v="White"/>
    <x v="1"/>
    <x v="4"/>
  </r>
  <r>
    <n v="40"/>
    <x v="8"/>
    <n v="60000"/>
    <s v="White"/>
    <x v="1"/>
    <x v="4"/>
  </r>
  <r>
    <n v="40"/>
    <x v="8"/>
    <n v="306731"/>
    <s v="White"/>
    <x v="1"/>
    <x v="4"/>
  </r>
  <r>
    <n v="40"/>
    <x v="9"/>
    <n v="2000"/>
    <s v="White"/>
    <x v="1"/>
    <x v="4"/>
  </r>
  <r>
    <n v="47"/>
    <x v="9"/>
    <n v="2000"/>
    <s v="White"/>
    <x v="0"/>
    <x v="4"/>
  </r>
  <r>
    <n v="50"/>
    <x v="9"/>
    <n v="2500"/>
    <s v="White"/>
    <x v="1"/>
    <x v="4"/>
  </r>
  <r>
    <n v="40"/>
    <x v="9"/>
    <n v="3000"/>
    <s v="White"/>
    <x v="0"/>
    <x v="4"/>
  </r>
  <r>
    <n v="48"/>
    <x v="9"/>
    <n v="3000"/>
    <s v="White"/>
    <x v="1"/>
    <x v="4"/>
  </r>
  <r>
    <n v="40"/>
    <x v="9"/>
    <n v="3500"/>
    <s v="White"/>
    <x v="0"/>
    <x v="4"/>
  </r>
  <r>
    <n v="35"/>
    <x v="9"/>
    <n v="3600"/>
    <s v="White"/>
    <x v="0"/>
    <x v="4"/>
  </r>
  <r>
    <n v="48"/>
    <x v="9"/>
    <n v="4500"/>
    <s v="White"/>
    <x v="1"/>
    <x v="4"/>
  </r>
  <r>
    <n v="40"/>
    <x v="9"/>
    <n v="5000"/>
    <s v="White"/>
    <x v="1"/>
    <x v="4"/>
  </r>
  <r>
    <n v="40"/>
    <x v="9"/>
    <n v="5200"/>
    <s v="White"/>
    <x v="1"/>
    <x v="4"/>
  </r>
  <r>
    <n v="45"/>
    <x v="9"/>
    <n v="6000"/>
    <s v="White"/>
    <x v="1"/>
    <x v="4"/>
  </r>
  <r>
    <n v="40"/>
    <x v="9"/>
    <n v="6400"/>
    <s v="White"/>
    <x v="0"/>
    <x v="4"/>
  </r>
  <r>
    <n v="40"/>
    <x v="9"/>
    <n v="6510"/>
    <s v="White"/>
    <x v="1"/>
    <x v="4"/>
  </r>
  <r>
    <n v="40"/>
    <x v="9"/>
    <n v="7000"/>
    <s v="White"/>
    <x v="0"/>
    <x v="4"/>
  </r>
  <r>
    <n v="40"/>
    <x v="9"/>
    <n v="7000"/>
    <s v="White"/>
    <x v="1"/>
    <x v="4"/>
  </r>
  <r>
    <n v="40"/>
    <x v="9"/>
    <n v="7000"/>
    <s v="White"/>
    <x v="1"/>
    <x v="4"/>
  </r>
  <r>
    <n v="40"/>
    <x v="9"/>
    <n v="7000"/>
    <s v="White"/>
    <x v="1"/>
    <x v="4"/>
  </r>
  <r>
    <n v="40"/>
    <x v="9"/>
    <n v="8000"/>
    <s v="White"/>
    <x v="0"/>
    <x v="4"/>
  </r>
  <r>
    <n v="40"/>
    <x v="9"/>
    <n v="9000"/>
    <s v="White"/>
    <x v="1"/>
    <x v="4"/>
  </r>
  <r>
    <n v="40"/>
    <x v="9"/>
    <n v="9520"/>
    <s v="White"/>
    <x v="0"/>
    <x v="4"/>
  </r>
  <r>
    <n v="40"/>
    <x v="9"/>
    <n v="9600"/>
    <s v="White"/>
    <x v="1"/>
    <x v="4"/>
  </r>
  <r>
    <n v="36"/>
    <x v="9"/>
    <n v="10000"/>
    <s v="White"/>
    <x v="0"/>
    <x v="4"/>
  </r>
  <r>
    <n v="40"/>
    <x v="9"/>
    <n v="10000"/>
    <s v="White"/>
    <x v="1"/>
    <x v="4"/>
  </r>
  <r>
    <n v="40"/>
    <x v="9"/>
    <n v="10000"/>
    <s v="White"/>
    <x v="0"/>
    <x v="4"/>
  </r>
  <r>
    <n v="40"/>
    <x v="9"/>
    <n v="10000"/>
    <s v="White"/>
    <x v="1"/>
    <x v="4"/>
  </r>
  <r>
    <n v="40"/>
    <x v="9"/>
    <n v="10000"/>
    <s v="White"/>
    <x v="0"/>
    <x v="4"/>
  </r>
  <r>
    <n v="40"/>
    <x v="9"/>
    <n v="10000"/>
    <s v="AsianPI"/>
    <x v="1"/>
    <x v="4"/>
  </r>
  <r>
    <n v="50"/>
    <x v="9"/>
    <n v="10000"/>
    <s v="White"/>
    <x v="1"/>
    <x v="4"/>
  </r>
  <r>
    <n v="50"/>
    <x v="9"/>
    <n v="10000"/>
    <s v="White"/>
    <x v="1"/>
    <x v="4"/>
  </r>
  <r>
    <n v="50"/>
    <x v="9"/>
    <n v="10000"/>
    <s v="White"/>
    <x v="1"/>
    <x v="4"/>
  </r>
  <r>
    <n v="40"/>
    <x v="9"/>
    <n v="10400"/>
    <s v="White"/>
    <x v="0"/>
    <x v="4"/>
  </r>
  <r>
    <n v="60"/>
    <x v="9"/>
    <n v="11000"/>
    <s v="White"/>
    <x v="1"/>
    <x v="4"/>
  </r>
  <r>
    <n v="40"/>
    <x v="9"/>
    <n v="11000"/>
    <s v="White"/>
    <x v="0"/>
    <x v="4"/>
  </r>
  <r>
    <n v="36"/>
    <x v="9"/>
    <n v="11000"/>
    <s v="White"/>
    <x v="0"/>
    <x v="4"/>
  </r>
  <r>
    <n v="0"/>
    <x v="9"/>
    <n v="11000"/>
    <s v="White"/>
    <x v="0"/>
    <x v="4"/>
  </r>
  <r>
    <n v="40"/>
    <x v="9"/>
    <n v="11167"/>
    <s v="White"/>
    <x v="0"/>
    <x v="4"/>
  </r>
  <r>
    <n v="40"/>
    <x v="9"/>
    <n v="11240"/>
    <s v="White"/>
    <x v="1"/>
    <x v="4"/>
  </r>
  <r>
    <n v="40"/>
    <x v="9"/>
    <n v="11544"/>
    <s v="White"/>
    <x v="0"/>
    <x v="4"/>
  </r>
  <r>
    <n v="40"/>
    <x v="9"/>
    <n v="12000"/>
    <s v="White"/>
    <x v="0"/>
    <x v="4"/>
  </r>
  <r>
    <n v="40"/>
    <x v="9"/>
    <n v="12000"/>
    <s v="White"/>
    <x v="1"/>
    <x v="4"/>
  </r>
  <r>
    <n v="45"/>
    <x v="9"/>
    <n v="12000"/>
    <s v="White"/>
    <x v="1"/>
    <x v="4"/>
  </r>
  <r>
    <n v="48"/>
    <x v="9"/>
    <n v="12000"/>
    <s v="White"/>
    <x v="1"/>
    <x v="4"/>
  </r>
  <r>
    <n v="50"/>
    <x v="9"/>
    <n v="12000"/>
    <s v="White"/>
    <x v="1"/>
    <x v="4"/>
  </r>
  <r>
    <n v="35"/>
    <x v="9"/>
    <n v="12000"/>
    <s v="White"/>
    <x v="1"/>
    <x v="4"/>
  </r>
  <r>
    <n v="40"/>
    <x v="9"/>
    <n v="12000"/>
    <s v="White"/>
    <x v="0"/>
    <x v="4"/>
  </r>
  <r>
    <n v="40"/>
    <x v="9"/>
    <n v="12240"/>
    <s v="White"/>
    <x v="1"/>
    <x v="4"/>
  </r>
  <r>
    <n v="40"/>
    <x v="9"/>
    <n v="12500"/>
    <s v="White"/>
    <x v="0"/>
    <x v="4"/>
  </r>
  <r>
    <n v="40"/>
    <x v="9"/>
    <n v="12500"/>
    <s v="White"/>
    <x v="1"/>
    <x v="4"/>
  </r>
  <r>
    <n v="35"/>
    <x v="9"/>
    <n v="13000"/>
    <s v="White"/>
    <x v="0"/>
    <x v="4"/>
  </r>
  <r>
    <n v="40"/>
    <x v="9"/>
    <n v="13000"/>
    <s v="Black"/>
    <x v="0"/>
    <x v="4"/>
  </r>
  <r>
    <n v="42"/>
    <x v="9"/>
    <n v="13000"/>
    <s v="White"/>
    <x v="0"/>
    <x v="4"/>
  </r>
  <r>
    <n v="40"/>
    <x v="9"/>
    <n v="13000"/>
    <s v="White"/>
    <x v="1"/>
    <x v="4"/>
  </r>
  <r>
    <n v="40"/>
    <x v="9"/>
    <n v="13000"/>
    <s v="White"/>
    <x v="1"/>
    <x v="4"/>
  </r>
  <r>
    <n v="40"/>
    <x v="9"/>
    <n v="13000"/>
    <s v="White"/>
    <x v="1"/>
    <x v="4"/>
  </r>
  <r>
    <n v="40"/>
    <x v="9"/>
    <n v="13000"/>
    <s v="White"/>
    <x v="0"/>
    <x v="4"/>
  </r>
  <r>
    <n v="40"/>
    <x v="9"/>
    <n v="13000"/>
    <s v="White"/>
    <x v="1"/>
    <x v="4"/>
  </r>
  <r>
    <n v="40"/>
    <x v="9"/>
    <n v="13500"/>
    <s v="White"/>
    <x v="1"/>
    <x v="4"/>
  </r>
  <r>
    <n v="40"/>
    <x v="9"/>
    <n v="13945"/>
    <s v="White"/>
    <x v="1"/>
    <x v="4"/>
  </r>
  <r>
    <n v="40"/>
    <x v="9"/>
    <n v="14000"/>
    <s v="White"/>
    <x v="0"/>
    <x v="4"/>
  </r>
  <r>
    <n v="40"/>
    <x v="9"/>
    <n v="15000"/>
    <s v="White"/>
    <x v="1"/>
    <x v="4"/>
  </r>
  <r>
    <n v="40"/>
    <x v="9"/>
    <n v="15000"/>
    <s v="White"/>
    <x v="1"/>
    <x v="4"/>
  </r>
  <r>
    <n v="40"/>
    <x v="9"/>
    <n v="15000"/>
    <s v="White"/>
    <x v="0"/>
    <x v="4"/>
  </r>
  <r>
    <n v="40"/>
    <x v="9"/>
    <n v="15000"/>
    <s v="White"/>
    <x v="1"/>
    <x v="4"/>
  </r>
  <r>
    <n v="35"/>
    <x v="9"/>
    <n v="15600"/>
    <s v="White"/>
    <x v="1"/>
    <x v="4"/>
  </r>
  <r>
    <n v="40"/>
    <x v="9"/>
    <n v="15600"/>
    <s v="White"/>
    <x v="1"/>
    <x v="4"/>
  </r>
  <r>
    <n v="40"/>
    <x v="9"/>
    <n v="15900"/>
    <s v="AsianPI"/>
    <x v="0"/>
    <x v="4"/>
  </r>
  <r>
    <n v="40"/>
    <x v="9"/>
    <n v="16000"/>
    <s v="White"/>
    <x v="1"/>
    <x v="4"/>
  </r>
  <r>
    <n v="35"/>
    <x v="9"/>
    <n v="16000"/>
    <s v="White"/>
    <x v="0"/>
    <x v="4"/>
  </r>
  <r>
    <n v="45"/>
    <x v="9"/>
    <n v="16000"/>
    <s v="White"/>
    <x v="1"/>
    <x v="4"/>
  </r>
  <r>
    <n v="40"/>
    <x v="9"/>
    <n v="16000"/>
    <s v="White"/>
    <x v="1"/>
    <x v="4"/>
  </r>
  <r>
    <n v="42"/>
    <x v="9"/>
    <n v="16000"/>
    <s v="White"/>
    <x v="0"/>
    <x v="4"/>
  </r>
  <r>
    <n v="40"/>
    <x v="9"/>
    <n v="16900"/>
    <s v="White"/>
    <x v="1"/>
    <x v="4"/>
  </r>
  <r>
    <n v="40"/>
    <x v="9"/>
    <n v="17000"/>
    <s v="White"/>
    <x v="1"/>
    <x v="4"/>
  </r>
  <r>
    <n v="40"/>
    <x v="9"/>
    <n v="17000"/>
    <s v="White"/>
    <x v="0"/>
    <x v="4"/>
  </r>
  <r>
    <n v="40"/>
    <x v="9"/>
    <n v="17000"/>
    <s v="White"/>
    <x v="0"/>
    <x v="4"/>
  </r>
  <r>
    <n v="40"/>
    <x v="9"/>
    <n v="17000"/>
    <s v="White"/>
    <x v="1"/>
    <x v="4"/>
  </r>
  <r>
    <n v="35"/>
    <x v="9"/>
    <n v="17500"/>
    <s v="White"/>
    <x v="0"/>
    <x v="4"/>
  </r>
  <r>
    <n v="40"/>
    <x v="9"/>
    <n v="17600"/>
    <s v="White"/>
    <x v="1"/>
    <x v="4"/>
  </r>
  <r>
    <n v="40"/>
    <x v="9"/>
    <n v="17680"/>
    <s v="White"/>
    <x v="0"/>
    <x v="4"/>
  </r>
  <r>
    <n v="40"/>
    <x v="9"/>
    <n v="18000"/>
    <s v="White"/>
    <x v="1"/>
    <x v="4"/>
  </r>
  <r>
    <n v="40"/>
    <x v="9"/>
    <n v="18000"/>
    <s v="White"/>
    <x v="1"/>
    <x v="4"/>
  </r>
  <r>
    <n v="40"/>
    <x v="9"/>
    <n v="18000"/>
    <s v="White"/>
    <x v="0"/>
    <x v="4"/>
  </r>
  <r>
    <n v="48"/>
    <x v="9"/>
    <n v="18000"/>
    <s v="White"/>
    <x v="1"/>
    <x v="4"/>
  </r>
  <r>
    <n v="40"/>
    <x v="9"/>
    <n v="18000"/>
    <s v="White"/>
    <x v="1"/>
    <x v="4"/>
  </r>
  <r>
    <n v="40"/>
    <x v="9"/>
    <n v="18000"/>
    <s v="White"/>
    <x v="1"/>
    <x v="4"/>
  </r>
  <r>
    <n v="40"/>
    <x v="9"/>
    <n v="19000"/>
    <s v="White"/>
    <x v="0"/>
    <x v="4"/>
  </r>
  <r>
    <n v="40"/>
    <x v="9"/>
    <n v="19000"/>
    <s v="White"/>
    <x v="0"/>
    <x v="4"/>
  </r>
  <r>
    <n v="40"/>
    <x v="9"/>
    <n v="19000"/>
    <s v="White"/>
    <x v="0"/>
    <x v="4"/>
  </r>
  <r>
    <n v="40"/>
    <x v="9"/>
    <n v="19000"/>
    <s v="White"/>
    <x v="1"/>
    <x v="4"/>
  </r>
  <r>
    <n v="40"/>
    <x v="9"/>
    <n v="20000"/>
    <s v="White"/>
    <x v="1"/>
    <x v="4"/>
  </r>
  <r>
    <n v="50"/>
    <x v="9"/>
    <n v="20000"/>
    <s v="White"/>
    <x v="1"/>
    <x v="4"/>
  </r>
  <r>
    <n v="40"/>
    <x v="9"/>
    <n v="20000"/>
    <s v="White"/>
    <x v="1"/>
    <x v="4"/>
  </r>
  <r>
    <n v="40"/>
    <x v="9"/>
    <n v="21000"/>
    <s v="White"/>
    <x v="0"/>
    <x v="4"/>
  </r>
  <r>
    <n v="40"/>
    <x v="9"/>
    <n v="22000"/>
    <s v="White"/>
    <x v="1"/>
    <x v="4"/>
  </r>
  <r>
    <n v="40"/>
    <x v="9"/>
    <n v="22000"/>
    <s v="White"/>
    <x v="1"/>
    <x v="4"/>
  </r>
  <r>
    <n v="40"/>
    <x v="9"/>
    <n v="22360"/>
    <s v="White"/>
    <x v="1"/>
    <x v="4"/>
  </r>
  <r>
    <n v="60"/>
    <x v="9"/>
    <n v="23000"/>
    <s v="White"/>
    <x v="1"/>
    <x v="4"/>
  </r>
  <r>
    <n v="40"/>
    <x v="9"/>
    <n v="24000"/>
    <s v="White"/>
    <x v="1"/>
    <x v="4"/>
  </r>
  <r>
    <n v="40"/>
    <x v="9"/>
    <n v="24300"/>
    <s v="White"/>
    <x v="1"/>
    <x v="4"/>
  </r>
  <r>
    <n v="50"/>
    <x v="9"/>
    <n v="25000"/>
    <s v="Black"/>
    <x v="1"/>
    <x v="4"/>
  </r>
  <r>
    <n v="40"/>
    <x v="9"/>
    <n v="25000"/>
    <s v="White"/>
    <x v="1"/>
    <x v="4"/>
  </r>
  <r>
    <n v="40"/>
    <x v="9"/>
    <n v="25000"/>
    <s v="White"/>
    <x v="1"/>
    <x v="4"/>
  </r>
  <r>
    <n v="40"/>
    <x v="9"/>
    <n v="25000"/>
    <s v="White"/>
    <x v="1"/>
    <x v="4"/>
  </r>
  <r>
    <n v="40"/>
    <x v="9"/>
    <n v="25000"/>
    <s v="White"/>
    <x v="1"/>
    <x v="4"/>
  </r>
  <r>
    <n v="39"/>
    <x v="9"/>
    <n v="25000"/>
    <s v="White"/>
    <x v="1"/>
    <x v="4"/>
  </r>
  <r>
    <n v="40"/>
    <x v="9"/>
    <n v="25627"/>
    <s v="White"/>
    <x v="1"/>
    <x v="4"/>
  </r>
  <r>
    <n v="45"/>
    <x v="9"/>
    <n v="27000"/>
    <s v="White"/>
    <x v="1"/>
    <x v="4"/>
  </r>
  <r>
    <n v="0"/>
    <x v="9"/>
    <n v="28000"/>
    <s v="White"/>
    <x v="1"/>
    <x v="4"/>
  </r>
  <r>
    <n v="40"/>
    <x v="9"/>
    <n v="28800"/>
    <s v="White"/>
    <x v="1"/>
    <x v="4"/>
  </r>
  <r>
    <n v="40"/>
    <x v="9"/>
    <n v="29000"/>
    <s v="White"/>
    <x v="1"/>
    <x v="4"/>
  </r>
  <r>
    <n v="40"/>
    <x v="9"/>
    <n v="30000"/>
    <s v="White"/>
    <x v="1"/>
    <x v="4"/>
  </r>
  <r>
    <n v="40"/>
    <x v="9"/>
    <n v="30000"/>
    <s v="White"/>
    <x v="1"/>
    <x v="4"/>
  </r>
  <r>
    <n v="50"/>
    <x v="9"/>
    <n v="30000"/>
    <s v="White"/>
    <x v="1"/>
    <x v="4"/>
  </r>
  <r>
    <n v="42"/>
    <x v="9"/>
    <n v="30000"/>
    <s v="White"/>
    <x v="1"/>
    <x v="4"/>
  </r>
  <r>
    <n v="40"/>
    <x v="9"/>
    <n v="30000"/>
    <s v="White"/>
    <x v="1"/>
    <x v="4"/>
  </r>
  <r>
    <n v="40"/>
    <x v="9"/>
    <n v="30000"/>
    <s v="Black"/>
    <x v="1"/>
    <x v="4"/>
  </r>
  <r>
    <n v="40"/>
    <x v="9"/>
    <n v="31169"/>
    <s v="White"/>
    <x v="1"/>
    <x v="4"/>
  </r>
  <r>
    <n v="40"/>
    <x v="9"/>
    <n v="32000"/>
    <s v="White"/>
    <x v="1"/>
    <x v="4"/>
  </r>
  <r>
    <n v="45"/>
    <x v="9"/>
    <n v="33000"/>
    <s v="White"/>
    <x v="1"/>
    <x v="4"/>
  </r>
  <r>
    <n v="50"/>
    <x v="9"/>
    <n v="34324"/>
    <s v="White"/>
    <x v="1"/>
    <x v="4"/>
  </r>
  <r>
    <n v="40"/>
    <x v="9"/>
    <n v="35000"/>
    <s v="White"/>
    <x v="1"/>
    <x v="4"/>
  </r>
  <r>
    <n v="40"/>
    <x v="9"/>
    <n v="36000"/>
    <s v="White"/>
    <x v="1"/>
    <x v="4"/>
  </r>
  <r>
    <n v="40"/>
    <x v="9"/>
    <n v="38000"/>
    <s v="White"/>
    <x v="0"/>
    <x v="4"/>
  </r>
  <r>
    <n v="40"/>
    <x v="9"/>
    <n v="41600"/>
    <s v="White"/>
    <x v="1"/>
    <x v="4"/>
  </r>
  <r>
    <n v="40"/>
    <x v="9"/>
    <n v="43000"/>
    <s v="White"/>
    <x v="1"/>
    <x v="4"/>
  </r>
  <r>
    <n v="0"/>
    <x v="9"/>
    <n v="45000"/>
    <s v="White"/>
    <x v="1"/>
    <x v="4"/>
  </r>
  <r>
    <n v="50"/>
    <x v="9"/>
    <n v="46000"/>
    <s v="White"/>
    <x v="1"/>
    <x v="4"/>
  </r>
  <r>
    <n v="40"/>
    <x v="9"/>
    <n v="46000"/>
    <s v="White"/>
    <x v="1"/>
    <x v="4"/>
  </r>
  <r>
    <n v="55"/>
    <x v="9"/>
    <n v="47000"/>
    <s v="White"/>
    <x v="1"/>
    <x v="4"/>
  </r>
  <r>
    <n v="40"/>
    <x v="9"/>
    <n v="50000"/>
    <s v="White"/>
    <x v="1"/>
    <x v="4"/>
  </r>
  <r>
    <n v="55"/>
    <x v="9"/>
    <n v="50000"/>
    <s v="White"/>
    <x v="1"/>
    <x v="4"/>
  </r>
  <r>
    <n v="66"/>
    <x v="9"/>
    <n v="52000"/>
    <s v="White"/>
    <x v="1"/>
    <x v="4"/>
  </r>
  <r>
    <n v="40"/>
    <x v="9"/>
    <n v="58000"/>
    <s v="White"/>
    <x v="0"/>
    <x v="4"/>
  </r>
  <r>
    <n v="40"/>
    <x v="9"/>
    <n v="60000"/>
    <s v="White"/>
    <x v="1"/>
    <x v="4"/>
  </r>
  <r>
    <n v="40"/>
    <x v="9"/>
    <n v="60000"/>
    <s v="White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849EB-FFCD-4881-9B21-F730370B00BE}" name="ByYears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J27" firstHeaderRow="1" firstDataRow="3" firstDataCol="1"/>
  <pivotFields count="6">
    <pivotField showAll="0"/>
    <pivotField axis="axisRow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ean earnings" fld="2" subtotal="average" baseField="0" baseItem="0" numFmtId="167"/>
    <dataField name="Workers" fld="2" subtotal="count" baseField="0" baseItem="0"/>
    <dataField name="Max earnings" fld="2" subtotal="max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A06AD-7997-428F-AC52-7AD08E43B595}" name="EarningsPivot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9" firstHeaderRow="1" firstDataRow="2" firstDataCol="1"/>
  <pivotFields count="6"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4"/>
        <item x="3"/>
        <item x="2"/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Mean earnings" fld="2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6D6F8-41FD-4435-91CD-2B24F0ED96CE}" name="ByGender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25" firstHeaderRow="0" firstDataRow="1" firstDataCol="1"/>
  <pivotFields count="5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rvival rate" fld="4" subtotal="average" baseField="0" baseItem="0" numFmtId="9"/>
    <dataField name="Peop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1232F-D48D-47EB-9B4F-5BFD87AC6A9F}" name="Rate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8" firstHeaderRow="1" firstDataRow="2" firstDataCol="1"/>
  <pivotFields count="5">
    <pivotField axis="axisRow" showAll="0">
      <items count="5">
        <item x="3"/>
        <item x="0"/>
        <item x="1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rvival rate" fld="4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F2D95-1C38-4807-B724-02E36CAA9AE7}" name="Count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5">
    <pivotField axis="axisRow" showAll="0">
      <items count="5">
        <item x="3"/>
        <item x="0"/>
        <item x="1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People on boar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9946-A073-4E25-BD07-12B8DA12FA95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4874-E74D-4AF6-95EA-E6D8D38347B5}">
  <dimension ref="A1:J381"/>
  <sheetViews>
    <sheetView showGridLines="0" zoomScale="170" zoomScaleNormal="170" workbookViewId="0"/>
  </sheetViews>
  <sheetFormatPr defaultRowHeight="14.25" x14ac:dyDescent="0.45"/>
  <cols>
    <col min="1" max="1" width="4.73046875" bestFit="1" customWidth="1"/>
    <col min="2" max="2" width="5.59765625" bestFit="1" customWidth="1"/>
    <col min="3" max="3" width="4.73046875" bestFit="1" customWidth="1"/>
    <col min="4" max="4" width="8" bestFit="1" customWidth="1"/>
    <col min="5" max="5" width="7" bestFit="1" customWidth="1"/>
    <col min="6" max="6" width="10.265625" bestFit="1" customWidth="1"/>
    <col min="9" max="9" width="57.53125" bestFit="1" customWidth="1"/>
    <col min="10" max="10" width="12.33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90</v>
      </c>
      <c r="E1" t="s">
        <v>91</v>
      </c>
      <c r="F1" t="s">
        <v>92</v>
      </c>
      <c r="I1" s="1" t="s">
        <v>93</v>
      </c>
    </row>
    <row r="2" spans="1:10" x14ac:dyDescent="0.45">
      <c r="A2">
        <v>1</v>
      </c>
      <c r="B2">
        <v>0.75</v>
      </c>
      <c r="C2">
        <v>2050</v>
      </c>
      <c r="D2" s="11">
        <f t="shared" ref="D2:D65" si="0">$J$3+$J$4*B2</f>
        <v>2500.79475</v>
      </c>
      <c r="E2" s="11">
        <f t="shared" ref="E2:E65" si="1">C2-D2</f>
        <v>-450.79475000000002</v>
      </c>
      <c r="F2" s="11">
        <f t="shared" ref="F2:F65" si="2">E2^2</f>
        <v>203215.90662756251</v>
      </c>
      <c r="I2" t="s">
        <v>94</v>
      </c>
      <c r="J2" s="12">
        <f>SUM(F2:F381)</f>
        <v>148015058.91808876</v>
      </c>
    </row>
    <row r="3" spans="1:10" x14ac:dyDescent="0.45">
      <c r="A3">
        <v>1</v>
      </c>
      <c r="B3">
        <v>1</v>
      </c>
      <c r="C3">
        <v>4263</v>
      </c>
      <c r="D3" s="11">
        <f t="shared" si="0"/>
        <v>3894.1030000000001</v>
      </c>
      <c r="E3" s="11">
        <f t="shared" si="1"/>
        <v>368.89699999999993</v>
      </c>
      <c r="F3" s="11">
        <f t="shared" si="2"/>
        <v>136084.99660899997</v>
      </c>
      <c r="I3" t="s">
        <v>95</v>
      </c>
      <c r="J3">
        <v>-1679.13</v>
      </c>
    </row>
    <row r="4" spans="1:10" x14ac:dyDescent="0.45">
      <c r="A4">
        <v>1</v>
      </c>
      <c r="B4">
        <v>1</v>
      </c>
      <c r="C4">
        <v>4272</v>
      </c>
      <c r="D4" s="11">
        <f t="shared" si="0"/>
        <v>3894.1030000000001</v>
      </c>
      <c r="E4" s="11">
        <f t="shared" si="1"/>
        <v>377.89699999999993</v>
      </c>
      <c r="F4" s="11">
        <f t="shared" si="2"/>
        <v>142806.14260899994</v>
      </c>
      <c r="I4" t="s">
        <v>96</v>
      </c>
      <c r="J4">
        <v>5573.2330000000002</v>
      </c>
    </row>
    <row r="5" spans="1:10" x14ac:dyDescent="0.45">
      <c r="A5">
        <v>1</v>
      </c>
      <c r="B5">
        <v>1.01</v>
      </c>
      <c r="C5">
        <v>4372</v>
      </c>
      <c r="D5" s="11">
        <f t="shared" si="0"/>
        <v>3949.8353299999999</v>
      </c>
      <c r="E5" s="11">
        <f t="shared" si="1"/>
        <v>422.16467000000011</v>
      </c>
      <c r="F5" s="11">
        <f t="shared" si="2"/>
        <v>178223.00859620899</v>
      </c>
    </row>
    <row r="6" spans="1:10" x14ac:dyDescent="0.45">
      <c r="A6">
        <v>1</v>
      </c>
      <c r="B6">
        <v>1.01</v>
      </c>
      <c r="C6">
        <v>4372</v>
      </c>
      <c r="D6" s="11">
        <f t="shared" si="0"/>
        <v>3949.8353299999999</v>
      </c>
      <c r="E6" s="11">
        <f t="shared" si="1"/>
        <v>422.16467000000011</v>
      </c>
      <c r="F6" s="11">
        <f t="shared" si="2"/>
        <v>178223.00859620899</v>
      </c>
      <c r="I6" s="1" t="s">
        <v>97</v>
      </c>
    </row>
    <row r="7" spans="1:10" x14ac:dyDescent="0.45">
      <c r="A7">
        <v>1</v>
      </c>
      <c r="B7">
        <v>1.1100000000000001</v>
      </c>
      <c r="C7">
        <v>4889</v>
      </c>
      <c r="D7" s="11">
        <f t="shared" si="0"/>
        <v>4507.1586300000008</v>
      </c>
      <c r="E7" s="11">
        <f t="shared" si="1"/>
        <v>381.84136999999919</v>
      </c>
      <c r="F7" s="11">
        <f t="shared" si="2"/>
        <v>145802.83184347628</v>
      </c>
      <c r="I7" t="s">
        <v>98</v>
      </c>
      <c r="J7" s="4">
        <f>_xlfn.COVARIANCE.S(B2:B381,C2:C381)</f>
        <v>128.84591362310803</v>
      </c>
    </row>
    <row r="8" spans="1:10" x14ac:dyDescent="0.45">
      <c r="A8">
        <v>1</v>
      </c>
      <c r="B8">
        <v>0.9</v>
      </c>
      <c r="C8">
        <v>3444</v>
      </c>
      <c r="D8" s="11">
        <f t="shared" si="0"/>
        <v>3336.7797</v>
      </c>
      <c r="E8" s="11">
        <f t="shared" si="1"/>
        <v>107.22029999999995</v>
      </c>
      <c r="F8" s="11">
        <f t="shared" si="2"/>
        <v>11496.19273208999</v>
      </c>
      <c r="I8" t="s">
        <v>99</v>
      </c>
      <c r="J8" s="4">
        <f>_xlfn.VAR.S(B2:B381)</f>
        <v>2.3118244688239975E-2</v>
      </c>
    </row>
    <row r="9" spans="1:10" x14ac:dyDescent="0.45">
      <c r="A9">
        <v>1</v>
      </c>
      <c r="B9">
        <v>1.01</v>
      </c>
      <c r="C9">
        <v>4433</v>
      </c>
      <c r="D9" s="11">
        <f t="shared" si="0"/>
        <v>3949.8353299999999</v>
      </c>
      <c r="E9" s="11">
        <f t="shared" si="1"/>
        <v>483.16467000000011</v>
      </c>
      <c r="F9" s="11">
        <f t="shared" si="2"/>
        <v>233448.09833620902</v>
      </c>
      <c r="I9" t="s">
        <v>100</v>
      </c>
      <c r="J9" s="4">
        <f>J7/J8</f>
        <v>5573.3432775997344</v>
      </c>
    </row>
    <row r="10" spans="1:10" x14ac:dyDescent="0.45">
      <c r="A10">
        <v>1</v>
      </c>
      <c r="B10">
        <v>0.9</v>
      </c>
      <c r="C10">
        <v>3403</v>
      </c>
      <c r="D10" s="11">
        <f t="shared" si="0"/>
        <v>3336.7797</v>
      </c>
      <c r="E10" s="11">
        <f t="shared" si="1"/>
        <v>66.220299999999952</v>
      </c>
      <c r="F10" s="11">
        <f t="shared" si="2"/>
        <v>4385.1281320899934</v>
      </c>
      <c r="I10" t="s">
        <v>101</v>
      </c>
      <c r="J10" s="4">
        <f>AVERAGE(C2:C381)-J9*AVERAGE(B2:B381)</f>
        <v>-1679.2405484606925</v>
      </c>
    </row>
    <row r="11" spans="1:10" x14ac:dyDescent="0.45">
      <c r="A11">
        <v>1</v>
      </c>
      <c r="B11">
        <v>1</v>
      </c>
      <c r="C11">
        <v>4392</v>
      </c>
      <c r="D11" s="11">
        <f t="shared" si="0"/>
        <v>3894.1030000000001</v>
      </c>
      <c r="E11" s="11">
        <f t="shared" si="1"/>
        <v>497.89699999999993</v>
      </c>
      <c r="F11" s="11">
        <f t="shared" si="2"/>
        <v>247901.42260899994</v>
      </c>
    </row>
    <row r="12" spans="1:10" x14ac:dyDescent="0.45">
      <c r="A12">
        <v>1</v>
      </c>
      <c r="B12">
        <v>1.0900000000000001</v>
      </c>
      <c r="C12">
        <v>4689</v>
      </c>
      <c r="D12" s="11">
        <f t="shared" si="0"/>
        <v>4395.6939700000003</v>
      </c>
      <c r="E12" s="11">
        <f t="shared" si="1"/>
        <v>293.30602999999974</v>
      </c>
      <c r="F12" s="11">
        <f t="shared" si="2"/>
        <v>86028.427234360744</v>
      </c>
      <c r="I12" s="1" t="s">
        <v>102</v>
      </c>
    </row>
    <row r="13" spans="1:10" x14ac:dyDescent="0.45">
      <c r="A13">
        <v>1</v>
      </c>
      <c r="B13">
        <v>0.7</v>
      </c>
      <c r="C13">
        <v>2192</v>
      </c>
      <c r="D13" s="11">
        <f t="shared" si="0"/>
        <v>2222.1330999999996</v>
      </c>
      <c r="E13" s="11">
        <f t="shared" si="1"/>
        <v>-30.133099999999558</v>
      </c>
      <c r="F13" s="11">
        <f t="shared" si="2"/>
        <v>908.00371560997337</v>
      </c>
      <c r="I13" s="5" t="s">
        <v>103</v>
      </c>
      <c r="J13" s="2">
        <f>INTERCEPT(C2:C381,B2:B381)</f>
        <v>-1679.2405484612373</v>
      </c>
    </row>
    <row r="14" spans="1:10" x14ac:dyDescent="0.45">
      <c r="A14">
        <v>1</v>
      </c>
      <c r="B14">
        <v>0.91</v>
      </c>
      <c r="C14">
        <v>3532</v>
      </c>
      <c r="D14" s="11">
        <f t="shared" si="0"/>
        <v>3392.5120299999999</v>
      </c>
      <c r="E14" s="11">
        <f t="shared" si="1"/>
        <v>139.48797000000013</v>
      </c>
      <c r="F14" s="11">
        <f t="shared" si="2"/>
        <v>19456.893774720938</v>
      </c>
      <c r="I14" s="5" t="s">
        <v>104</v>
      </c>
      <c r="J14" s="2">
        <f>SLOPE(C2:C381,B2:B381)</f>
        <v>5573.3432776002655</v>
      </c>
    </row>
    <row r="15" spans="1:10" x14ac:dyDescent="0.45">
      <c r="A15">
        <v>1</v>
      </c>
      <c r="B15">
        <v>1.01</v>
      </c>
      <c r="C15">
        <v>4540</v>
      </c>
      <c r="D15" s="11">
        <f t="shared" si="0"/>
        <v>3949.8353299999999</v>
      </c>
      <c r="E15" s="11">
        <f t="shared" si="1"/>
        <v>590.16467000000011</v>
      </c>
      <c r="F15" s="11">
        <f t="shared" si="2"/>
        <v>348294.33771620906</v>
      </c>
    </row>
    <row r="16" spans="1:10" x14ac:dyDescent="0.45">
      <c r="A16">
        <v>1</v>
      </c>
      <c r="B16">
        <v>1.1000000000000001</v>
      </c>
      <c r="C16">
        <v>4943</v>
      </c>
      <c r="D16" s="11">
        <f t="shared" si="0"/>
        <v>4451.426300000001</v>
      </c>
      <c r="E16" s="11">
        <f t="shared" si="1"/>
        <v>491.57369999999901</v>
      </c>
      <c r="F16" s="11">
        <f t="shared" si="2"/>
        <v>241644.70253168902</v>
      </c>
      <c r="I16" s="1" t="s">
        <v>105</v>
      </c>
    </row>
    <row r="17" spans="1:6" x14ac:dyDescent="0.45">
      <c r="A17">
        <v>1</v>
      </c>
      <c r="B17">
        <v>1.02</v>
      </c>
      <c r="C17">
        <v>4585</v>
      </c>
      <c r="D17" s="11">
        <f t="shared" si="0"/>
        <v>4005.5676600000006</v>
      </c>
      <c r="E17" s="11">
        <f t="shared" si="1"/>
        <v>579.43233999999939</v>
      </c>
      <c r="F17" s="11">
        <f t="shared" si="2"/>
        <v>335741.83663787489</v>
      </c>
    </row>
    <row r="18" spans="1:6" x14ac:dyDescent="0.45">
      <c r="A18">
        <v>1</v>
      </c>
      <c r="B18">
        <v>1.01</v>
      </c>
      <c r="C18">
        <v>4540</v>
      </c>
      <c r="D18" s="11">
        <f t="shared" si="0"/>
        <v>3949.8353299999999</v>
      </c>
      <c r="E18" s="11">
        <f t="shared" si="1"/>
        <v>590.16467000000011</v>
      </c>
      <c r="F18" s="11">
        <f t="shared" si="2"/>
        <v>348294.33771620906</v>
      </c>
    </row>
    <row r="19" spans="1:6" x14ac:dyDescent="0.45">
      <c r="A19">
        <v>1</v>
      </c>
      <c r="B19">
        <v>0.82</v>
      </c>
      <c r="C19">
        <v>2618</v>
      </c>
      <c r="D19" s="11">
        <f t="shared" si="0"/>
        <v>2890.9210599999997</v>
      </c>
      <c r="E19" s="11">
        <f t="shared" si="1"/>
        <v>-272.92105999999967</v>
      </c>
      <c r="F19" s="11">
        <f t="shared" si="2"/>
        <v>74485.904991523421</v>
      </c>
    </row>
    <row r="20" spans="1:6" x14ac:dyDescent="0.45">
      <c r="A20">
        <v>1</v>
      </c>
      <c r="B20">
        <v>1.05</v>
      </c>
      <c r="C20">
        <v>4719</v>
      </c>
      <c r="D20" s="11">
        <f t="shared" si="0"/>
        <v>4172.7646500000001</v>
      </c>
      <c r="E20" s="11">
        <f t="shared" si="1"/>
        <v>546.23534999999993</v>
      </c>
      <c r="F20" s="11">
        <f t="shared" si="2"/>
        <v>298373.05758962245</v>
      </c>
    </row>
    <row r="21" spans="1:6" x14ac:dyDescent="0.45">
      <c r="A21">
        <v>1</v>
      </c>
      <c r="B21">
        <v>0.9</v>
      </c>
      <c r="C21">
        <v>3639</v>
      </c>
      <c r="D21" s="11">
        <f t="shared" si="0"/>
        <v>3336.7797</v>
      </c>
      <c r="E21" s="11">
        <f t="shared" si="1"/>
        <v>302.22029999999995</v>
      </c>
      <c r="F21" s="11">
        <f t="shared" si="2"/>
        <v>91337.109732089972</v>
      </c>
    </row>
    <row r="22" spans="1:6" x14ac:dyDescent="0.45">
      <c r="A22">
        <v>1</v>
      </c>
      <c r="B22">
        <v>0.9</v>
      </c>
      <c r="C22">
        <v>3639</v>
      </c>
      <c r="D22" s="11">
        <f t="shared" si="0"/>
        <v>3336.7797</v>
      </c>
      <c r="E22" s="11">
        <f t="shared" si="1"/>
        <v>302.22029999999995</v>
      </c>
      <c r="F22" s="11">
        <f t="shared" si="2"/>
        <v>91337.109732089972</v>
      </c>
    </row>
    <row r="23" spans="1:6" x14ac:dyDescent="0.45">
      <c r="A23">
        <v>1</v>
      </c>
      <c r="B23">
        <v>0.92</v>
      </c>
      <c r="C23">
        <v>3713</v>
      </c>
      <c r="D23" s="11">
        <f t="shared" si="0"/>
        <v>3448.2443600000006</v>
      </c>
      <c r="E23" s="11">
        <f t="shared" si="1"/>
        <v>264.7556399999994</v>
      </c>
      <c r="F23" s="11">
        <f t="shared" si="2"/>
        <v>70095.548911809281</v>
      </c>
    </row>
    <row r="24" spans="1:6" x14ac:dyDescent="0.45">
      <c r="A24">
        <v>1</v>
      </c>
      <c r="B24">
        <v>1.05</v>
      </c>
      <c r="C24">
        <v>4853</v>
      </c>
      <c r="D24" s="11">
        <f t="shared" si="0"/>
        <v>4172.7646500000001</v>
      </c>
      <c r="E24" s="11">
        <f t="shared" si="1"/>
        <v>680.23534999999993</v>
      </c>
      <c r="F24" s="11">
        <f t="shared" si="2"/>
        <v>462720.1313896224</v>
      </c>
    </row>
    <row r="25" spans="1:6" x14ac:dyDescent="0.45">
      <c r="A25">
        <v>1</v>
      </c>
      <c r="B25">
        <v>1.02</v>
      </c>
      <c r="C25">
        <v>4715</v>
      </c>
      <c r="D25" s="11">
        <f t="shared" si="0"/>
        <v>4005.5676600000006</v>
      </c>
      <c r="E25" s="11">
        <f t="shared" si="1"/>
        <v>709.43233999999939</v>
      </c>
      <c r="F25" s="11">
        <f t="shared" si="2"/>
        <v>503294.24503787473</v>
      </c>
    </row>
    <row r="26" spans="1:6" x14ac:dyDescent="0.45">
      <c r="A26">
        <v>1</v>
      </c>
      <c r="B26">
        <v>1.22</v>
      </c>
      <c r="C26">
        <v>5789</v>
      </c>
      <c r="D26" s="11">
        <f t="shared" si="0"/>
        <v>5120.2142599999997</v>
      </c>
      <c r="E26" s="11">
        <f t="shared" si="1"/>
        <v>668.78574000000026</v>
      </c>
      <c r="F26" s="11">
        <f t="shared" si="2"/>
        <v>447274.36602734798</v>
      </c>
    </row>
    <row r="27" spans="1:6" x14ac:dyDescent="0.45">
      <c r="A27">
        <v>1</v>
      </c>
      <c r="B27">
        <v>1.05</v>
      </c>
      <c r="C27">
        <v>5448</v>
      </c>
      <c r="D27" s="11">
        <f t="shared" si="0"/>
        <v>4172.7646500000001</v>
      </c>
      <c r="E27" s="11">
        <f t="shared" si="1"/>
        <v>1275.2353499999999</v>
      </c>
      <c r="F27" s="11">
        <f t="shared" si="2"/>
        <v>1626225.1978896223</v>
      </c>
    </row>
    <row r="28" spans="1:6" x14ac:dyDescent="0.45">
      <c r="A28">
        <v>1</v>
      </c>
      <c r="B28">
        <v>0.71</v>
      </c>
      <c r="C28">
        <v>2368</v>
      </c>
      <c r="D28" s="11">
        <f t="shared" si="0"/>
        <v>2277.8654299999998</v>
      </c>
      <c r="E28" s="11">
        <f t="shared" si="1"/>
        <v>90.134570000000167</v>
      </c>
      <c r="F28" s="11">
        <f t="shared" si="2"/>
        <v>8124.2407090849301</v>
      </c>
    </row>
    <row r="29" spans="1:6" x14ac:dyDescent="0.45">
      <c r="A29">
        <v>1</v>
      </c>
      <c r="B29">
        <v>0.7</v>
      </c>
      <c r="C29">
        <v>2340</v>
      </c>
      <c r="D29" s="11">
        <f t="shared" si="0"/>
        <v>2222.1330999999996</v>
      </c>
      <c r="E29" s="11">
        <f t="shared" si="1"/>
        <v>117.86690000000044</v>
      </c>
      <c r="F29" s="11">
        <f t="shared" si="2"/>
        <v>13892.606115610104</v>
      </c>
    </row>
    <row r="30" spans="1:6" x14ac:dyDescent="0.45">
      <c r="A30">
        <v>1</v>
      </c>
      <c r="B30">
        <v>0.71</v>
      </c>
      <c r="C30">
        <v>2368</v>
      </c>
      <c r="D30" s="11">
        <f t="shared" si="0"/>
        <v>2277.8654299999998</v>
      </c>
      <c r="E30" s="11">
        <f t="shared" si="1"/>
        <v>90.134570000000167</v>
      </c>
      <c r="F30" s="11">
        <f t="shared" si="2"/>
        <v>8124.2407090849301</v>
      </c>
    </row>
    <row r="31" spans="1:6" x14ac:dyDescent="0.45">
      <c r="A31">
        <v>1</v>
      </c>
      <c r="B31">
        <v>0.9</v>
      </c>
      <c r="C31">
        <v>3866</v>
      </c>
      <c r="D31" s="11">
        <f t="shared" si="0"/>
        <v>3336.7797</v>
      </c>
      <c r="E31" s="11">
        <f t="shared" si="1"/>
        <v>529.22029999999995</v>
      </c>
      <c r="F31" s="11">
        <f t="shared" si="2"/>
        <v>280074.12593208993</v>
      </c>
    </row>
    <row r="32" spans="1:6" x14ac:dyDescent="0.45">
      <c r="A32">
        <v>1</v>
      </c>
      <c r="B32">
        <v>1</v>
      </c>
      <c r="C32">
        <v>4093</v>
      </c>
      <c r="D32" s="11">
        <f t="shared" si="0"/>
        <v>3894.1030000000001</v>
      </c>
      <c r="E32" s="11">
        <f t="shared" si="1"/>
        <v>198.89699999999993</v>
      </c>
      <c r="F32" s="11">
        <f t="shared" si="2"/>
        <v>39560.016608999977</v>
      </c>
    </row>
    <row r="33" spans="1:6" x14ac:dyDescent="0.45">
      <c r="A33">
        <v>1</v>
      </c>
      <c r="B33">
        <v>1</v>
      </c>
      <c r="C33">
        <v>4782</v>
      </c>
      <c r="D33" s="11">
        <f t="shared" si="0"/>
        <v>3894.1030000000001</v>
      </c>
      <c r="E33" s="11">
        <f t="shared" si="1"/>
        <v>887.89699999999993</v>
      </c>
      <c r="F33" s="11">
        <f t="shared" si="2"/>
        <v>788361.08260899992</v>
      </c>
    </row>
    <row r="34" spans="1:6" x14ac:dyDescent="0.45">
      <c r="A34">
        <v>1</v>
      </c>
      <c r="B34">
        <v>0.72</v>
      </c>
      <c r="C34">
        <v>2549</v>
      </c>
      <c r="D34" s="11">
        <f t="shared" si="0"/>
        <v>2333.5977599999997</v>
      </c>
      <c r="E34" s="11">
        <f t="shared" si="1"/>
        <v>215.40224000000035</v>
      </c>
      <c r="F34" s="11">
        <f t="shared" si="2"/>
        <v>46398.124997017752</v>
      </c>
    </row>
    <row r="35" spans="1:6" x14ac:dyDescent="0.45">
      <c r="A35">
        <v>1</v>
      </c>
      <c r="B35">
        <v>1.03</v>
      </c>
      <c r="C35">
        <v>4260</v>
      </c>
      <c r="D35" s="11">
        <f t="shared" si="0"/>
        <v>4061.2999900000004</v>
      </c>
      <c r="E35" s="11">
        <f t="shared" si="1"/>
        <v>198.70000999999957</v>
      </c>
      <c r="F35" s="11">
        <f t="shared" si="2"/>
        <v>39481.693973999929</v>
      </c>
    </row>
    <row r="36" spans="1:6" x14ac:dyDescent="0.45">
      <c r="A36">
        <v>1</v>
      </c>
      <c r="B36">
        <v>0.75</v>
      </c>
      <c r="C36">
        <v>2608</v>
      </c>
      <c r="D36" s="11">
        <f t="shared" si="0"/>
        <v>2500.79475</v>
      </c>
      <c r="E36" s="11">
        <f t="shared" si="1"/>
        <v>107.20524999999998</v>
      </c>
      <c r="F36" s="11">
        <f t="shared" si="2"/>
        <v>11492.965627562495</v>
      </c>
    </row>
    <row r="37" spans="1:6" x14ac:dyDescent="0.45">
      <c r="A37">
        <v>1</v>
      </c>
      <c r="B37">
        <v>0.79</v>
      </c>
      <c r="C37">
        <v>2820</v>
      </c>
      <c r="D37" s="11">
        <f t="shared" si="0"/>
        <v>2723.7240700000002</v>
      </c>
      <c r="E37" s="11">
        <f t="shared" si="1"/>
        <v>96.275929999999789</v>
      </c>
      <c r="F37" s="11">
        <f t="shared" si="2"/>
        <v>9269.0546973648597</v>
      </c>
    </row>
    <row r="38" spans="1:6" x14ac:dyDescent="0.45">
      <c r="A38">
        <v>1</v>
      </c>
      <c r="B38">
        <v>0.72</v>
      </c>
      <c r="C38">
        <v>2458</v>
      </c>
      <c r="D38" s="11">
        <f t="shared" si="0"/>
        <v>2333.5977599999997</v>
      </c>
      <c r="E38" s="11">
        <f t="shared" si="1"/>
        <v>124.40224000000035</v>
      </c>
      <c r="F38" s="11">
        <f t="shared" si="2"/>
        <v>15475.917317017685</v>
      </c>
    </row>
    <row r="39" spans="1:6" x14ac:dyDescent="0.45">
      <c r="A39">
        <v>1</v>
      </c>
      <c r="B39">
        <v>1.03</v>
      </c>
      <c r="C39">
        <v>6605</v>
      </c>
      <c r="D39" s="11">
        <f t="shared" si="0"/>
        <v>4061.2999900000004</v>
      </c>
      <c r="E39" s="11">
        <f t="shared" si="1"/>
        <v>2543.7000099999996</v>
      </c>
      <c r="F39" s="11">
        <f t="shared" si="2"/>
        <v>6470409.740873998</v>
      </c>
    </row>
    <row r="40" spans="1:6" x14ac:dyDescent="0.45">
      <c r="A40">
        <v>1</v>
      </c>
      <c r="B40">
        <v>1.24</v>
      </c>
      <c r="C40">
        <v>6744</v>
      </c>
      <c r="D40" s="11">
        <f t="shared" si="0"/>
        <v>5231.6789200000003</v>
      </c>
      <c r="E40" s="11">
        <f t="shared" si="1"/>
        <v>1512.3210799999997</v>
      </c>
      <c r="F40" s="11">
        <f t="shared" si="2"/>
        <v>2287115.0490123658</v>
      </c>
    </row>
    <row r="41" spans="1:6" x14ac:dyDescent="0.45">
      <c r="A41">
        <v>1</v>
      </c>
      <c r="B41">
        <v>1.06</v>
      </c>
      <c r="C41">
        <v>5208</v>
      </c>
      <c r="D41" s="11">
        <f t="shared" si="0"/>
        <v>4228.4969800000008</v>
      </c>
      <c r="E41" s="11">
        <f t="shared" si="1"/>
        <v>979.5030199999992</v>
      </c>
      <c r="F41" s="11">
        <f t="shared" si="2"/>
        <v>959426.16618911887</v>
      </c>
    </row>
    <row r="42" spans="1:6" x14ac:dyDescent="0.45">
      <c r="A42">
        <v>1</v>
      </c>
      <c r="B42">
        <v>1.1200000000000001</v>
      </c>
      <c r="C42">
        <v>4674</v>
      </c>
      <c r="D42" s="11">
        <f t="shared" si="0"/>
        <v>4562.8909600000006</v>
      </c>
      <c r="E42" s="11">
        <f t="shared" si="1"/>
        <v>111.10903999999937</v>
      </c>
      <c r="F42" s="11">
        <f t="shared" si="2"/>
        <v>12345.218769721459</v>
      </c>
    </row>
    <row r="43" spans="1:6" x14ac:dyDescent="0.45">
      <c r="A43">
        <v>1</v>
      </c>
      <c r="B43">
        <v>0.71</v>
      </c>
      <c r="C43">
        <v>2578</v>
      </c>
      <c r="D43" s="11">
        <f t="shared" si="0"/>
        <v>2277.8654299999998</v>
      </c>
      <c r="E43" s="11">
        <f t="shared" si="1"/>
        <v>300.13457000000017</v>
      </c>
      <c r="F43" s="11">
        <f t="shared" si="2"/>
        <v>90080.760109084993</v>
      </c>
    </row>
    <row r="44" spans="1:6" x14ac:dyDescent="0.45">
      <c r="A44">
        <v>1</v>
      </c>
      <c r="B44">
        <v>1.22</v>
      </c>
      <c r="C44">
        <v>6461</v>
      </c>
      <c r="D44" s="11">
        <f t="shared" si="0"/>
        <v>5120.2142599999997</v>
      </c>
      <c r="E44" s="11">
        <f t="shared" si="1"/>
        <v>1340.7857400000003</v>
      </c>
      <c r="F44" s="11">
        <f t="shared" si="2"/>
        <v>1797706.4005873483</v>
      </c>
    </row>
    <row r="45" spans="1:6" x14ac:dyDescent="0.45">
      <c r="A45">
        <v>1</v>
      </c>
      <c r="B45">
        <v>1.03</v>
      </c>
      <c r="C45">
        <v>6605</v>
      </c>
      <c r="D45" s="11">
        <f t="shared" si="0"/>
        <v>4061.2999900000004</v>
      </c>
      <c r="E45" s="11">
        <f t="shared" si="1"/>
        <v>2543.7000099999996</v>
      </c>
      <c r="F45" s="11">
        <f t="shared" si="2"/>
        <v>6470409.740873998</v>
      </c>
    </row>
    <row r="46" spans="1:6" x14ac:dyDescent="0.45">
      <c r="A46">
        <v>1</v>
      </c>
      <c r="B46">
        <v>0.7</v>
      </c>
      <c r="C46">
        <v>2399</v>
      </c>
      <c r="D46" s="11">
        <f t="shared" si="0"/>
        <v>2222.1330999999996</v>
      </c>
      <c r="E46" s="11">
        <f t="shared" si="1"/>
        <v>176.86690000000044</v>
      </c>
      <c r="F46" s="11">
        <f t="shared" si="2"/>
        <v>31281.900315610157</v>
      </c>
    </row>
    <row r="47" spans="1:6" x14ac:dyDescent="0.45">
      <c r="A47">
        <v>1</v>
      </c>
      <c r="B47">
        <v>0.71</v>
      </c>
      <c r="C47">
        <v>2578</v>
      </c>
      <c r="D47" s="11">
        <f t="shared" si="0"/>
        <v>2277.8654299999998</v>
      </c>
      <c r="E47" s="11">
        <f t="shared" si="1"/>
        <v>300.13457000000017</v>
      </c>
      <c r="F47" s="11">
        <f t="shared" si="2"/>
        <v>90080.760109084993</v>
      </c>
    </row>
    <row r="48" spans="1:6" x14ac:dyDescent="0.45">
      <c r="A48">
        <v>1</v>
      </c>
      <c r="B48">
        <v>0.8</v>
      </c>
      <c r="C48">
        <v>2802</v>
      </c>
      <c r="D48" s="11">
        <f t="shared" si="0"/>
        <v>2779.4564</v>
      </c>
      <c r="E48" s="11">
        <f t="shared" si="1"/>
        <v>22.543599999999969</v>
      </c>
      <c r="F48" s="11">
        <f t="shared" si="2"/>
        <v>508.21390095999863</v>
      </c>
    </row>
    <row r="49" spans="1:6" x14ac:dyDescent="0.45">
      <c r="A49">
        <v>1</v>
      </c>
      <c r="B49">
        <v>0.7</v>
      </c>
      <c r="C49">
        <v>2399</v>
      </c>
      <c r="D49" s="11">
        <f t="shared" si="0"/>
        <v>2222.1330999999996</v>
      </c>
      <c r="E49" s="11">
        <f t="shared" si="1"/>
        <v>176.86690000000044</v>
      </c>
      <c r="F49" s="11">
        <f t="shared" si="2"/>
        <v>31281.900315610157</v>
      </c>
    </row>
    <row r="50" spans="1:6" x14ac:dyDescent="0.45">
      <c r="A50">
        <v>1</v>
      </c>
      <c r="B50">
        <v>0.72</v>
      </c>
      <c r="C50">
        <v>2610</v>
      </c>
      <c r="D50" s="11">
        <f t="shared" si="0"/>
        <v>2333.5977599999997</v>
      </c>
      <c r="E50" s="11">
        <f t="shared" si="1"/>
        <v>276.40224000000035</v>
      </c>
      <c r="F50" s="11">
        <f t="shared" si="2"/>
        <v>76398.198277017786</v>
      </c>
    </row>
    <row r="51" spans="1:6" x14ac:dyDescent="0.45">
      <c r="A51">
        <v>1</v>
      </c>
      <c r="B51">
        <v>0.76</v>
      </c>
      <c r="C51">
        <v>2643</v>
      </c>
      <c r="D51" s="11">
        <f t="shared" si="0"/>
        <v>2556.5270799999998</v>
      </c>
      <c r="E51" s="11">
        <f t="shared" si="1"/>
        <v>86.472920000000158</v>
      </c>
      <c r="F51" s="11">
        <f t="shared" si="2"/>
        <v>7477.5658933264276</v>
      </c>
    </row>
    <row r="52" spans="1:6" x14ac:dyDescent="0.45">
      <c r="A52">
        <v>1</v>
      </c>
      <c r="B52">
        <v>1.27</v>
      </c>
      <c r="C52">
        <v>6353</v>
      </c>
      <c r="D52" s="11">
        <f t="shared" si="0"/>
        <v>5398.8759100000007</v>
      </c>
      <c r="E52" s="11">
        <f t="shared" si="1"/>
        <v>954.12408999999934</v>
      </c>
      <c r="F52" s="11">
        <f t="shared" si="2"/>
        <v>910352.77911832684</v>
      </c>
    </row>
    <row r="53" spans="1:6" x14ac:dyDescent="0.45">
      <c r="A53">
        <v>1</v>
      </c>
      <c r="B53">
        <v>1.2</v>
      </c>
      <c r="C53">
        <v>6541</v>
      </c>
      <c r="D53" s="11">
        <f t="shared" si="0"/>
        <v>5008.7496000000001</v>
      </c>
      <c r="E53" s="11">
        <f t="shared" si="1"/>
        <v>1532.2503999999999</v>
      </c>
      <c r="F53" s="11">
        <f t="shared" si="2"/>
        <v>2347791.2883001599</v>
      </c>
    </row>
    <row r="54" spans="1:6" x14ac:dyDescent="0.45">
      <c r="A54">
        <v>1</v>
      </c>
      <c r="B54">
        <v>0.91</v>
      </c>
      <c r="C54">
        <v>3915</v>
      </c>
      <c r="D54" s="11">
        <f t="shared" si="0"/>
        <v>3392.5120299999999</v>
      </c>
      <c r="E54" s="11">
        <f t="shared" si="1"/>
        <v>522.48797000000013</v>
      </c>
      <c r="F54" s="11">
        <f t="shared" si="2"/>
        <v>272993.67879472103</v>
      </c>
    </row>
    <row r="55" spans="1:6" x14ac:dyDescent="0.45">
      <c r="A55">
        <v>1</v>
      </c>
      <c r="B55">
        <v>1.0900000000000001</v>
      </c>
      <c r="C55">
        <v>4555</v>
      </c>
      <c r="D55" s="11">
        <f t="shared" si="0"/>
        <v>4395.6939700000003</v>
      </c>
      <c r="E55" s="11">
        <f t="shared" si="1"/>
        <v>159.30602999999974</v>
      </c>
      <c r="F55" s="11">
        <f t="shared" si="2"/>
        <v>25378.411194360815</v>
      </c>
    </row>
    <row r="56" spans="1:6" x14ac:dyDescent="0.45">
      <c r="A56">
        <v>1</v>
      </c>
      <c r="B56">
        <v>1.02</v>
      </c>
      <c r="C56">
        <v>4296</v>
      </c>
      <c r="D56" s="11">
        <f t="shared" si="0"/>
        <v>4005.5676600000006</v>
      </c>
      <c r="E56" s="11">
        <f t="shared" si="1"/>
        <v>290.43233999999939</v>
      </c>
      <c r="F56" s="11">
        <f t="shared" si="2"/>
        <v>84350.944117875246</v>
      </c>
    </row>
    <row r="57" spans="1:6" x14ac:dyDescent="0.45">
      <c r="A57">
        <v>1</v>
      </c>
      <c r="B57">
        <v>1.07</v>
      </c>
      <c r="C57">
        <v>4293</v>
      </c>
      <c r="D57" s="11">
        <f t="shared" si="0"/>
        <v>4284.2293100000006</v>
      </c>
      <c r="E57" s="11">
        <f t="shared" si="1"/>
        <v>8.7706899999993766</v>
      </c>
      <c r="F57" s="11">
        <f t="shared" si="2"/>
        <v>76.92500307608907</v>
      </c>
    </row>
    <row r="58" spans="1:6" x14ac:dyDescent="0.45">
      <c r="A58">
        <v>1</v>
      </c>
      <c r="B58">
        <v>1.0900000000000001</v>
      </c>
      <c r="C58">
        <v>4679</v>
      </c>
      <c r="D58" s="11">
        <f t="shared" si="0"/>
        <v>4395.6939700000003</v>
      </c>
      <c r="E58" s="11">
        <f t="shared" si="1"/>
        <v>283.30602999999974</v>
      </c>
      <c r="F58" s="11">
        <f t="shared" si="2"/>
        <v>80262.30663436075</v>
      </c>
    </row>
    <row r="59" spans="1:6" x14ac:dyDescent="0.45">
      <c r="A59">
        <v>1</v>
      </c>
      <c r="B59">
        <v>1.2</v>
      </c>
      <c r="C59">
        <v>6210</v>
      </c>
      <c r="D59" s="11">
        <f t="shared" si="0"/>
        <v>5008.7496000000001</v>
      </c>
      <c r="E59" s="11">
        <f t="shared" si="1"/>
        <v>1201.2503999999999</v>
      </c>
      <c r="F59" s="11">
        <f t="shared" si="2"/>
        <v>1443002.5235001598</v>
      </c>
    </row>
    <row r="60" spans="1:6" x14ac:dyDescent="0.45">
      <c r="A60">
        <v>1</v>
      </c>
      <c r="B60">
        <v>1.2</v>
      </c>
      <c r="C60">
        <v>6541</v>
      </c>
      <c r="D60" s="11">
        <f t="shared" si="0"/>
        <v>5008.7496000000001</v>
      </c>
      <c r="E60" s="11">
        <f t="shared" si="1"/>
        <v>1532.2503999999999</v>
      </c>
      <c r="F60" s="11">
        <f t="shared" si="2"/>
        <v>2347791.2883001599</v>
      </c>
    </row>
    <row r="61" spans="1:6" x14ac:dyDescent="0.45">
      <c r="A61">
        <v>1</v>
      </c>
      <c r="B61">
        <v>1.1399999999999999</v>
      </c>
      <c r="C61">
        <v>5122</v>
      </c>
      <c r="D61" s="11">
        <f t="shared" si="0"/>
        <v>4674.3556199999994</v>
      </c>
      <c r="E61" s="11">
        <f t="shared" si="1"/>
        <v>447.64438000000064</v>
      </c>
      <c r="F61" s="11">
        <f t="shared" si="2"/>
        <v>200385.49094558498</v>
      </c>
    </row>
    <row r="62" spans="1:6" x14ac:dyDescent="0.45">
      <c r="A62">
        <v>1</v>
      </c>
      <c r="B62">
        <v>1.07</v>
      </c>
      <c r="C62">
        <v>4293</v>
      </c>
      <c r="D62" s="11">
        <f t="shared" si="0"/>
        <v>4284.2293100000006</v>
      </c>
      <c r="E62" s="11">
        <f t="shared" si="1"/>
        <v>8.7706899999993766</v>
      </c>
      <c r="F62" s="11">
        <f t="shared" si="2"/>
        <v>76.92500307608907</v>
      </c>
    </row>
    <row r="63" spans="1:6" x14ac:dyDescent="0.45">
      <c r="A63">
        <v>1</v>
      </c>
      <c r="B63">
        <v>1.03</v>
      </c>
      <c r="C63">
        <v>4498</v>
      </c>
      <c r="D63" s="11">
        <f t="shared" si="0"/>
        <v>4061.2999900000004</v>
      </c>
      <c r="E63" s="11">
        <f t="shared" si="1"/>
        <v>436.70000999999957</v>
      </c>
      <c r="F63" s="11">
        <f t="shared" si="2"/>
        <v>190706.89873399973</v>
      </c>
    </row>
    <row r="64" spans="1:6" x14ac:dyDescent="0.45">
      <c r="A64">
        <v>1</v>
      </c>
      <c r="B64">
        <v>0.9</v>
      </c>
      <c r="C64">
        <v>3342</v>
      </c>
      <c r="D64" s="11">
        <f t="shared" si="0"/>
        <v>3336.7797</v>
      </c>
      <c r="E64" s="11">
        <f t="shared" si="1"/>
        <v>5.220299999999952</v>
      </c>
      <c r="F64" s="11">
        <f t="shared" si="2"/>
        <v>27.2515320899995</v>
      </c>
    </row>
    <row r="65" spans="1:6" x14ac:dyDescent="0.45">
      <c r="A65">
        <v>1</v>
      </c>
      <c r="B65">
        <v>1.06</v>
      </c>
      <c r="C65">
        <v>4560</v>
      </c>
      <c r="D65" s="11">
        <f t="shared" si="0"/>
        <v>4228.4969800000008</v>
      </c>
      <c r="E65" s="11">
        <f t="shared" si="1"/>
        <v>331.5030199999992</v>
      </c>
      <c r="F65" s="11">
        <f t="shared" si="2"/>
        <v>109894.25226911987</v>
      </c>
    </row>
    <row r="66" spans="1:6" x14ac:dyDescent="0.45">
      <c r="A66">
        <v>1</v>
      </c>
      <c r="B66">
        <v>1.17</v>
      </c>
      <c r="C66">
        <v>5031</v>
      </c>
      <c r="D66" s="11">
        <f t="shared" ref="D66:D129" si="3">$J$3+$J$4*B66</f>
        <v>4841.5526099999997</v>
      </c>
      <c r="E66" s="11">
        <f t="shared" ref="E66:E129" si="4">C66-D66</f>
        <v>189.44739000000027</v>
      </c>
      <c r="F66" s="11">
        <f t="shared" ref="F66:F129" si="5">E66^2</f>
        <v>35890.313577812201</v>
      </c>
    </row>
    <row r="67" spans="1:6" x14ac:dyDescent="0.45">
      <c r="A67">
        <v>1</v>
      </c>
      <c r="B67">
        <v>0.85</v>
      </c>
      <c r="C67">
        <v>2842</v>
      </c>
      <c r="D67" s="11">
        <f t="shared" si="3"/>
        <v>3058.11805</v>
      </c>
      <c r="E67" s="11">
        <f t="shared" si="4"/>
        <v>-216.11805000000004</v>
      </c>
      <c r="F67" s="11">
        <f t="shared" si="5"/>
        <v>46707.011535802514</v>
      </c>
    </row>
    <row r="68" spans="1:6" x14ac:dyDescent="0.45">
      <c r="A68">
        <v>1</v>
      </c>
      <c r="B68">
        <v>1.06</v>
      </c>
      <c r="C68">
        <v>4482</v>
      </c>
      <c r="D68" s="11">
        <f t="shared" si="3"/>
        <v>4228.4969800000008</v>
      </c>
      <c r="E68" s="11">
        <f t="shared" si="4"/>
        <v>253.5030199999992</v>
      </c>
      <c r="F68" s="11">
        <f t="shared" si="5"/>
        <v>64263.78114911999</v>
      </c>
    </row>
    <row r="69" spans="1:6" x14ac:dyDescent="0.45">
      <c r="A69">
        <v>1</v>
      </c>
      <c r="B69">
        <v>1.01</v>
      </c>
      <c r="C69">
        <v>4540</v>
      </c>
      <c r="D69" s="11">
        <f t="shared" si="3"/>
        <v>3949.8353299999999</v>
      </c>
      <c r="E69" s="11">
        <f t="shared" si="4"/>
        <v>590.16467000000011</v>
      </c>
      <c r="F69" s="11">
        <f t="shared" si="5"/>
        <v>348294.33771620906</v>
      </c>
    </row>
    <row r="70" spans="1:6" x14ac:dyDescent="0.45">
      <c r="A70">
        <v>1</v>
      </c>
      <c r="B70">
        <v>1.02</v>
      </c>
      <c r="C70">
        <v>4322</v>
      </c>
      <c r="D70" s="11">
        <f t="shared" si="3"/>
        <v>4005.5676600000006</v>
      </c>
      <c r="E70" s="11">
        <f t="shared" si="4"/>
        <v>316.43233999999939</v>
      </c>
      <c r="F70" s="11">
        <f t="shared" si="5"/>
        <v>100129.42579787521</v>
      </c>
    </row>
    <row r="71" spans="1:6" x14ac:dyDescent="0.45">
      <c r="A71">
        <v>1</v>
      </c>
      <c r="B71">
        <v>0.91</v>
      </c>
      <c r="C71">
        <v>3389</v>
      </c>
      <c r="D71" s="11">
        <f t="shared" si="3"/>
        <v>3392.5120299999999</v>
      </c>
      <c r="E71" s="11">
        <f t="shared" si="4"/>
        <v>-3.5120299999998679</v>
      </c>
      <c r="F71" s="11">
        <f t="shared" si="5"/>
        <v>12.334354720899071</v>
      </c>
    </row>
    <row r="72" spans="1:6" x14ac:dyDescent="0.45">
      <c r="A72">
        <v>1</v>
      </c>
      <c r="B72">
        <v>1.1000000000000001</v>
      </c>
      <c r="C72">
        <v>4802</v>
      </c>
      <c r="D72" s="11">
        <f t="shared" si="3"/>
        <v>4451.426300000001</v>
      </c>
      <c r="E72" s="11">
        <f t="shared" si="4"/>
        <v>350.57369999999901</v>
      </c>
      <c r="F72" s="11">
        <f t="shared" si="5"/>
        <v>122901.9191316893</v>
      </c>
    </row>
    <row r="73" spans="1:6" x14ac:dyDescent="0.45">
      <c r="A73">
        <v>1</v>
      </c>
      <c r="B73">
        <v>1.1200000000000001</v>
      </c>
      <c r="C73">
        <v>4889</v>
      </c>
      <c r="D73" s="11">
        <f t="shared" si="3"/>
        <v>4562.8909600000006</v>
      </c>
      <c r="E73" s="11">
        <f t="shared" si="4"/>
        <v>326.10903999999937</v>
      </c>
      <c r="F73" s="11">
        <f t="shared" si="5"/>
        <v>106347.10596972119</v>
      </c>
    </row>
    <row r="74" spans="1:6" x14ac:dyDescent="0.45">
      <c r="A74">
        <v>1</v>
      </c>
      <c r="B74">
        <v>1.05</v>
      </c>
      <c r="C74">
        <v>4517</v>
      </c>
      <c r="D74" s="11">
        <f t="shared" si="3"/>
        <v>4172.7646500000001</v>
      </c>
      <c r="E74" s="11">
        <f t="shared" si="4"/>
        <v>344.23534999999993</v>
      </c>
      <c r="F74" s="11">
        <f t="shared" si="5"/>
        <v>118497.97618962245</v>
      </c>
    </row>
    <row r="75" spans="1:6" x14ac:dyDescent="0.45">
      <c r="A75">
        <v>1</v>
      </c>
      <c r="B75">
        <v>1.01</v>
      </c>
      <c r="C75">
        <v>4252</v>
      </c>
      <c r="D75" s="11">
        <f t="shared" si="3"/>
        <v>3949.8353299999999</v>
      </c>
      <c r="E75" s="11">
        <f t="shared" si="4"/>
        <v>302.16467000000011</v>
      </c>
      <c r="F75" s="11">
        <f t="shared" si="5"/>
        <v>91303.487796208967</v>
      </c>
    </row>
    <row r="76" spans="1:6" x14ac:dyDescent="0.45">
      <c r="A76">
        <v>1</v>
      </c>
      <c r="B76">
        <v>1.03</v>
      </c>
      <c r="C76">
        <v>4498</v>
      </c>
      <c r="D76" s="11">
        <f t="shared" si="3"/>
        <v>4061.2999900000004</v>
      </c>
      <c r="E76" s="11">
        <f t="shared" si="4"/>
        <v>436.70000999999957</v>
      </c>
      <c r="F76" s="11">
        <f t="shared" si="5"/>
        <v>190706.89873399973</v>
      </c>
    </row>
    <row r="77" spans="1:6" x14ac:dyDescent="0.45">
      <c r="A77">
        <v>1</v>
      </c>
      <c r="B77">
        <v>1.1599999999999999</v>
      </c>
      <c r="C77">
        <v>5416</v>
      </c>
      <c r="D77" s="11">
        <f t="shared" si="3"/>
        <v>4785.8202799999999</v>
      </c>
      <c r="E77" s="11">
        <f t="shared" si="4"/>
        <v>630.17972000000009</v>
      </c>
      <c r="F77" s="11">
        <f t="shared" si="5"/>
        <v>397126.47949927853</v>
      </c>
    </row>
    <row r="78" spans="1:6" x14ac:dyDescent="0.45">
      <c r="A78">
        <v>1</v>
      </c>
      <c r="B78">
        <v>1.05</v>
      </c>
      <c r="C78">
        <v>5054</v>
      </c>
      <c r="D78" s="11">
        <f t="shared" si="3"/>
        <v>4172.7646500000001</v>
      </c>
      <c r="E78" s="11">
        <f t="shared" si="4"/>
        <v>881.23534999999993</v>
      </c>
      <c r="F78" s="11">
        <f t="shared" si="5"/>
        <v>776575.74208962242</v>
      </c>
    </row>
    <row r="79" spans="1:6" x14ac:dyDescent="0.45">
      <c r="A79">
        <v>1</v>
      </c>
      <c r="B79">
        <v>1.01</v>
      </c>
      <c r="C79">
        <v>4362</v>
      </c>
      <c r="D79" s="11">
        <f t="shared" si="3"/>
        <v>3949.8353299999999</v>
      </c>
      <c r="E79" s="11">
        <f t="shared" si="4"/>
        <v>412.16467000000011</v>
      </c>
      <c r="F79" s="11">
        <f t="shared" si="5"/>
        <v>169879.715196209</v>
      </c>
    </row>
    <row r="80" spans="1:6" x14ac:dyDescent="0.45">
      <c r="A80">
        <v>1</v>
      </c>
      <c r="B80">
        <v>0.9</v>
      </c>
      <c r="C80">
        <v>3389</v>
      </c>
      <c r="D80" s="11">
        <f t="shared" si="3"/>
        <v>3336.7797</v>
      </c>
      <c r="E80" s="11">
        <f t="shared" si="4"/>
        <v>52.220299999999952</v>
      </c>
      <c r="F80" s="11">
        <f t="shared" si="5"/>
        <v>2726.9597320899948</v>
      </c>
    </row>
    <row r="81" spans="1:6" x14ac:dyDescent="0.45">
      <c r="A81">
        <v>1</v>
      </c>
      <c r="B81">
        <v>1.18</v>
      </c>
      <c r="C81">
        <v>5150</v>
      </c>
      <c r="D81" s="11">
        <f t="shared" si="3"/>
        <v>4897.2849399999996</v>
      </c>
      <c r="E81" s="11">
        <f t="shared" si="4"/>
        <v>252.71506000000045</v>
      </c>
      <c r="F81" s="11">
        <f t="shared" si="5"/>
        <v>63864.901550803828</v>
      </c>
    </row>
    <row r="82" spans="1:6" x14ac:dyDescent="0.45">
      <c r="A82">
        <v>1</v>
      </c>
      <c r="B82">
        <v>1.1000000000000001</v>
      </c>
      <c r="C82">
        <v>4821</v>
      </c>
      <c r="D82" s="11">
        <f t="shared" si="3"/>
        <v>4451.426300000001</v>
      </c>
      <c r="E82" s="11">
        <f t="shared" si="4"/>
        <v>369.57369999999901</v>
      </c>
      <c r="F82" s="11">
        <f t="shared" si="5"/>
        <v>136584.71973168926</v>
      </c>
    </row>
    <row r="83" spans="1:6" x14ac:dyDescent="0.45">
      <c r="A83">
        <v>1</v>
      </c>
      <c r="B83">
        <v>1.03</v>
      </c>
      <c r="C83">
        <v>4432</v>
      </c>
      <c r="D83" s="11">
        <f t="shared" si="3"/>
        <v>4061.2999900000004</v>
      </c>
      <c r="E83" s="11">
        <f t="shared" si="4"/>
        <v>370.70000999999957</v>
      </c>
      <c r="F83" s="11">
        <f t="shared" si="5"/>
        <v>137418.49741399978</v>
      </c>
    </row>
    <row r="84" spans="1:6" x14ac:dyDescent="0.45">
      <c r="A84">
        <v>1</v>
      </c>
      <c r="B84">
        <v>0.9</v>
      </c>
      <c r="C84">
        <v>3435</v>
      </c>
      <c r="D84" s="11">
        <f t="shared" si="3"/>
        <v>3336.7797</v>
      </c>
      <c r="E84" s="11">
        <f t="shared" si="4"/>
        <v>98.220299999999952</v>
      </c>
      <c r="F84" s="11">
        <f t="shared" si="5"/>
        <v>9647.2273320899913</v>
      </c>
    </row>
    <row r="85" spans="1:6" x14ac:dyDescent="0.45">
      <c r="A85">
        <v>1</v>
      </c>
      <c r="B85">
        <v>0.71</v>
      </c>
      <c r="C85">
        <v>2488</v>
      </c>
      <c r="D85" s="11">
        <f t="shared" si="3"/>
        <v>2277.8654299999998</v>
      </c>
      <c r="E85" s="11">
        <f t="shared" si="4"/>
        <v>210.13457000000017</v>
      </c>
      <c r="F85" s="11">
        <f t="shared" si="5"/>
        <v>44156.53750908497</v>
      </c>
    </row>
    <row r="86" spans="1:6" x14ac:dyDescent="0.45">
      <c r="A86">
        <v>1</v>
      </c>
      <c r="B86">
        <v>0.9</v>
      </c>
      <c r="C86">
        <v>3734</v>
      </c>
      <c r="D86" s="11">
        <f t="shared" si="3"/>
        <v>3336.7797</v>
      </c>
      <c r="E86" s="11">
        <f t="shared" si="4"/>
        <v>397.22029999999995</v>
      </c>
      <c r="F86" s="11">
        <f t="shared" si="5"/>
        <v>157783.96673208996</v>
      </c>
    </row>
    <row r="87" spans="1:6" x14ac:dyDescent="0.45">
      <c r="A87">
        <v>1</v>
      </c>
      <c r="B87">
        <v>1.06</v>
      </c>
      <c r="C87">
        <v>4577</v>
      </c>
      <c r="D87" s="11">
        <f t="shared" si="3"/>
        <v>4228.4969800000008</v>
      </c>
      <c r="E87" s="11">
        <f t="shared" si="4"/>
        <v>348.5030199999992</v>
      </c>
      <c r="F87" s="11">
        <f t="shared" si="5"/>
        <v>121454.35494911984</v>
      </c>
    </row>
    <row r="88" spans="1:6" x14ac:dyDescent="0.45">
      <c r="A88">
        <v>1</v>
      </c>
      <c r="B88">
        <v>0.7</v>
      </c>
      <c r="C88">
        <v>2133</v>
      </c>
      <c r="D88" s="11">
        <f t="shared" si="3"/>
        <v>2222.1330999999996</v>
      </c>
      <c r="E88" s="11">
        <f t="shared" si="4"/>
        <v>-89.133099999999558</v>
      </c>
      <c r="F88" s="11">
        <f t="shared" si="5"/>
        <v>7944.7095156099213</v>
      </c>
    </row>
    <row r="89" spans="1:6" x14ac:dyDescent="0.45">
      <c r="A89">
        <v>1</v>
      </c>
      <c r="B89">
        <v>1.03</v>
      </c>
      <c r="C89">
        <v>4448</v>
      </c>
      <c r="D89" s="11">
        <f t="shared" si="3"/>
        <v>4061.2999900000004</v>
      </c>
      <c r="E89" s="11">
        <f t="shared" si="4"/>
        <v>386.70000999999957</v>
      </c>
      <c r="F89" s="11">
        <f t="shared" si="5"/>
        <v>149536.89773399977</v>
      </c>
    </row>
    <row r="90" spans="1:6" x14ac:dyDescent="0.45">
      <c r="A90">
        <v>1</v>
      </c>
      <c r="B90">
        <v>0.91</v>
      </c>
      <c r="C90">
        <v>3771</v>
      </c>
      <c r="D90" s="11">
        <f t="shared" si="3"/>
        <v>3392.5120299999999</v>
      </c>
      <c r="E90" s="11">
        <f t="shared" si="4"/>
        <v>378.48797000000013</v>
      </c>
      <c r="F90" s="11">
        <f t="shared" si="5"/>
        <v>143253.14343472099</v>
      </c>
    </row>
    <row r="91" spans="1:6" x14ac:dyDescent="0.45">
      <c r="A91">
        <v>1</v>
      </c>
      <c r="B91">
        <v>1.06</v>
      </c>
      <c r="C91">
        <v>4628</v>
      </c>
      <c r="D91" s="11">
        <f t="shared" si="3"/>
        <v>4228.4969800000008</v>
      </c>
      <c r="E91" s="11">
        <f t="shared" si="4"/>
        <v>399.5030199999992</v>
      </c>
      <c r="F91" s="11">
        <f t="shared" si="5"/>
        <v>159602.66298911977</v>
      </c>
    </row>
    <row r="92" spans="1:6" x14ac:dyDescent="0.45">
      <c r="A92">
        <v>1</v>
      </c>
      <c r="B92">
        <v>1.06</v>
      </c>
      <c r="C92">
        <v>4577</v>
      </c>
      <c r="D92" s="11">
        <f t="shared" si="3"/>
        <v>4228.4969800000008</v>
      </c>
      <c r="E92" s="11">
        <f t="shared" si="4"/>
        <v>348.5030199999992</v>
      </c>
      <c r="F92" s="11">
        <f t="shared" si="5"/>
        <v>121454.35494911984</v>
      </c>
    </row>
    <row r="93" spans="1:6" x14ac:dyDescent="0.45">
      <c r="A93">
        <v>1</v>
      </c>
      <c r="B93">
        <v>1.01</v>
      </c>
      <c r="C93">
        <v>4529</v>
      </c>
      <c r="D93" s="11">
        <f t="shared" si="3"/>
        <v>3949.8353299999999</v>
      </c>
      <c r="E93" s="11">
        <f t="shared" si="4"/>
        <v>579.16467000000011</v>
      </c>
      <c r="F93" s="11">
        <f t="shared" si="5"/>
        <v>335431.71497620904</v>
      </c>
    </row>
    <row r="94" spans="1:6" x14ac:dyDescent="0.45">
      <c r="A94">
        <v>1</v>
      </c>
      <c r="B94">
        <v>0.79</v>
      </c>
      <c r="C94">
        <v>2441</v>
      </c>
      <c r="D94" s="11">
        <f t="shared" si="3"/>
        <v>2723.7240700000002</v>
      </c>
      <c r="E94" s="11">
        <f t="shared" si="4"/>
        <v>-282.72407000000021</v>
      </c>
      <c r="F94" s="11">
        <f t="shared" si="5"/>
        <v>79932.899757365012</v>
      </c>
    </row>
    <row r="95" spans="1:6" x14ac:dyDescent="0.45">
      <c r="A95">
        <v>1</v>
      </c>
      <c r="B95">
        <v>1.01</v>
      </c>
      <c r="C95">
        <v>4433</v>
      </c>
      <c r="D95" s="11">
        <f t="shared" si="3"/>
        <v>3949.8353299999999</v>
      </c>
      <c r="E95" s="11">
        <f t="shared" si="4"/>
        <v>483.16467000000011</v>
      </c>
      <c r="F95" s="11">
        <f t="shared" si="5"/>
        <v>233448.09833620902</v>
      </c>
    </row>
    <row r="96" spans="1:6" x14ac:dyDescent="0.45">
      <c r="A96">
        <v>1</v>
      </c>
      <c r="B96">
        <v>1.02</v>
      </c>
      <c r="C96">
        <v>4517</v>
      </c>
      <c r="D96" s="11">
        <f t="shared" si="3"/>
        <v>4005.5676600000006</v>
      </c>
      <c r="E96" s="11">
        <f t="shared" si="4"/>
        <v>511.43233999999939</v>
      </c>
      <c r="F96" s="11">
        <f t="shared" si="5"/>
        <v>261563.03839787497</v>
      </c>
    </row>
    <row r="97" spans="1:6" x14ac:dyDescent="0.45">
      <c r="A97">
        <v>1</v>
      </c>
      <c r="B97">
        <v>1</v>
      </c>
      <c r="C97">
        <v>4481</v>
      </c>
      <c r="D97" s="11">
        <f t="shared" si="3"/>
        <v>3894.1030000000001</v>
      </c>
      <c r="E97" s="11">
        <f t="shared" si="4"/>
        <v>586.89699999999993</v>
      </c>
      <c r="F97" s="11">
        <f t="shared" si="5"/>
        <v>344448.08860899991</v>
      </c>
    </row>
    <row r="98" spans="1:6" x14ac:dyDescent="0.45">
      <c r="A98">
        <v>1</v>
      </c>
      <c r="B98">
        <v>1.02</v>
      </c>
      <c r="C98">
        <v>4585</v>
      </c>
      <c r="D98" s="11">
        <f t="shared" si="3"/>
        <v>4005.5676600000006</v>
      </c>
      <c r="E98" s="11">
        <f t="shared" si="4"/>
        <v>579.43233999999939</v>
      </c>
      <c r="F98" s="11">
        <f t="shared" si="5"/>
        <v>335741.83663787489</v>
      </c>
    </row>
    <row r="99" spans="1:6" x14ac:dyDescent="0.45">
      <c r="A99">
        <v>1</v>
      </c>
      <c r="B99">
        <v>0.7</v>
      </c>
      <c r="C99">
        <v>2222</v>
      </c>
      <c r="D99" s="11">
        <f t="shared" si="3"/>
        <v>2222.1330999999996</v>
      </c>
      <c r="E99" s="11">
        <f t="shared" si="4"/>
        <v>-0.13309999999955835</v>
      </c>
      <c r="F99" s="11">
        <f t="shared" si="5"/>
        <v>1.7715609999882434E-2</v>
      </c>
    </row>
    <row r="100" spans="1:6" x14ac:dyDescent="0.45">
      <c r="A100">
        <v>1</v>
      </c>
      <c r="B100">
        <v>1.1399999999999999</v>
      </c>
      <c r="C100">
        <v>5122</v>
      </c>
      <c r="D100" s="11">
        <f t="shared" si="3"/>
        <v>4674.3556199999994</v>
      </c>
      <c r="E100" s="11">
        <f t="shared" si="4"/>
        <v>447.64438000000064</v>
      </c>
      <c r="F100" s="11">
        <f t="shared" si="5"/>
        <v>200385.49094558498</v>
      </c>
    </row>
    <row r="101" spans="1:6" x14ac:dyDescent="0.45">
      <c r="A101">
        <v>1</v>
      </c>
      <c r="B101">
        <v>1.1399999999999999</v>
      </c>
      <c r="C101">
        <v>5122</v>
      </c>
      <c r="D101" s="11">
        <f t="shared" si="3"/>
        <v>4674.3556199999994</v>
      </c>
      <c r="E101" s="11">
        <f t="shared" si="4"/>
        <v>447.64438000000064</v>
      </c>
      <c r="F101" s="11">
        <f t="shared" si="5"/>
        <v>200385.49094558498</v>
      </c>
    </row>
    <row r="102" spans="1:6" x14ac:dyDescent="0.45">
      <c r="A102">
        <v>1</v>
      </c>
      <c r="B102">
        <v>1</v>
      </c>
      <c r="C102">
        <v>4424</v>
      </c>
      <c r="D102" s="11">
        <f t="shared" si="3"/>
        <v>3894.1030000000001</v>
      </c>
      <c r="E102" s="11">
        <f t="shared" si="4"/>
        <v>529.89699999999993</v>
      </c>
      <c r="F102" s="11">
        <f t="shared" si="5"/>
        <v>280790.83060899994</v>
      </c>
    </row>
    <row r="103" spans="1:6" x14ac:dyDescent="0.45">
      <c r="A103">
        <v>1</v>
      </c>
      <c r="B103">
        <v>1.2</v>
      </c>
      <c r="C103">
        <v>5549</v>
      </c>
      <c r="D103" s="11">
        <f t="shared" si="3"/>
        <v>5008.7496000000001</v>
      </c>
      <c r="E103" s="11">
        <f t="shared" si="4"/>
        <v>540.2503999999999</v>
      </c>
      <c r="F103" s="11">
        <f t="shared" si="5"/>
        <v>291870.49470015988</v>
      </c>
    </row>
    <row r="104" spans="1:6" x14ac:dyDescent="0.45">
      <c r="A104">
        <v>1</v>
      </c>
      <c r="B104">
        <v>0.7</v>
      </c>
      <c r="C104">
        <v>2240</v>
      </c>
      <c r="D104" s="11">
        <f t="shared" si="3"/>
        <v>2222.1330999999996</v>
      </c>
      <c r="E104" s="11">
        <f t="shared" si="4"/>
        <v>17.866900000000442</v>
      </c>
      <c r="F104" s="11">
        <f t="shared" si="5"/>
        <v>319.22611561001577</v>
      </c>
    </row>
    <row r="105" spans="1:6" x14ac:dyDescent="0.45">
      <c r="A105">
        <v>1</v>
      </c>
      <c r="B105">
        <v>1</v>
      </c>
      <c r="C105">
        <v>4539</v>
      </c>
      <c r="D105" s="11">
        <f t="shared" si="3"/>
        <v>3894.1030000000001</v>
      </c>
      <c r="E105" s="11">
        <f t="shared" si="4"/>
        <v>644.89699999999993</v>
      </c>
      <c r="F105" s="11">
        <f t="shared" si="5"/>
        <v>415892.14060899994</v>
      </c>
    </row>
    <row r="106" spans="1:6" x14ac:dyDescent="0.45">
      <c r="A106">
        <v>1</v>
      </c>
      <c r="B106">
        <v>1.01</v>
      </c>
      <c r="C106">
        <v>4540</v>
      </c>
      <c r="D106" s="11">
        <f t="shared" si="3"/>
        <v>3949.8353299999999</v>
      </c>
      <c r="E106" s="11">
        <f t="shared" si="4"/>
        <v>590.16467000000011</v>
      </c>
      <c r="F106" s="11">
        <f t="shared" si="5"/>
        <v>348294.33771620906</v>
      </c>
    </row>
    <row r="107" spans="1:6" x14ac:dyDescent="0.45">
      <c r="A107">
        <v>1</v>
      </c>
      <c r="B107">
        <v>1.18</v>
      </c>
      <c r="C107">
        <v>5301</v>
      </c>
      <c r="D107" s="11">
        <f t="shared" si="3"/>
        <v>4897.2849399999996</v>
      </c>
      <c r="E107" s="11">
        <f t="shared" si="4"/>
        <v>403.71506000000045</v>
      </c>
      <c r="F107" s="11">
        <f t="shared" si="5"/>
        <v>162985.84967080396</v>
      </c>
    </row>
    <row r="108" spans="1:6" x14ac:dyDescent="0.45">
      <c r="A108">
        <v>1</v>
      </c>
      <c r="B108">
        <v>0.8</v>
      </c>
      <c r="C108">
        <v>3032</v>
      </c>
      <c r="D108" s="11">
        <f t="shared" si="3"/>
        <v>2779.4564</v>
      </c>
      <c r="E108" s="11">
        <f t="shared" si="4"/>
        <v>252.54359999999997</v>
      </c>
      <c r="F108" s="11">
        <f t="shared" si="5"/>
        <v>63778.269900959982</v>
      </c>
    </row>
    <row r="109" spans="1:6" x14ac:dyDescent="0.45">
      <c r="A109">
        <v>1</v>
      </c>
      <c r="B109">
        <v>1.07</v>
      </c>
      <c r="C109">
        <v>4808</v>
      </c>
      <c r="D109" s="11">
        <f t="shared" si="3"/>
        <v>4284.2293100000006</v>
      </c>
      <c r="E109" s="11">
        <f t="shared" si="4"/>
        <v>523.77068999999938</v>
      </c>
      <c r="F109" s="11">
        <f t="shared" si="5"/>
        <v>274335.73570307542</v>
      </c>
    </row>
    <row r="110" spans="1:6" x14ac:dyDescent="0.45">
      <c r="A110">
        <v>1</v>
      </c>
      <c r="B110">
        <v>1.01</v>
      </c>
      <c r="C110">
        <v>4540</v>
      </c>
      <c r="D110" s="11">
        <f t="shared" si="3"/>
        <v>3949.8353299999999</v>
      </c>
      <c r="E110" s="11">
        <f t="shared" si="4"/>
        <v>590.16467000000011</v>
      </c>
      <c r="F110" s="11">
        <f t="shared" si="5"/>
        <v>348294.33771620906</v>
      </c>
    </row>
    <row r="111" spans="1:6" x14ac:dyDescent="0.45">
      <c r="A111">
        <v>1</v>
      </c>
      <c r="B111">
        <v>0.7</v>
      </c>
      <c r="C111">
        <v>2251</v>
      </c>
      <c r="D111" s="11">
        <f t="shared" si="3"/>
        <v>2222.1330999999996</v>
      </c>
      <c r="E111" s="11">
        <f t="shared" si="4"/>
        <v>28.866900000000442</v>
      </c>
      <c r="F111" s="11">
        <f t="shared" si="5"/>
        <v>833.29791561002548</v>
      </c>
    </row>
    <row r="112" spans="1:6" x14ac:dyDescent="0.45">
      <c r="A112">
        <v>1</v>
      </c>
      <c r="B112">
        <v>1.03</v>
      </c>
      <c r="C112">
        <v>4789</v>
      </c>
      <c r="D112" s="11">
        <f t="shared" si="3"/>
        <v>4061.2999900000004</v>
      </c>
      <c r="E112" s="11">
        <f t="shared" si="4"/>
        <v>727.70000999999957</v>
      </c>
      <c r="F112" s="11">
        <f t="shared" si="5"/>
        <v>529547.30455399945</v>
      </c>
    </row>
    <row r="113" spans="1:6" x14ac:dyDescent="0.45">
      <c r="A113">
        <v>1</v>
      </c>
      <c r="B113">
        <v>0.73</v>
      </c>
      <c r="C113">
        <v>2360</v>
      </c>
      <c r="D113" s="11">
        <f t="shared" si="3"/>
        <v>2389.3300899999999</v>
      </c>
      <c r="E113" s="11">
        <f t="shared" si="4"/>
        <v>-29.330089999999927</v>
      </c>
      <c r="F113" s="11">
        <f t="shared" si="5"/>
        <v>860.25417940809575</v>
      </c>
    </row>
    <row r="114" spans="1:6" x14ac:dyDescent="0.45">
      <c r="A114">
        <v>1</v>
      </c>
      <c r="B114">
        <v>0.91</v>
      </c>
      <c r="C114">
        <v>3676</v>
      </c>
      <c r="D114" s="11">
        <f t="shared" si="3"/>
        <v>3392.5120299999999</v>
      </c>
      <c r="E114" s="11">
        <f t="shared" si="4"/>
        <v>283.48797000000013</v>
      </c>
      <c r="F114" s="11">
        <f t="shared" si="5"/>
        <v>80365.42913472098</v>
      </c>
    </row>
    <row r="115" spans="1:6" x14ac:dyDescent="0.45">
      <c r="A115">
        <v>1</v>
      </c>
      <c r="B115">
        <v>0.7</v>
      </c>
      <c r="C115">
        <v>2310</v>
      </c>
      <c r="D115" s="11">
        <f t="shared" si="3"/>
        <v>2222.1330999999996</v>
      </c>
      <c r="E115" s="11">
        <f t="shared" si="4"/>
        <v>87.866900000000442</v>
      </c>
      <c r="F115" s="11">
        <f t="shared" si="5"/>
        <v>7720.5921156100776</v>
      </c>
    </row>
    <row r="116" spans="1:6" x14ac:dyDescent="0.45">
      <c r="A116">
        <v>1</v>
      </c>
      <c r="B116">
        <v>0.7</v>
      </c>
      <c r="C116">
        <v>2330</v>
      </c>
      <c r="D116" s="11">
        <f t="shared" si="3"/>
        <v>2222.1330999999996</v>
      </c>
      <c r="E116" s="11">
        <f t="shared" si="4"/>
        <v>107.86690000000044</v>
      </c>
      <c r="F116" s="11">
        <f t="shared" si="5"/>
        <v>11635.268115610095</v>
      </c>
    </row>
    <row r="117" spans="1:6" x14ac:dyDescent="0.45">
      <c r="A117">
        <v>1</v>
      </c>
      <c r="B117">
        <v>1</v>
      </c>
      <c r="C117">
        <v>4705</v>
      </c>
      <c r="D117" s="11">
        <f t="shared" si="3"/>
        <v>3894.1030000000001</v>
      </c>
      <c r="E117" s="11">
        <f t="shared" si="4"/>
        <v>810.89699999999993</v>
      </c>
      <c r="F117" s="11">
        <f t="shared" si="5"/>
        <v>657553.94460899988</v>
      </c>
    </row>
    <row r="118" spans="1:6" x14ac:dyDescent="0.45">
      <c r="A118">
        <v>1</v>
      </c>
      <c r="B118">
        <v>1.08</v>
      </c>
      <c r="C118">
        <v>5060</v>
      </c>
      <c r="D118" s="11">
        <f t="shared" si="3"/>
        <v>4339.9616400000004</v>
      </c>
      <c r="E118" s="11">
        <f t="shared" si="4"/>
        <v>720.03835999999956</v>
      </c>
      <c r="F118" s="11">
        <f t="shared" si="5"/>
        <v>518455.23987148894</v>
      </c>
    </row>
    <row r="119" spans="1:6" x14ac:dyDescent="0.45">
      <c r="A119">
        <v>1</v>
      </c>
      <c r="B119">
        <v>0.72</v>
      </c>
      <c r="C119">
        <v>2458</v>
      </c>
      <c r="D119" s="11">
        <f t="shared" si="3"/>
        <v>2333.5977599999997</v>
      </c>
      <c r="E119" s="11">
        <f t="shared" si="4"/>
        <v>124.40224000000035</v>
      </c>
      <c r="F119" s="11">
        <f t="shared" si="5"/>
        <v>15475.917317017685</v>
      </c>
    </row>
    <row r="120" spans="1:6" x14ac:dyDescent="0.45">
      <c r="A120">
        <v>1</v>
      </c>
      <c r="B120">
        <v>0.84</v>
      </c>
      <c r="C120">
        <v>3012</v>
      </c>
      <c r="D120" s="11">
        <f t="shared" si="3"/>
        <v>3002.3857200000002</v>
      </c>
      <c r="E120" s="11">
        <f t="shared" si="4"/>
        <v>9.6142799999997806</v>
      </c>
      <c r="F120" s="11">
        <f t="shared" si="5"/>
        <v>92.434379918395777</v>
      </c>
    </row>
    <row r="121" spans="1:6" x14ac:dyDescent="0.45">
      <c r="A121">
        <v>1</v>
      </c>
      <c r="B121">
        <v>1.02</v>
      </c>
      <c r="C121">
        <v>4877</v>
      </c>
      <c r="D121" s="11">
        <f t="shared" si="3"/>
        <v>4005.5676600000006</v>
      </c>
      <c r="E121" s="11">
        <f t="shared" si="4"/>
        <v>871.43233999999939</v>
      </c>
      <c r="F121" s="11">
        <f t="shared" si="5"/>
        <v>759394.32319787447</v>
      </c>
    </row>
    <row r="122" spans="1:6" x14ac:dyDescent="0.45">
      <c r="A122">
        <v>1</v>
      </c>
      <c r="B122">
        <v>1.17</v>
      </c>
      <c r="C122">
        <v>5823</v>
      </c>
      <c r="D122" s="11">
        <f t="shared" si="3"/>
        <v>4841.5526099999997</v>
      </c>
      <c r="E122" s="11">
        <f t="shared" si="4"/>
        <v>981.44739000000027</v>
      </c>
      <c r="F122" s="11">
        <f t="shared" si="5"/>
        <v>963238.97933781263</v>
      </c>
    </row>
    <row r="123" spans="1:6" x14ac:dyDescent="0.45">
      <c r="A123">
        <v>1</v>
      </c>
      <c r="B123">
        <v>1.02</v>
      </c>
      <c r="C123">
        <v>4845</v>
      </c>
      <c r="D123" s="11">
        <f t="shared" si="3"/>
        <v>4005.5676600000006</v>
      </c>
      <c r="E123" s="11">
        <f t="shared" si="4"/>
        <v>839.43233999999939</v>
      </c>
      <c r="F123" s="11">
        <f t="shared" si="5"/>
        <v>704646.65343787451</v>
      </c>
    </row>
    <row r="124" spans="1:6" x14ac:dyDescent="0.45">
      <c r="A124">
        <v>1</v>
      </c>
      <c r="B124">
        <v>1.03</v>
      </c>
      <c r="C124">
        <v>4893</v>
      </c>
      <c r="D124" s="11">
        <f t="shared" si="3"/>
        <v>4061.2999900000004</v>
      </c>
      <c r="E124" s="11">
        <f t="shared" si="4"/>
        <v>831.70000999999957</v>
      </c>
      <c r="F124" s="11">
        <f t="shared" si="5"/>
        <v>691724.90663399943</v>
      </c>
    </row>
    <row r="125" spans="1:6" x14ac:dyDescent="0.45">
      <c r="A125">
        <v>1</v>
      </c>
      <c r="B125">
        <v>1.19</v>
      </c>
      <c r="C125">
        <v>5660</v>
      </c>
      <c r="D125" s="11">
        <f t="shared" si="3"/>
        <v>4953.0172699999994</v>
      </c>
      <c r="E125" s="11">
        <f t="shared" si="4"/>
        <v>706.98273000000063</v>
      </c>
      <c r="F125" s="11">
        <f t="shared" si="5"/>
        <v>499824.58051825379</v>
      </c>
    </row>
    <row r="126" spans="1:6" x14ac:dyDescent="0.45">
      <c r="A126">
        <v>1</v>
      </c>
      <c r="B126">
        <v>1.07</v>
      </c>
      <c r="C126">
        <v>5082</v>
      </c>
      <c r="D126" s="11">
        <f t="shared" si="3"/>
        <v>4284.2293100000006</v>
      </c>
      <c r="E126" s="11">
        <f t="shared" si="4"/>
        <v>797.77068999999938</v>
      </c>
      <c r="F126" s="11">
        <f t="shared" si="5"/>
        <v>636438.07382307516</v>
      </c>
    </row>
    <row r="127" spans="1:6" x14ac:dyDescent="0.45">
      <c r="A127">
        <v>1</v>
      </c>
      <c r="B127">
        <v>0.72</v>
      </c>
      <c r="C127">
        <v>2428</v>
      </c>
      <c r="D127" s="11">
        <f t="shared" si="3"/>
        <v>2333.5977599999997</v>
      </c>
      <c r="E127" s="11">
        <f t="shared" si="4"/>
        <v>94.402240000000347</v>
      </c>
      <c r="F127" s="11">
        <f t="shared" si="5"/>
        <v>8911.7829170176647</v>
      </c>
    </row>
    <row r="128" spans="1:6" x14ac:dyDescent="0.45">
      <c r="A128">
        <v>1</v>
      </c>
      <c r="B128">
        <v>1.1000000000000001</v>
      </c>
      <c r="C128">
        <v>5189</v>
      </c>
      <c r="D128" s="11">
        <f t="shared" si="3"/>
        <v>4451.426300000001</v>
      </c>
      <c r="E128" s="11">
        <f t="shared" si="4"/>
        <v>737.57369999999901</v>
      </c>
      <c r="F128" s="11">
        <f t="shared" si="5"/>
        <v>544014.96293168853</v>
      </c>
    </row>
    <row r="129" spans="1:6" x14ac:dyDescent="0.45">
      <c r="A129">
        <v>1</v>
      </c>
      <c r="B129">
        <v>1.01</v>
      </c>
      <c r="C129">
        <v>4807</v>
      </c>
      <c r="D129" s="11">
        <f t="shared" si="3"/>
        <v>3949.8353299999999</v>
      </c>
      <c r="E129" s="11">
        <f t="shared" si="4"/>
        <v>857.16467000000011</v>
      </c>
      <c r="F129" s="11">
        <f t="shared" si="5"/>
        <v>734731.27149620908</v>
      </c>
    </row>
    <row r="130" spans="1:6" x14ac:dyDescent="0.45">
      <c r="A130">
        <v>1</v>
      </c>
      <c r="B130">
        <v>0.84</v>
      </c>
      <c r="C130">
        <v>2977</v>
      </c>
      <c r="D130" s="11">
        <f t="shared" ref="D130:D193" si="6">$J$3+$J$4*B130</f>
        <v>3002.3857200000002</v>
      </c>
      <c r="E130" s="11">
        <f t="shared" ref="E130:E193" si="7">C130-D130</f>
        <v>-25.385720000000219</v>
      </c>
      <c r="F130" s="11">
        <f t="shared" ref="F130:F193" si="8">E130^2</f>
        <v>644.4347799184111</v>
      </c>
    </row>
    <row r="131" spans="1:6" x14ac:dyDescent="0.45">
      <c r="A131">
        <v>1</v>
      </c>
      <c r="B131">
        <v>1.08</v>
      </c>
      <c r="C131">
        <v>5109</v>
      </c>
      <c r="D131" s="11">
        <f t="shared" si="6"/>
        <v>4339.9616400000004</v>
      </c>
      <c r="E131" s="11">
        <f t="shared" si="7"/>
        <v>769.03835999999956</v>
      </c>
      <c r="F131" s="11">
        <f t="shared" si="8"/>
        <v>591419.99915148888</v>
      </c>
    </row>
    <row r="132" spans="1:6" x14ac:dyDescent="0.45">
      <c r="A132">
        <v>1</v>
      </c>
      <c r="B132">
        <v>1.03</v>
      </c>
      <c r="C132">
        <v>5068</v>
      </c>
      <c r="D132" s="11">
        <f t="shared" si="6"/>
        <v>4061.2999900000004</v>
      </c>
      <c r="E132" s="11">
        <f t="shared" si="7"/>
        <v>1006.7000099999996</v>
      </c>
      <c r="F132" s="11">
        <f t="shared" si="8"/>
        <v>1013444.9101339992</v>
      </c>
    </row>
    <row r="133" spans="1:6" x14ac:dyDescent="0.45">
      <c r="A133">
        <v>1</v>
      </c>
      <c r="B133">
        <v>0.9</v>
      </c>
      <c r="C133">
        <v>4112</v>
      </c>
      <c r="D133" s="11">
        <f t="shared" si="6"/>
        <v>3336.7797</v>
      </c>
      <c r="E133" s="11">
        <f t="shared" si="7"/>
        <v>775.22029999999995</v>
      </c>
      <c r="F133" s="11">
        <f t="shared" si="8"/>
        <v>600966.51353208988</v>
      </c>
    </row>
    <row r="134" spans="1:6" x14ac:dyDescent="0.45">
      <c r="A134">
        <v>1</v>
      </c>
      <c r="B134">
        <v>0.91</v>
      </c>
      <c r="C134">
        <v>4154</v>
      </c>
      <c r="D134" s="11">
        <f t="shared" si="6"/>
        <v>3392.5120299999999</v>
      </c>
      <c r="E134" s="11">
        <f t="shared" si="7"/>
        <v>761.48797000000013</v>
      </c>
      <c r="F134" s="11">
        <f t="shared" si="8"/>
        <v>579863.92845472111</v>
      </c>
    </row>
    <row r="135" spans="1:6" x14ac:dyDescent="0.45">
      <c r="A135">
        <v>1</v>
      </c>
      <c r="B135">
        <v>0.71</v>
      </c>
      <c r="C135">
        <v>2518</v>
      </c>
      <c r="D135" s="11">
        <f t="shared" si="6"/>
        <v>2277.8654299999998</v>
      </c>
      <c r="E135" s="11">
        <f t="shared" si="7"/>
        <v>240.13457000000017</v>
      </c>
      <c r="F135" s="11">
        <f t="shared" si="8"/>
        <v>57664.61170908498</v>
      </c>
    </row>
    <row r="136" spans="1:6" x14ac:dyDescent="0.45">
      <c r="A136">
        <v>1</v>
      </c>
      <c r="B136">
        <v>1</v>
      </c>
      <c r="C136">
        <v>4842</v>
      </c>
      <c r="D136" s="11">
        <f t="shared" si="6"/>
        <v>3894.1030000000001</v>
      </c>
      <c r="E136" s="11">
        <f t="shared" si="7"/>
        <v>947.89699999999993</v>
      </c>
      <c r="F136" s="11">
        <f t="shared" si="8"/>
        <v>898508.72260899993</v>
      </c>
    </row>
    <row r="137" spans="1:6" x14ac:dyDescent="0.45">
      <c r="A137">
        <v>1</v>
      </c>
      <c r="B137">
        <v>1.2</v>
      </c>
      <c r="C137">
        <v>6080</v>
      </c>
      <c r="D137" s="11">
        <f t="shared" si="6"/>
        <v>5008.7496000000001</v>
      </c>
      <c r="E137" s="11">
        <f t="shared" si="7"/>
        <v>1071.2503999999999</v>
      </c>
      <c r="F137" s="11">
        <f t="shared" si="8"/>
        <v>1147577.4195001598</v>
      </c>
    </row>
    <row r="138" spans="1:6" x14ac:dyDescent="0.45">
      <c r="A138">
        <v>1</v>
      </c>
      <c r="B138">
        <v>1.08</v>
      </c>
      <c r="C138">
        <v>4234</v>
      </c>
      <c r="D138" s="11">
        <f t="shared" si="6"/>
        <v>4339.9616400000004</v>
      </c>
      <c r="E138" s="11">
        <f t="shared" si="7"/>
        <v>-105.96164000000044</v>
      </c>
      <c r="F138" s="11">
        <f t="shared" si="8"/>
        <v>11227.869151489695</v>
      </c>
    </row>
    <row r="139" spans="1:6" x14ac:dyDescent="0.45">
      <c r="A139">
        <v>1</v>
      </c>
      <c r="B139">
        <v>1.05</v>
      </c>
      <c r="C139">
        <v>4418</v>
      </c>
      <c r="D139" s="11">
        <f t="shared" si="6"/>
        <v>4172.7646500000001</v>
      </c>
      <c r="E139" s="11">
        <f t="shared" si="7"/>
        <v>245.23534999999993</v>
      </c>
      <c r="F139" s="11">
        <f t="shared" si="8"/>
        <v>60140.376889622465</v>
      </c>
    </row>
    <row r="140" spans="1:6" x14ac:dyDescent="0.45">
      <c r="A140">
        <v>1</v>
      </c>
      <c r="B140">
        <v>1.01</v>
      </c>
      <c r="C140">
        <v>4262</v>
      </c>
      <c r="D140" s="11">
        <f t="shared" si="6"/>
        <v>3949.8353299999999</v>
      </c>
      <c r="E140" s="11">
        <f t="shared" si="7"/>
        <v>312.16467000000011</v>
      </c>
      <c r="F140" s="11">
        <f t="shared" si="8"/>
        <v>97446.781196208976</v>
      </c>
    </row>
    <row r="141" spans="1:6" x14ac:dyDescent="0.45">
      <c r="A141">
        <v>1</v>
      </c>
      <c r="B141">
        <v>1</v>
      </c>
      <c r="C141">
        <v>4223</v>
      </c>
      <c r="D141" s="11">
        <f t="shared" si="6"/>
        <v>3894.1030000000001</v>
      </c>
      <c r="E141" s="11">
        <f t="shared" si="7"/>
        <v>328.89699999999993</v>
      </c>
      <c r="F141" s="11">
        <f t="shared" si="8"/>
        <v>108173.23660899996</v>
      </c>
    </row>
    <row r="142" spans="1:6" x14ac:dyDescent="0.45">
      <c r="A142">
        <v>1</v>
      </c>
      <c r="B142">
        <v>1.07</v>
      </c>
      <c r="C142">
        <v>4478</v>
      </c>
      <c r="D142" s="11">
        <f t="shared" si="6"/>
        <v>4284.2293100000006</v>
      </c>
      <c r="E142" s="11">
        <f t="shared" si="7"/>
        <v>193.77068999999938</v>
      </c>
      <c r="F142" s="11">
        <f t="shared" si="8"/>
        <v>37547.080303075862</v>
      </c>
    </row>
    <row r="143" spans="1:6" x14ac:dyDescent="0.45">
      <c r="A143">
        <v>1</v>
      </c>
      <c r="B143">
        <v>1.02</v>
      </c>
      <c r="C143">
        <v>4301</v>
      </c>
      <c r="D143" s="11">
        <f t="shared" si="6"/>
        <v>4005.5676600000006</v>
      </c>
      <c r="E143" s="11">
        <f t="shared" si="7"/>
        <v>295.43233999999939</v>
      </c>
      <c r="F143" s="11">
        <f t="shared" si="8"/>
        <v>87280.26751787524</v>
      </c>
    </row>
    <row r="144" spans="1:6" x14ac:dyDescent="0.45">
      <c r="A144">
        <v>1</v>
      </c>
      <c r="B144">
        <v>0.92</v>
      </c>
      <c r="C144">
        <v>3381</v>
      </c>
      <c r="D144" s="11">
        <f t="shared" si="6"/>
        <v>3448.2443600000006</v>
      </c>
      <c r="E144" s="11">
        <f t="shared" si="7"/>
        <v>-67.244360000000597</v>
      </c>
      <c r="F144" s="11">
        <f t="shared" si="8"/>
        <v>4521.8039518096803</v>
      </c>
    </row>
    <row r="145" spans="1:6" x14ac:dyDescent="0.45">
      <c r="A145">
        <v>1</v>
      </c>
      <c r="B145">
        <v>1.1100000000000001</v>
      </c>
      <c r="C145">
        <v>4761</v>
      </c>
      <c r="D145" s="11">
        <f t="shared" si="6"/>
        <v>4507.1586300000008</v>
      </c>
      <c r="E145" s="11">
        <f t="shared" si="7"/>
        <v>253.84136999999919</v>
      </c>
      <c r="F145" s="11">
        <f t="shared" si="8"/>
        <v>64435.441123476485</v>
      </c>
    </row>
    <row r="146" spans="1:6" x14ac:dyDescent="0.45">
      <c r="A146">
        <v>1</v>
      </c>
      <c r="B146">
        <v>1.04</v>
      </c>
      <c r="C146">
        <v>4479</v>
      </c>
      <c r="D146" s="11">
        <f t="shared" si="6"/>
        <v>4117.0323200000003</v>
      </c>
      <c r="E146" s="11">
        <f t="shared" si="7"/>
        <v>361.96767999999975</v>
      </c>
      <c r="F146" s="11">
        <f t="shared" si="8"/>
        <v>131020.60136458221</v>
      </c>
    </row>
    <row r="147" spans="1:6" x14ac:dyDescent="0.45">
      <c r="A147">
        <v>1</v>
      </c>
      <c r="B147">
        <v>1.07</v>
      </c>
      <c r="C147">
        <v>4669</v>
      </c>
      <c r="D147" s="11">
        <f t="shared" si="6"/>
        <v>4284.2293100000006</v>
      </c>
      <c r="E147" s="11">
        <f t="shared" si="7"/>
        <v>384.77068999999938</v>
      </c>
      <c r="F147" s="11">
        <f t="shared" si="8"/>
        <v>148048.48388307562</v>
      </c>
    </row>
    <row r="148" spans="1:6" x14ac:dyDescent="0.45">
      <c r="A148">
        <v>1</v>
      </c>
      <c r="B148">
        <v>1.1200000000000001</v>
      </c>
      <c r="C148">
        <v>4886</v>
      </c>
      <c r="D148" s="11">
        <f t="shared" si="6"/>
        <v>4562.8909600000006</v>
      </c>
      <c r="E148" s="11">
        <f t="shared" si="7"/>
        <v>323.10903999999937</v>
      </c>
      <c r="F148" s="11">
        <f t="shared" si="8"/>
        <v>104399.45172972119</v>
      </c>
    </row>
    <row r="149" spans="1:6" x14ac:dyDescent="0.45">
      <c r="A149">
        <v>1</v>
      </c>
      <c r="B149">
        <v>1.08</v>
      </c>
      <c r="C149">
        <v>4713</v>
      </c>
      <c r="D149" s="11">
        <f t="shared" si="6"/>
        <v>4339.9616400000004</v>
      </c>
      <c r="E149" s="11">
        <f t="shared" si="7"/>
        <v>373.03835999999956</v>
      </c>
      <c r="F149" s="11">
        <f t="shared" si="8"/>
        <v>139157.61803148926</v>
      </c>
    </row>
    <row r="150" spans="1:6" x14ac:dyDescent="0.45">
      <c r="A150">
        <v>1</v>
      </c>
      <c r="B150">
        <v>1.18</v>
      </c>
      <c r="C150">
        <v>4572</v>
      </c>
      <c r="D150" s="11">
        <f t="shared" si="6"/>
        <v>4897.2849399999996</v>
      </c>
      <c r="E150" s="11">
        <f t="shared" si="7"/>
        <v>-325.28493999999955</v>
      </c>
      <c r="F150" s="11">
        <f t="shared" si="8"/>
        <v>105810.2921908033</v>
      </c>
    </row>
    <row r="151" spans="1:6" x14ac:dyDescent="0.45">
      <c r="A151">
        <v>1</v>
      </c>
      <c r="B151">
        <v>0.91</v>
      </c>
      <c r="C151">
        <v>3434</v>
      </c>
      <c r="D151" s="11">
        <f t="shared" si="6"/>
        <v>3392.5120299999999</v>
      </c>
      <c r="E151" s="11">
        <f t="shared" si="7"/>
        <v>41.487970000000132</v>
      </c>
      <c r="F151" s="11">
        <f t="shared" si="8"/>
        <v>1721.2516547209109</v>
      </c>
    </row>
    <row r="152" spans="1:6" x14ac:dyDescent="0.45">
      <c r="A152">
        <v>1</v>
      </c>
      <c r="B152">
        <v>0.91</v>
      </c>
      <c r="C152">
        <v>3434</v>
      </c>
      <c r="D152" s="11">
        <f t="shared" si="6"/>
        <v>3392.5120299999999</v>
      </c>
      <c r="E152" s="11">
        <f t="shared" si="7"/>
        <v>41.487970000000132</v>
      </c>
      <c r="F152" s="11">
        <f t="shared" si="8"/>
        <v>1721.2516547209109</v>
      </c>
    </row>
    <row r="153" spans="1:6" x14ac:dyDescent="0.45">
      <c r="A153">
        <v>1</v>
      </c>
      <c r="B153">
        <v>1.01</v>
      </c>
      <c r="C153">
        <v>4484</v>
      </c>
      <c r="D153" s="11">
        <f t="shared" si="6"/>
        <v>3949.8353299999999</v>
      </c>
      <c r="E153" s="11">
        <f t="shared" si="7"/>
        <v>534.16467000000011</v>
      </c>
      <c r="F153" s="11">
        <f t="shared" si="8"/>
        <v>285331.89467620902</v>
      </c>
    </row>
    <row r="154" spans="1:6" x14ac:dyDescent="0.45">
      <c r="A154">
        <v>1</v>
      </c>
      <c r="B154">
        <v>1.21</v>
      </c>
      <c r="C154">
        <v>5637</v>
      </c>
      <c r="D154" s="11">
        <f t="shared" si="6"/>
        <v>5064.4819299999999</v>
      </c>
      <c r="E154" s="11">
        <f t="shared" si="7"/>
        <v>572.51807000000008</v>
      </c>
      <c r="F154" s="11">
        <f t="shared" si="8"/>
        <v>327776.94047652499</v>
      </c>
    </row>
    <row r="155" spans="1:6" x14ac:dyDescent="0.45">
      <c r="A155">
        <v>1</v>
      </c>
      <c r="B155">
        <v>1.2</v>
      </c>
      <c r="C155">
        <v>5877</v>
      </c>
      <c r="D155" s="11">
        <f t="shared" si="6"/>
        <v>5008.7496000000001</v>
      </c>
      <c r="E155" s="11">
        <f t="shared" si="7"/>
        <v>868.2503999999999</v>
      </c>
      <c r="F155" s="11">
        <f t="shared" si="8"/>
        <v>753858.75710015977</v>
      </c>
    </row>
    <row r="156" spans="1:6" x14ac:dyDescent="0.45">
      <c r="A156">
        <v>1</v>
      </c>
      <c r="B156">
        <v>0.76</v>
      </c>
      <c r="C156">
        <v>2349</v>
      </c>
      <c r="D156" s="11">
        <f t="shared" si="6"/>
        <v>2556.5270799999998</v>
      </c>
      <c r="E156" s="11">
        <f t="shared" si="7"/>
        <v>-207.52707999999984</v>
      </c>
      <c r="F156" s="11">
        <f t="shared" si="8"/>
        <v>43067.488933326335</v>
      </c>
    </row>
    <row r="157" spans="1:6" x14ac:dyDescent="0.45">
      <c r="A157">
        <v>1</v>
      </c>
      <c r="B157">
        <v>1.29</v>
      </c>
      <c r="C157">
        <v>5992</v>
      </c>
      <c r="D157" s="11">
        <f t="shared" si="6"/>
        <v>5510.3405700000003</v>
      </c>
      <c r="E157" s="11">
        <f t="shared" si="7"/>
        <v>481.6594299999997</v>
      </c>
      <c r="F157" s="11">
        <f t="shared" si="8"/>
        <v>231995.8065079246</v>
      </c>
    </row>
    <row r="158" spans="1:6" x14ac:dyDescent="0.45">
      <c r="A158">
        <v>1</v>
      </c>
      <c r="B158">
        <v>1.28</v>
      </c>
      <c r="C158">
        <v>5505</v>
      </c>
      <c r="D158" s="11">
        <f t="shared" si="6"/>
        <v>5454.6082400000005</v>
      </c>
      <c r="E158" s="11">
        <f t="shared" si="7"/>
        <v>50.391759999999522</v>
      </c>
      <c r="F158" s="11">
        <f t="shared" si="8"/>
        <v>2539.3294758975517</v>
      </c>
    </row>
    <row r="159" spans="1:6" x14ac:dyDescent="0.45">
      <c r="A159">
        <v>1</v>
      </c>
      <c r="B159">
        <v>1</v>
      </c>
      <c r="C159">
        <v>4440</v>
      </c>
      <c r="D159" s="11">
        <f t="shared" si="6"/>
        <v>3894.1030000000001</v>
      </c>
      <c r="E159" s="11">
        <f t="shared" si="7"/>
        <v>545.89699999999993</v>
      </c>
      <c r="F159" s="11">
        <f t="shared" si="8"/>
        <v>298003.53460899991</v>
      </c>
    </row>
    <row r="160" spans="1:6" x14ac:dyDescent="0.45">
      <c r="A160">
        <v>1</v>
      </c>
      <c r="B160">
        <v>0.73</v>
      </c>
      <c r="C160">
        <v>2277</v>
      </c>
      <c r="D160" s="11">
        <f t="shared" si="6"/>
        <v>2389.3300899999999</v>
      </c>
      <c r="E160" s="11">
        <f t="shared" si="7"/>
        <v>-112.33008999999993</v>
      </c>
      <c r="F160" s="11">
        <f t="shared" si="8"/>
        <v>12618.049119408084</v>
      </c>
    </row>
    <row r="161" spans="1:6" x14ac:dyDescent="0.45">
      <c r="A161">
        <v>1</v>
      </c>
      <c r="B161">
        <v>1.08</v>
      </c>
      <c r="C161">
        <v>4162</v>
      </c>
      <c r="D161" s="11">
        <f t="shared" si="6"/>
        <v>4339.9616400000004</v>
      </c>
      <c r="E161" s="11">
        <f t="shared" si="7"/>
        <v>-177.96164000000044</v>
      </c>
      <c r="F161" s="11">
        <f t="shared" si="8"/>
        <v>31670.345311489757</v>
      </c>
    </row>
    <row r="162" spans="1:6" x14ac:dyDescent="0.45">
      <c r="A162">
        <v>1</v>
      </c>
      <c r="B162">
        <v>1.2</v>
      </c>
      <c r="C162">
        <v>5734</v>
      </c>
      <c r="D162" s="11">
        <f t="shared" si="6"/>
        <v>5008.7496000000001</v>
      </c>
      <c r="E162" s="11">
        <f t="shared" si="7"/>
        <v>725.2503999999999</v>
      </c>
      <c r="F162" s="11">
        <f t="shared" si="8"/>
        <v>525988.14270015981</v>
      </c>
    </row>
    <row r="163" spans="1:6" x14ac:dyDescent="0.45">
      <c r="A163">
        <v>1</v>
      </c>
      <c r="B163">
        <v>0.72</v>
      </c>
      <c r="C163">
        <v>2388</v>
      </c>
      <c r="D163" s="11">
        <f t="shared" si="6"/>
        <v>2333.5977599999997</v>
      </c>
      <c r="E163" s="11">
        <f t="shared" si="7"/>
        <v>54.402240000000347</v>
      </c>
      <c r="F163" s="11">
        <f t="shared" si="8"/>
        <v>2959.6037170176378</v>
      </c>
    </row>
    <row r="164" spans="1:6" x14ac:dyDescent="0.45">
      <c r="A164">
        <v>1</v>
      </c>
      <c r="B164">
        <v>0.71</v>
      </c>
      <c r="C164">
        <v>2224</v>
      </c>
      <c r="D164" s="11">
        <f t="shared" si="6"/>
        <v>2277.8654299999998</v>
      </c>
      <c r="E164" s="11">
        <f t="shared" si="7"/>
        <v>-53.865429999999833</v>
      </c>
      <c r="F164" s="11">
        <f t="shared" si="8"/>
        <v>2901.484549084882</v>
      </c>
    </row>
    <row r="165" spans="1:6" x14ac:dyDescent="0.45">
      <c r="A165">
        <v>1</v>
      </c>
      <c r="B165">
        <v>1.29</v>
      </c>
      <c r="C165">
        <v>7698</v>
      </c>
      <c r="D165" s="11">
        <f t="shared" si="6"/>
        <v>5510.3405700000003</v>
      </c>
      <c r="E165" s="11">
        <f t="shared" si="7"/>
        <v>2187.6594299999997</v>
      </c>
      <c r="F165" s="11">
        <f t="shared" si="8"/>
        <v>4785853.7816679236</v>
      </c>
    </row>
    <row r="166" spans="1:6" x14ac:dyDescent="0.45">
      <c r="A166">
        <v>1</v>
      </c>
      <c r="B166">
        <v>1.21</v>
      </c>
      <c r="C166">
        <v>5942</v>
      </c>
      <c r="D166" s="11">
        <f t="shared" si="6"/>
        <v>5064.4819299999999</v>
      </c>
      <c r="E166" s="11">
        <f t="shared" si="7"/>
        <v>877.51807000000008</v>
      </c>
      <c r="F166" s="11">
        <f t="shared" si="8"/>
        <v>770037.96317652508</v>
      </c>
    </row>
    <row r="167" spans="1:6" x14ac:dyDescent="0.45">
      <c r="A167">
        <v>1</v>
      </c>
      <c r="B167">
        <v>0.86</v>
      </c>
      <c r="C167">
        <v>2668</v>
      </c>
      <c r="D167" s="11">
        <f t="shared" si="6"/>
        <v>3113.8503799999999</v>
      </c>
      <c r="E167" s="11">
        <f t="shared" si="7"/>
        <v>-445.85037999999986</v>
      </c>
      <c r="F167" s="11">
        <f t="shared" si="8"/>
        <v>198782.56134614427</v>
      </c>
    </row>
    <row r="168" spans="1:6" x14ac:dyDescent="0.45">
      <c r="A168">
        <v>1</v>
      </c>
      <c r="B168">
        <v>1.17</v>
      </c>
      <c r="C168">
        <v>4547</v>
      </c>
      <c r="D168" s="11">
        <f t="shared" si="6"/>
        <v>4841.5526099999997</v>
      </c>
      <c r="E168" s="11">
        <f t="shared" si="7"/>
        <v>-294.55260999999973</v>
      </c>
      <c r="F168" s="11">
        <f t="shared" si="8"/>
        <v>86761.240057811941</v>
      </c>
    </row>
    <row r="169" spans="1:6" x14ac:dyDescent="0.45">
      <c r="A169">
        <v>1</v>
      </c>
      <c r="B169">
        <v>0.7</v>
      </c>
      <c r="C169">
        <v>2464</v>
      </c>
      <c r="D169" s="11">
        <f t="shared" si="6"/>
        <v>2222.1330999999996</v>
      </c>
      <c r="E169" s="11">
        <f t="shared" si="7"/>
        <v>241.86690000000044</v>
      </c>
      <c r="F169" s="11">
        <f t="shared" si="8"/>
        <v>58499.597315610212</v>
      </c>
    </row>
    <row r="170" spans="1:6" x14ac:dyDescent="0.45">
      <c r="A170">
        <v>1</v>
      </c>
      <c r="B170">
        <v>1.2</v>
      </c>
      <c r="C170">
        <v>5377</v>
      </c>
      <c r="D170" s="11">
        <f t="shared" si="6"/>
        <v>5008.7496000000001</v>
      </c>
      <c r="E170" s="11">
        <f t="shared" si="7"/>
        <v>368.2503999999999</v>
      </c>
      <c r="F170" s="11">
        <f t="shared" si="8"/>
        <v>135608.35710015992</v>
      </c>
    </row>
    <row r="171" spans="1:6" x14ac:dyDescent="0.45">
      <c r="A171">
        <v>1</v>
      </c>
      <c r="B171">
        <v>0.7</v>
      </c>
      <c r="C171">
        <v>2117</v>
      </c>
      <c r="D171" s="11">
        <f t="shared" si="6"/>
        <v>2222.1330999999996</v>
      </c>
      <c r="E171" s="11">
        <f t="shared" si="7"/>
        <v>-105.13309999999956</v>
      </c>
      <c r="F171" s="11">
        <f t="shared" si="8"/>
        <v>11052.968715609908</v>
      </c>
    </row>
    <row r="172" spans="1:6" x14ac:dyDescent="0.45">
      <c r="A172">
        <v>1</v>
      </c>
      <c r="B172">
        <v>1.27</v>
      </c>
      <c r="C172">
        <v>6218</v>
      </c>
      <c r="D172" s="11">
        <f t="shared" si="6"/>
        <v>5398.8759100000007</v>
      </c>
      <c r="E172" s="11">
        <f t="shared" si="7"/>
        <v>819.12408999999934</v>
      </c>
      <c r="F172" s="11">
        <f t="shared" si="8"/>
        <v>670964.27481832705</v>
      </c>
    </row>
    <row r="173" spans="1:6" x14ac:dyDescent="0.45">
      <c r="A173">
        <v>1</v>
      </c>
      <c r="B173">
        <v>1.01</v>
      </c>
      <c r="C173">
        <v>4829</v>
      </c>
      <c r="D173" s="11">
        <f t="shared" si="6"/>
        <v>3949.8353299999999</v>
      </c>
      <c r="E173" s="11">
        <f t="shared" si="7"/>
        <v>879.16467000000011</v>
      </c>
      <c r="F173" s="11">
        <f t="shared" si="8"/>
        <v>772930.51697620912</v>
      </c>
    </row>
    <row r="174" spans="1:6" x14ac:dyDescent="0.45">
      <c r="A174">
        <v>1</v>
      </c>
      <c r="B174">
        <v>1.2</v>
      </c>
      <c r="C174">
        <v>6091</v>
      </c>
      <c r="D174" s="11">
        <f t="shared" si="6"/>
        <v>5008.7496000000001</v>
      </c>
      <c r="E174" s="11">
        <f t="shared" si="7"/>
        <v>1082.2503999999999</v>
      </c>
      <c r="F174" s="11">
        <f t="shared" si="8"/>
        <v>1171265.9283001598</v>
      </c>
    </row>
    <row r="175" spans="1:6" x14ac:dyDescent="0.45">
      <c r="A175">
        <v>1</v>
      </c>
      <c r="B175">
        <v>1.1499999999999999</v>
      </c>
      <c r="C175">
        <v>4675</v>
      </c>
      <c r="D175" s="11">
        <f t="shared" si="6"/>
        <v>4730.0879499999992</v>
      </c>
      <c r="E175" s="11">
        <f t="shared" si="7"/>
        <v>-55.087949999999182</v>
      </c>
      <c r="F175" s="11">
        <f t="shared" si="8"/>
        <v>3034.6822352024101</v>
      </c>
    </row>
    <row r="176" spans="1:6" x14ac:dyDescent="0.45">
      <c r="A176">
        <v>1</v>
      </c>
      <c r="B176">
        <v>1.24</v>
      </c>
      <c r="C176">
        <v>5408</v>
      </c>
      <c r="D176" s="11">
        <f t="shared" si="6"/>
        <v>5231.6789200000003</v>
      </c>
      <c r="E176" s="11">
        <f t="shared" si="7"/>
        <v>176.32107999999971</v>
      </c>
      <c r="F176" s="11">
        <f t="shared" si="8"/>
        <v>31089.123252366298</v>
      </c>
    </row>
    <row r="177" spans="1:6" x14ac:dyDescent="0.45">
      <c r="A177">
        <v>1</v>
      </c>
      <c r="B177">
        <v>1.01</v>
      </c>
      <c r="C177">
        <v>3700</v>
      </c>
      <c r="D177" s="11">
        <f t="shared" si="6"/>
        <v>3949.8353299999999</v>
      </c>
      <c r="E177" s="11">
        <f t="shared" si="7"/>
        <v>-249.83532999999989</v>
      </c>
      <c r="F177" s="11">
        <f t="shared" si="8"/>
        <v>62417.69211620884</v>
      </c>
    </row>
    <row r="178" spans="1:6" x14ac:dyDescent="0.45">
      <c r="A178">
        <v>1</v>
      </c>
      <c r="B178">
        <v>1</v>
      </c>
      <c r="C178">
        <v>4001</v>
      </c>
      <c r="D178" s="11">
        <f t="shared" si="6"/>
        <v>3894.1030000000001</v>
      </c>
      <c r="E178" s="11">
        <f t="shared" si="7"/>
        <v>106.89699999999993</v>
      </c>
      <c r="F178" s="11">
        <f t="shared" si="8"/>
        <v>11426.968608999987</v>
      </c>
    </row>
    <row r="179" spans="1:6" x14ac:dyDescent="0.45">
      <c r="A179">
        <v>1</v>
      </c>
      <c r="B179">
        <v>1.01</v>
      </c>
      <c r="C179">
        <v>4150</v>
      </c>
      <c r="D179" s="11">
        <f t="shared" si="6"/>
        <v>3949.8353299999999</v>
      </c>
      <c r="E179" s="11">
        <f t="shared" si="7"/>
        <v>200.16467000000011</v>
      </c>
      <c r="F179" s="11">
        <f t="shared" si="8"/>
        <v>40065.895116208943</v>
      </c>
    </row>
    <row r="180" spans="1:6" x14ac:dyDescent="0.45">
      <c r="A180">
        <v>1</v>
      </c>
      <c r="B180">
        <v>1.03</v>
      </c>
      <c r="C180">
        <v>4111</v>
      </c>
      <c r="D180" s="11">
        <f t="shared" si="6"/>
        <v>4061.2999900000004</v>
      </c>
      <c r="E180" s="11">
        <f t="shared" si="7"/>
        <v>49.700009999999565</v>
      </c>
      <c r="F180" s="11">
        <f t="shared" si="8"/>
        <v>2470.090994000057</v>
      </c>
    </row>
    <row r="181" spans="1:6" x14ac:dyDescent="0.45">
      <c r="A181">
        <v>1</v>
      </c>
      <c r="B181">
        <v>1.28</v>
      </c>
      <c r="C181">
        <v>5962</v>
      </c>
      <c r="D181" s="11">
        <f t="shared" si="6"/>
        <v>5454.6082400000005</v>
      </c>
      <c r="E181" s="11">
        <f t="shared" si="7"/>
        <v>507.39175999999952</v>
      </c>
      <c r="F181" s="11">
        <f t="shared" si="8"/>
        <v>257446.39811589711</v>
      </c>
    </row>
    <row r="182" spans="1:6" x14ac:dyDescent="0.45">
      <c r="A182">
        <v>1</v>
      </c>
      <c r="B182">
        <v>1.01</v>
      </c>
      <c r="C182">
        <v>4150</v>
      </c>
      <c r="D182" s="11">
        <f t="shared" si="6"/>
        <v>3949.8353299999999</v>
      </c>
      <c r="E182" s="11">
        <f t="shared" si="7"/>
        <v>200.16467000000011</v>
      </c>
      <c r="F182" s="11">
        <f t="shared" si="8"/>
        <v>40065.895116208943</v>
      </c>
    </row>
    <row r="183" spans="1:6" x14ac:dyDescent="0.45">
      <c r="A183">
        <v>1</v>
      </c>
      <c r="B183">
        <v>0.81</v>
      </c>
      <c r="C183">
        <v>2676</v>
      </c>
      <c r="D183" s="11">
        <f t="shared" si="6"/>
        <v>2835.1887300000008</v>
      </c>
      <c r="E183" s="11">
        <f t="shared" si="7"/>
        <v>-159.18873000000076</v>
      </c>
      <c r="F183" s="11">
        <f t="shared" si="8"/>
        <v>25341.051759013142</v>
      </c>
    </row>
    <row r="184" spans="1:6" x14ac:dyDescent="0.45">
      <c r="A184">
        <v>1</v>
      </c>
      <c r="B184">
        <v>1.21</v>
      </c>
      <c r="C184">
        <v>5637</v>
      </c>
      <c r="D184" s="11">
        <f t="shared" si="6"/>
        <v>5064.4819299999999</v>
      </c>
      <c r="E184" s="11">
        <f t="shared" si="7"/>
        <v>572.51807000000008</v>
      </c>
      <c r="F184" s="11">
        <f t="shared" si="8"/>
        <v>327776.94047652499</v>
      </c>
    </row>
    <row r="185" spans="1:6" x14ac:dyDescent="0.45">
      <c r="A185">
        <v>1</v>
      </c>
      <c r="B185">
        <v>1.23</v>
      </c>
      <c r="C185">
        <v>5730</v>
      </c>
      <c r="D185" s="11">
        <f t="shared" si="6"/>
        <v>5175.9465899999996</v>
      </c>
      <c r="E185" s="11">
        <f t="shared" si="7"/>
        <v>554.05341000000044</v>
      </c>
      <c r="F185" s="11">
        <f t="shared" si="8"/>
        <v>306975.18113262858</v>
      </c>
    </row>
    <row r="186" spans="1:6" x14ac:dyDescent="0.45">
      <c r="A186">
        <v>1</v>
      </c>
      <c r="B186">
        <v>1.01</v>
      </c>
      <c r="C186">
        <v>4075</v>
      </c>
      <c r="D186" s="11">
        <f t="shared" si="6"/>
        <v>3949.8353299999999</v>
      </c>
      <c r="E186" s="11">
        <f t="shared" si="7"/>
        <v>125.16467000000011</v>
      </c>
      <c r="F186" s="11">
        <f t="shared" si="8"/>
        <v>15666.194616208928</v>
      </c>
    </row>
    <row r="187" spans="1:6" x14ac:dyDescent="0.45">
      <c r="A187">
        <v>1</v>
      </c>
      <c r="B187">
        <v>1.06</v>
      </c>
      <c r="C187">
        <v>4260</v>
      </c>
      <c r="D187" s="11">
        <f t="shared" si="6"/>
        <v>4228.4969800000008</v>
      </c>
      <c r="E187" s="11">
        <f t="shared" si="7"/>
        <v>31.503019999999196</v>
      </c>
      <c r="F187" s="11">
        <f t="shared" si="8"/>
        <v>992.4402691203494</v>
      </c>
    </row>
    <row r="188" spans="1:6" x14ac:dyDescent="0.45">
      <c r="A188">
        <v>1</v>
      </c>
      <c r="B188">
        <v>1.01</v>
      </c>
      <c r="C188">
        <v>4075</v>
      </c>
      <c r="D188" s="11">
        <f t="shared" si="6"/>
        <v>3949.8353299999999</v>
      </c>
      <c r="E188" s="11">
        <f t="shared" si="7"/>
        <v>125.16467000000011</v>
      </c>
      <c r="F188" s="11">
        <f t="shared" si="8"/>
        <v>15666.194616208928</v>
      </c>
    </row>
    <row r="189" spans="1:6" x14ac:dyDescent="0.45">
      <c r="A189">
        <v>1</v>
      </c>
      <c r="B189">
        <v>0.83</v>
      </c>
      <c r="C189">
        <v>2734</v>
      </c>
      <c r="D189" s="11">
        <f t="shared" si="6"/>
        <v>2946.6533899999995</v>
      </c>
      <c r="E189" s="11">
        <f t="shared" si="7"/>
        <v>-212.65338999999949</v>
      </c>
      <c r="F189" s="11">
        <f t="shared" si="8"/>
        <v>45221.464278491883</v>
      </c>
    </row>
    <row r="190" spans="1:6" x14ac:dyDescent="0.45">
      <c r="A190">
        <v>1</v>
      </c>
      <c r="B190">
        <v>0.9</v>
      </c>
      <c r="C190">
        <v>3111</v>
      </c>
      <c r="D190" s="11">
        <f t="shared" si="6"/>
        <v>3336.7797</v>
      </c>
      <c r="E190" s="11">
        <f t="shared" si="7"/>
        <v>-225.77970000000005</v>
      </c>
      <c r="F190" s="11">
        <f t="shared" si="8"/>
        <v>50976.472932090022</v>
      </c>
    </row>
    <row r="191" spans="1:6" x14ac:dyDescent="0.45">
      <c r="A191">
        <v>1</v>
      </c>
      <c r="B191">
        <v>1.29</v>
      </c>
      <c r="C191">
        <v>5299</v>
      </c>
      <c r="D191" s="11">
        <f t="shared" si="6"/>
        <v>5510.3405700000003</v>
      </c>
      <c r="E191" s="11">
        <f t="shared" si="7"/>
        <v>-211.3405700000003</v>
      </c>
      <c r="F191" s="11">
        <f t="shared" si="8"/>
        <v>44664.836527925028</v>
      </c>
    </row>
    <row r="192" spans="1:6" x14ac:dyDescent="0.45">
      <c r="A192">
        <v>1</v>
      </c>
      <c r="B192">
        <v>1.05</v>
      </c>
      <c r="C192">
        <v>4250</v>
      </c>
      <c r="D192" s="11">
        <f t="shared" si="6"/>
        <v>4172.7646500000001</v>
      </c>
      <c r="E192" s="11">
        <f t="shared" si="7"/>
        <v>77.235349999999926</v>
      </c>
      <c r="F192" s="11">
        <f t="shared" si="8"/>
        <v>5965.2992896224887</v>
      </c>
    </row>
    <row r="193" spans="1:6" x14ac:dyDescent="0.45">
      <c r="A193">
        <v>1</v>
      </c>
      <c r="B193">
        <v>1.07</v>
      </c>
      <c r="C193">
        <v>4297</v>
      </c>
      <c r="D193" s="11">
        <f t="shared" si="6"/>
        <v>4284.2293100000006</v>
      </c>
      <c r="E193" s="11">
        <f t="shared" si="7"/>
        <v>12.770689999999377</v>
      </c>
      <c r="F193" s="11">
        <f t="shared" si="8"/>
        <v>163.09052307608408</v>
      </c>
    </row>
    <row r="194" spans="1:6" x14ac:dyDescent="0.45">
      <c r="A194">
        <v>1</v>
      </c>
      <c r="B194">
        <v>0.9</v>
      </c>
      <c r="C194">
        <v>3111</v>
      </c>
      <c r="D194" s="11">
        <f t="shared" ref="D194:D257" si="9">$J$3+$J$4*B194</f>
        <v>3336.7797</v>
      </c>
      <c r="E194" s="11">
        <f t="shared" ref="E194:E257" si="10">C194-D194</f>
        <v>-225.77970000000005</v>
      </c>
      <c r="F194" s="11">
        <f t="shared" ref="F194:F257" si="11">E194^2</f>
        <v>50976.472932090022</v>
      </c>
    </row>
    <row r="195" spans="1:6" x14ac:dyDescent="0.45">
      <c r="A195">
        <v>1</v>
      </c>
      <c r="B195">
        <v>1.1000000000000001</v>
      </c>
      <c r="C195">
        <v>4506</v>
      </c>
      <c r="D195" s="11">
        <f t="shared" si="9"/>
        <v>4451.426300000001</v>
      </c>
      <c r="E195" s="11">
        <f t="shared" si="10"/>
        <v>54.573699999999008</v>
      </c>
      <c r="F195" s="11">
        <f t="shared" si="11"/>
        <v>2978.2887316898918</v>
      </c>
    </row>
    <row r="196" spans="1:6" x14ac:dyDescent="0.45">
      <c r="A196">
        <v>1</v>
      </c>
      <c r="B196">
        <v>1.1299999999999999</v>
      </c>
      <c r="C196">
        <v>4594</v>
      </c>
      <c r="D196" s="11">
        <f t="shared" si="9"/>
        <v>4618.6232899999995</v>
      </c>
      <c r="E196" s="11">
        <f t="shared" si="10"/>
        <v>-24.623289999999542</v>
      </c>
      <c r="F196" s="11">
        <f t="shared" si="11"/>
        <v>606.30641042407751</v>
      </c>
    </row>
    <row r="197" spans="1:6" x14ac:dyDescent="0.45">
      <c r="A197">
        <v>1</v>
      </c>
      <c r="B197">
        <v>1.01</v>
      </c>
      <c r="C197">
        <v>4150</v>
      </c>
      <c r="D197" s="11">
        <f t="shared" si="9"/>
        <v>3949.8353299999999</v>
      </c>
      <c r="E197" s="11">
        <f t="shared" si="10"/>
        <v>200.16467000000011</v>
      </c>
      <c r="F197" s="11">
        <f t="shared" si="11"/>
        <v>40065.895116208943</v>
      </c>
    </row>
    <row r="198" spans="1:6" x14ac:dyDescent="0.45">
      <c r="A198">
        <v>1</v>
      </c>
      <c r="B198">
        <v>1</v>
      </c>
      <c r="C198">
        <v>4112</v>
      </c>
      <c r="D198" s="11">
        <f t="shared" si="9"/>
        <v>3894.1030000000001</v>
      </c>
      <c r="E198" s="11">
        <f t="shared" si="10"/>
        <v>217.89699999999993</v>
      </c>
      <c r="F198" s="11">
        <f t="shared" si="11"/>
        <v>47479.102608999972</v>
      </c>
    </row>
    <row r="199" spans="1:6" x14ac:dyDescent="0.45">
      <c r="A199">
        <v>1</v>
      </c>
      <c r="B199">
        <v>1</v>
      </c>
      <c r="C199">
        <v>4141</v>
      </c>
      <c r="D199" s="11">
        <f t="shared" si="9"/>
        <v>3894.1030000000001</v>
      </c>
      <c r="E199" s="11">
        <f t="shared" si="10"/>
        <v>246.89699999999993</v>
      </c>
      <c r="F199" s="11">
        <f t="shared" si="11"/>
        <v>60958.12860899997</v>
      </c>
    </row>
    <row r="200" spans="1:6" x14ac:dyDescent="0.45">
      <c r="A200">
        <v>1</v>
      </c>
      <c r="B200">
        <v>1.18</v>
      </c>
      <c r="C200">
        <v>4936</v>
      </c>
      <c r="D200" s="11">
        <f t="shared" si="9"/>
        <v>4897.2849399999996</v>
      </c>
      <c r="E200" s="11">
        <f t="shared" si="10"/>
        <v>38.715060000000449</v>
      </c>
      <c r="F200" s="11">
        <f t="shared" si="11"/>
        <v>1498.8558708036348</v>
      </c>
    </row>
    <row r="201" spans="1:6" x14ac:dyDescent="0.45">
      <c r="A201">
        <v>1</v>
      </c>
      <c r="B201">
        <v>1.0900000000000001</v>
      </c>
      <c r="C201">
        <v>4585</v>
      </c>
      <c r="D201" s="11">
        <f t="shared" si="9"/>
        <v>4395.6939700000003</v>
      </c>
      <c r="E201" s="11">
        <f t="shared" si="10"/>
        <v>189.30602999999974</v>
      </c>
      <c r="F201" s="11">
        <f t="shared" si="11"/>
        <v>35836.772994360799</v>
      </c>
    </row>
    <row r="202" spans="1:6" x14ac:dyDescent="0.45">
      <c r="A202">
        <v>1</v>
      </c>
      <c r="B202">
        <v>1.0900000000000001</v>
      </c>
      <c r="C202">
        <v>4561</v>
      </c>
      <c r="D202" s="11">
        <f t="shared" si="9"/>
        <v>4395.6939700000003</v>
      </c>
      <c r="E202" s="11">
        <f t="shared" si="10"/>
        <v>165.30602999999974</v>
      </c>
      <c r="F202" s="11">
        <f t="shared" si="11"/>
        <v>27326.083554360812</v>
      </c>
    </row>
    <row r="203" spans="1:6" x14ac:dyDescent="0.45">
      <c r="A203">
        <v>1</v>
      </c>
      <c r="B203">
        <v>1.05</v>
      </c>
      <c r="C203">
        <v>4418</v>
      </c>
      <c r="D203" s="11">
        <f t="shared" si="9"/>
        <v>4172.7646500000001</v>
      </c>
      <c r="E203" s="11">
        <f t="shared" si="10"/>
        <v>245.23534999999993</v>
      </c>
      <c r="F203" s="11">
        <f t="shared" si="11"/>
        <v>60140.376889622465</v>
      </c>
    </row>
    <row r="204" spans="1:6" x14ac:dyDescent="0.45">
      <c r="A204">
        <v>1</v>
      </c>
      <c r="B204">
        <v>1.01</v>
      </c>
      <c r="C204">
        <v>4262</v>
      </c>
      <c r="D204" s="11">
        <f t="shared" si="9"/>
        <v>3949.8353299999999</v>
      </c>
      <c r="E204" s="11">
        <f t="shared" si="10"/>
        <v>312.16467000000011</v>
      </c>
      <c r="F204" s="11">
        <f t="shared" si="11"/>
        <v>97446.781196208976</v>
      </c>
    </row>
    <row r="205" spans="1:6" x14ac:dyDescent="0.45">
      <c r="A205">
        <v>1</v>
      </c>
      <c r="B205">
        <v>1.03</v>
      </c>
      <c r="C205">
        <v>4340</v>
      </c>
      <c r="D205" s="11">
        <f t="shared" si="9"/>
        <v>4061.2999900000004</v>
      </c>
      <c r="E205" s="11">
        <f t="shared" si="10"/>
        <v>278.70000999999957</v>
      </c>
      <c r="F205" s="11">
        <f t="shared" si="11"/>
        <v>77673.695573999852</v>
      </c>
    </row>
    <row r="206" spans="1:6" x14ac:dyDescent="0.45">
      <c r="A206">
        <v>1</v>
      </c>
      <c r="B206">
        <v>1.1299999999999999</v>
      </c>
      <c r="C206">
        <v>5064</v>
      </c>
      <c r="D206" s="11">
        <f t="shared" si="9"/>
        <v>4618.6232899999995</v>
      </c>
      <c r="E206" s="11">
        <f t="shared" si="10"/>
        <v>445.37671000000046</v>
      </c>
      <c r="F206" s="11">
        <f t="shared" si="11"/>
        <v>198360.41381042451</v>
      </c>
    </row>
    <row r="207" spans="1:6" x14ac:dyDescent="0.45">
      <c r="A207">
        <v>1</v>
      </c>
      <c r="B207">
        <v>1.03</v>
      </c>
      <c r="C207">
        <v>4334</v>
      </c>
      <c r="D207" s="11">
        <f t="shared" si="9"/>
        <v>4061.2999900000004</v>
      </c>
      <c r="E207" s="11">
        <f t="shared" si="10"/>
        <v>272.70000999999957</v>
      </c>
      <c r="F207" s="11">
        <f t="shared" si="11"/>
        <v>74365.295453999861</v>
      </c>
    </row>
    <row r="208" spans="1:6" x14ac:dyDescent="0.45">
      <c r="A208">
        <v>1</v>
      </c>
      <c r="B208">
        <v>0.76</v>
      </c>
      <c r="C208">
        <v>2271</v>
      </c>
      <c r="D208" s="11">
        <f t="shared" si="9"/>
        <v>2556.5270799999998</v>
      </c>
      <c r="E208" s="11">
        <f t="shared" si="10"/>
        <v>-285.52707999999984</v>
      </c>
      <c r="F208" s="11">
        <f t="shared" si="11"/>
        <v>81525.713413326303</v>
      </c>
    </row>
    <row r="209" spans="1:6" x14ac:dyDescent="0.45">
      <c r="A209">
        <v>1</v>
      </c>
      <c r="B209">
        <v>1.02</v>
      </c>
      <c r="C209">
        <v>4301</v>
      </c>
      <c r="D209" s="11">
        <f t="shared" si="9"/>
        <v>4005.5676600000006</v>
      </c>
      <c r="E209" s="11">
        <f t="shared" si="10"/>
        <v>295.43233999999939</v>
      </c>
      <c r="F209" s="11">
        <f t="shared" si="11"/>
        <v>87280.26751787524</v>
      </c>
    </row>
    <row r="210" spans="1:6" x14ac:dyDescent="0.45">
      <c r="A210">
        <v>1</v>
      </c>
      <c r="B210">
        <v>1.01</v>
      </c>
      <c r="C210">
        <v>4262</v>
      </c>
      <c r="D210" s="11">
        <f t="shared" si="9"/>
        <v>3949.8353299999999</v>
      </c>
      <c r="E210" s="11">
        <f t="shared" si="10"/>
        <v>312.16467000000011</v>
      </c>
      <c r="F210" s="11">
        <f t="shared" si="11"/>
        <v>97446.781196208976</v>
      </c>
    </row>
    <row r="211" spans="1:6" x14ac:dyDescent="0.45">
      <c r="A211">
        <v>1</v>
      </c>
      <c r="B211">
        <v>1.01</v>
      </c>
      <c r="C211">
        <v>4283</v>
      </c>
      <c r="D211" s="11">
        <f t="shared" si="9"/>
        <v>3949.8353299999999</v>
      </c>
      <c r="E211" s="11">
        <f t="shared" si="10"/>
        <v>333.16467000000011</v>
      </c>
      <c r="F211" s="11">
        <f t="shared" si="11"/>
        <v>110998.69733620898</v>
      </c>
    </row>
    <row r="212" spans="1:6" x14ac:dyDescent="0.45">
      <c r="A212">
        <v>1</v>
      </c>
      <c r="B212">
        <v>1</v>
      </c>
      <c r="C212">
        <v>4244</v>
      </c>
      <c r="D212" s="11">
        <f t="shared" si="9"/>
        <v>3894.1030000000001</v>
      </c>
      <c r="E212" s="11">
        <f t="shared" si="10"/>
        <v>349.89699999999993</v>
      </c>
      <c r="F212" s="11">
        <f t="shared" si="11"/>
        <v>122427.91060899996</v>
      </c>
    </row>
    <row r="213" spans="1:6" x14ac:dyDescent="0.45">
      <c r="A213">
        <v>1</v>
      </c>
      <c r="B213">
        <v>1.0900000000000001</v>
      </c>
      <c r="C213">
        <v>4659</v>
      </c>
      <c r="D213" s="11">
        <f t="shared" si="9"/>
        <v>4395.6939700000003</v>
      </c>
      <c r="E213" s="11">
        <f t="shared" si="10"/>
        <v>263.30602999999974</v>
      </c>
      <c r="F213" s="11">
        <f t="shared" si="11"/>
        <v>69330.06543436076</v>
      </c>
    </row>
    <row r="214" spans="1:6" x14ac:dyDescent="0.45">
      <c r="A214">
        <v>1</v>
      </c>
      <c r="B214">
        <v>0.72</v>
      </c>
      <c r="C214">
        <v>2109</v>
      </c>
      <c r="D214" s="11">
        <f t="shared" si="9"/>
        <v>2333.5977599999997</v>
      </c>
      <c r="E214" s="11">
        <f t="shared" si="10"/>
        <v>-224.59775999999965</v>
      </c>
      <c r="F214" s="11">
        <f t="shared" si="11"/>
        <v>50444.153797017447</v>
      </c>
    </row>
    <row r="215" spans="1:6" x14ac:dyDescent="0.45">
      <c r="A215">
        <v>1</v>
      </c>
      <c r="B215">
        <v>1</v>
      </c>
      <c r="C215">
        <v>4279</v>
      </c>
      <c r="D215" s="11">
        <f t="shared" si="9"/>
        <v>3894.1030000000001</v>
      </c>
      <c r="E215" s="11">
        <f t="shared" si="10"/>
        <v>384.89699999999993</v>
      </c>
      <c r="F215" s="11">
        <f t="shared" si="11"/>
        <v>148145.70060899996</v>
      </c>
    </row>
    <row r="216" spans="1:6" x14ac:dyDescent="0.45">
      <c r="A216">
        <v>1</v>
      </c>
      <c r="B216">
        <v>1.18</v>
      </c>
      <c r="C216">
        <v>5092</v>
      </c>
      <c r="D216" s="11">
        <f t="shared" si="9"/>
        <v>4897.2849399999996</v>
      </c>
      <c r="E216" s="11">
        <f t="shared" si="10"/>
        <v>194.71506000000045</v>
      </c>
      <c r="F216" s="11">
        <f t="shared" si="11"/>
        <v>37913.954590803776</v>
      </c>
    </row>
    <row r="217" spans="1:6" x14ac:dyDescent="0.45">
      <c r="A217">
        <v>1</v>
      </c>
      <c r="B217">
        <v>0.9</v>
      </c>
      <c r="C217">
        <v>3296</v>
      </c>
      <c r="D217" s="11">
        <f t="shared" si="9"/>
        <v>3336.7797</v>
      </c>
      <c r="E217" s="11">
        <f t="shared" si="10"/>
        <v>-40.779700000000048</v>
      </c>
      <c r="F217" s="11">
        <f t="shared" si="11"/>
        <v>1662.9839320900039</v>
      </c>
    </row>
    <row r="218" spans="1:6" x14ac:dyDescent="0.45">
      <c r="A218">
        <v>1</v>
      </c>
      <c r="B218">
        <v>0.91</v>
      </c>
      <c r="C218">
        <v>3329</v>
      </c>
      <c r="D218" s="11">
        <f t="shared" si="9"/>
        <v>3392.5120299999999</v>
      </c>
      <c r="E218" s="11">
        <f t="shared" si="10"/>
        <v>-63.512029999999868</v>
      </c>
      <c r="F218" s="11">
        <f t="shared" si="11"/>
        <v>4033.7779547208834</v>
      </c>
    </row>
    <row r="219" spans="1:6" x14ac:dyDescent="0.45">
      <c r="A219">
        <v>1</v>
      </c>
      <c r="B219">
        <v>0.76</v>
      </c>
      <c r="C219">
        <v>2434</v>
      </c>
      <c r="D219" s="11">
        <f t="shared" si="9"/>
        <v>2556.5270799999998</v>
      </c>
      <c r="E219" s="11">
        <f t="shared" si="10"/>
        <v>-122.52707999999984</v>
      </c>
      <c r="F219" s="11">
        <f t="shared" si="11"/>
        <v>15012.885333326361</v>
      </c>
    </row>
    <row r="220" spans="1:6" x14ac:dyDescent="0.45">
      <c r="A220">
        <v>1</v>
      </c>
      <c r="B220">
        <v>1.1499999999999999</v>
      </c>
      <c r="C220">
        <v>5051</v>
      </c>
      <c r="D220" s="11">
        <f t="shared" si="9"/>
        <v>4730.0879499999992</v>
      </c>
      <c r="E220" s="11">
        <f t="shared" si="10"/>
        <v>320.91205000000082</v>
      </c>
      <c r="F220" s="11">
        <f t="shared" si="11"/>
        <v>102984.54383520302</v>
      </c>
    </row>
    <row r="221" spans="1:6" x14ac:dyDescent="0.45">
      <c r="A221">
        <v>1</v>
      </c>
      <c r="B221">
        <v>1.22</v>
      </c>
      <c r="C221">
        <v>5938</v>
      </c>
      <c r="D221" s="11">
        <f t="shared" si="9"/>
        <v>5120.2142599999997</v>
      </c>
      <c r="E221" s="11">
        <f t="shared" si="10"/>
        <v>817.78574000000026</v>
      </c>
      <c r="F221" s="11">
        <f t="shared" si="11"/>
        <v>668773.516547348</v>
      </c>
    </row>
    <row r="222" spans="1:6" x14ac:dyDescent="0.45">
      <c r="A222">
        <v>1</v>
      </c>
      <c r="B222">
        <v>0.72</v>
      </c>
      <c r="C222">
        <v>2432</v>
      </c>
      <c r="D222" s="11">
        <f t="shared" si="9"/>
        <v>2333.5977599999997</v>
      </c>
      <c r="E222" s="11">
        <f t="shared" si="10"/>
        <v>98.402240000000347</v>
      </c>
      <c r="F222" s="11">
        <f t="shared" si="11"/>
        <v>9683.0008370176674</v>
      </c>
    </row>
    <row r="223" spans="1:6" x14ac:dyDescent="0.45">
      <c r="A223">
        <v>1</v>
      </c>
      <c r="B223">
        <v>1.1100000000000001</v>
      </c>
      <c r="C223">
        <v>4883</v>
      </c>
      <c r="D223" s="11">
        <f t="shared" si="9"/>
        <v>4507.1586300000008</v>
      </c>
      <c r="E223" s="11">
        <f t="shared" si="10"/>
        <v>375.84136999999919</v>
      </c>
      <c r="F223" s="11">
        <f t="shared" si="11"/>
        <v>141256.73540347628</v>
      </c>
    </row>
    <row r="224" spans="1:6" x14ac:dyDescent="0.45">
      <c r="A224">
        <v>1</v>
      </c>
      <c r="B224">
        <v>1.1299999999999999</v>
      </c>
      <c r="C224">
        <v>4971</v>
      </c>
      <c r="D224" s="11">
        <f t="shared" si="9"/>
        <v>4618.6232899999995</v>
      </c>
      <c r="E224" s="11">
        <f t="shared" si="10"/>
        <v>352.37671000000046</v>
      </c>
      <c r="F224" s="11">
        <f t="shared" si="11"/>
        <v>124169.34575042443</v>
      </c>
    </row>
    <row r="225" spans="1:6" x14ac:dyDescent="0.45">
      <c r="A225">
        <v>1</v>
      </c>
      <c r="B225">
        <v>1</v>
      </c>
      <c r="C225">
        <v>4429</v>
      </c>
      <c r="D225" s="11">
        <f t="shared" si="9"/>
        <v>3894.1030000000001</v>
      </c>
      <c r="E225" s="11">
        <f t="shared" si="10"/>
        <v>534.89699999999993</v>
      </c>
      <c r="F225" s="11">
        <f t="shared" si="11"/>
        <v>286114.80060899991</v>
      </c>
    </row>
    <row r="226" spans="1:6" x14ac:dyDescent="0.45">
      <c r="A226">
        <v>1</v>
      </c>
      <c r="B226">
        <v>0.82</v>
      </c>
      <c r="C226">
        <v>2986</v>
      </c>
      <c r="D226" s="11">
        <f t="shared" si="9"/>
        <v>2890.9210599999997</v>
      </c>
      <c r="E226" s="11">
        <f t="shared" si="10"/>
        <v>95.07894000000033</v>
      </c>
      <c r="F226" s="11">
        <f t="shared" si="11"/>
        <v>9040.0048315236636</v>
      </c>
    </row>
    <row r="227" spans="1:6" x14ac:dyDescent="0.45">
      <c r="A227">
        <v>1</v>
      </c>
      <c r="B227">
        <v>1.06</v>
      </c>
      <c r="C227">
        <v>5067</v>
      </c>
      <c r="D227" s="11">
        <f t="shared" si="9"/>
        <v>4228.4969800000008</v>
      </c>
      <c r="E227" s="11">
        <f t="shared" si="10"/>
        <v>838.5030199999992</v>
      </c>
      <c r="F227" s="11">
        <f t="shared" si="11"/>
        <v>703087.3145491191</v>
      </c>
    </row>
    <row r="228" spans="1:6" x14ac:dyDescent="0.45">
      <c r="A228">
        <v>1</v>
      </c>
      <c r="B228">
        <v>1.1399999999999999</v>
      </c>
      <c r="C228">
        <v>5109</v>
      </c>
      <c r="D228" s="11">
        <f t="shared" si="9"/>
        <v>4674.3556199999994</v>
      </c>
      <c r="E228" s="11">
        <f t="shared" si="10"/>
        <v>434.64438000000064</v>
      </c>
      <c r="F228" s="11">
        <f t="shared" si="11"/>
        <v>188915.73706558495</v>
      </c>
    </row>
    <row r="229" spans="1:6" x14ac:dyDescent="0.45">
      <c r="A229">
        <v>1</v>
      </c>
      <c r="B229">
        <v>1.1399999999999999</v>
      </c>
      <c r="C229">
        <v>5109</v>
      </c>
      <c r="D229" s="11">
        <f t="shared" si="9"/>
        <v>4674.3556199999994</v>
      </c>
      <c r="E229" s="11">
        <f t="shared" si="10"/>
        <v>434.64438000000064</v>
      </c>
      <c r="F229" s="11">
        <f t="shared" si="11"/>
        <v>188915.73706558495</v>
      </c>
    </row>
    <row r="230" spans="1:6" x14ac:dyDescent="0.45">
      <c r="A230">
        <v>1</v>
      </c>
      <c r="B230">
        <v>0.8</v>
      </c>
      <c r="C230">
        <v>2769</v>
      </c>
      <c r="D230" s="11">
        <f t="shared" si="9"/>
        <v>2779.4564</v>
      </c>
      <c r="E230" s="11">
        <f t="shared" si="10"/>
        <v>-10.456400000000031</v>
      </c>
      <c r="F230" s="11">
        <f t="shared" si="11"/>
        <v>109.33630096000064</v>
      </c>
    </row>
    <row r="231" spans="1:6" x14ac:dyDescent="0.45">
      <c r="A231">
        <v>1</v>
      </c>
      <c r="B231">
        <v>1.01</v>
      </c>
      <c r="C231">
        <v>4712</v>
      </c>
      <c r="D231" s="11">
        <f t="shared" si="9"/>
        <v>3949.8353299999999</v>
      </c>
      <c r="E231" s="11">
        <f t="shared" si="10"/>
        <v>762.16467000000011</v>
      </c>
      <c r="F231" s="11">
        <f t="shared" si="11"/>
        <v>580894.98419620912</v>
      </c>
    </row>
    <row r="232" spans="1:6" x14ac:dyDescent="0.45">
      <c r="A232">
        <v>1</v>
      </c>
      <c r="B232">
        <v>1.2</v>
      </c>
      <c r="C232">
        <v>5377</v>
      </c>
      <c r="D232" s="11">
        <f t="shared" si="9"/>
        <v>5008.7496000000001</v>
      </c>
      <c r="E232" s="11">
        <f t="shared" si="10"/>
        <v>368.2503999999999</v>
      </c>
      <c r="F232" s="11">
        <f t="shared" si="11"/>
        <v>135608.35710015992</v>
      </c>
    </row>
    <row r="233" spans="1:6" x14ac:dyDescent="0.45">
      <c r="A233">
        <v>1</v>
      </c>
      <c r="B233">
        <v>1.07</v>
      </c>
      <c r="C233">
        <v>4833</v>
      </c>
      <c r="D233" s="11">
        <f t="shared" si="9"/>
        <v>4284.2293100000006</v>
      </c>
      <c r="E233" s="11">
        <f t="shared" si="10"/>
        <v>548.77068999999938</v>
      </c>
      <c r="F233" s="11">
        <f t="shared" si="11"/>
        <v>301149.27020307543</v>
      </c>
    </row>
    <row r="234" spans="1:6" x14ac:dyDescent="0.45">
      <c r="A234">
        <v>1</v>
      </c>
      <c r="B234">
        <v>1.22</v>
      </c>
      <c r="C234">
        <v>6071</v>
      </c>
      <c r="D234" s="11">
        <f t="shared" si="9"/>
        <v>5120.2142599999997</v>
      </c>
      <c r="E234" s="11">
        <f t="shared" si="10"/>
        <v>950.78574000000026</v>
      </c>
      <c r="F234" s="11">
        <f t="shared" si="11"/>
        <v>903993.52338734805</v>
      </c>
    </row>
    <row r="235" spans="1:6" x14ac:dyDescent="0.45">
      <c r="A235">
        <v>1</v>
      </c>
      <c r="B235">
        <v>1.28</v>
      </c>
      <c r="C235">
        <v>6002</v>
      </c>
      <c r="D235" s="11">
        <f t="shared" si="9"/>
        <v>5454.6082400000005</v>
      </c>
      <c r="E235" s="11">
        <f t="shared" si="10"/>
        <v>547.39175999999952</v>
      </c>
      <c r="F235" s="11">
        <f t="shared" si="11"/>
        <v>299637.73891589709</v>
      </c>
    </row>
    <row r="236" spans="1:6" x14ac:dyDescent="0.45">
      <c r="A236">
        <v>1</v>
      </c>
      <c r="B236">
        <v>1.28</v>
      </c>
      <c r="C236">
        <v>6115</v>
      </c>
      <c r="D236" s="11">
        <f t="shared" si="9"/>
        <v>5454.6082400000005</v>
      </c>
      <c r="E236" s="11">
        <f t="shared" si="10"/>
        <v>660.39175999999952</v>
      </c>
      <c r="F236" s="11">
        <f t="shared" si="11"/>
        <v>436117.27667589695</v>
      </c>
    </row>
    <row r="237" spans="1:6" x14ac:dyDescent="0.45">
      <c r="A237">
        <v>1</v>
      </c>
      <c r="B237">
        <v>1.05</v>
      </c>
      <c r="C237">
        <v>3634</v>
      </c>
      <c r="D237" s="11">
        <f t="shared" si="9"/>
        <v>4172.7646500000001</v>
      </c>
      <c r="E237" s="11">
        <f t="shared" si="10"/>
        <v>-538.76465000000007</v>
      </c>
      <c r="F237" s="11">
        <f t="shared" si="11"/>
        <v>290267.34808962257</v>
      </c>
    </row>
    <row r="238" spans="1:6" x14ac:dyDescent="0.45">
      <c r="A238">
        <v>1</v>
      </c>
      <c r="B238">
        <v>1.06</v>
      </c>
      <c r="C238">
        <v>3665</v>
      </c>
      <c r="D238" s="11">
        <f t="shared" si="9"/>
        <v>4228.4969800000008</v>
      </c>
      <c r="E238" s="11">
        <f t="shared" si="10"/>
        <v>-563.4969800000008</v>
      </c>
      <c r="F238" s="11">
        <f t="shared" si="11"/>
        <v>317528.84646912129</v>
      </c>
    </row>
    <row r="239" spans="1:6" x14ac:dyDescent="0.45">
      <c r="A239">
        <v>1</v>
      </c>
      <c r="B239">
        <v>1.03</v>
      </c>
      <c r="C239">
        <v>3670</v>
      </c>
      <c r="D239" s="11">
        <f t="shared" si="9"/>
        <v>4061.2999900000004</v>
      </c>
      <c r="E239" s="11">
        <f t="shared" si="10"/>
        <v>-391.29999000000043</v>
      </c>
      <c r="F239" s="11">
        <f t="shared" si="11"/>
        <v>153115.68217400045</v>
      </c>
    </row>
    <row r="240" spans="1:6" x14ac:dyDescent="0.45">
      <c r="A240">
        <v>1</v>
      </c>
      <c r="B240">
        <v>1.06</v>
      </c>
      <c r="C240">
        <v>3802</v>
      </c>
      <c r="D240" s="11">
        <f t="shared" si="9"/>
        <v>4228.4969800000008</v>
      </c>
      <c r="E240" s="11">
        <f t="shared" si="10"/>
        <v>-426.4969800000008</v>
      </c>
      <c r="F240" s="11">
        <f t="shared" si="11"/>
        <v>181899.67394912109</v>
      </c>
    </row>
    <row r="241" spans="1:6" x14ac:dyDescent="0.45">
      <c r="A241">
        <v>1</v>
      </c>
      <c r="B241">
        <v>1.04</v>
      </c>
      <c r="C241">
        <v>3703</v>
      </c>
      <c r="D241" s="11">
        <f t="shared" si="9"/>
        <v>4117.0323200000003</v>
      </c>
      <c r="E241" s="11">
        <f t="shared" si="10"/>
        <v>-414.03232000000025</v>
      </c>
      <c r="F241" s="11">
        <f t="shared" si="11"/>
        <v>171422.76200458262</v>
      </c>
    </row>
    <row r="242" spans="1:6" x14ac:dyDescent="0.45">
      <c r="A242">
        <v>1</v>
      </c>
      <c r="B242">
        <v>0.91</v>
      </c>
      <c r="C242">
        <v>2904</v>
      </c>
      <c r="D242" s="11">
        <f t="shared" si="9"/>
        <v>3392.5120299999999</v>
      </c>
      <c r="E242" s="11">
        <f t="shared" si="10"/>
        <v>-488.51202999999987</v>
      </c>
      <c r="F242" s="11">
        <f t="shared" si="11"/>
        <v>238644.00345472078</v>
      </c>
    </row>
    <row r="243" spans="1:6" x14ac:dyDescent="0.45">
      <c r="A243">
        <v>1</v>
      </c>
      <c r="B243">
        <v>1.05</v>
      </c>
      <c r="C243">
        <v>3786</v>
      </c>
      <c r="D243" s="11">
        <f t="shared" si="9"/>
        <v>4172.7646500000001</v>
      </c>
      <c r="E243" s="11">
        <f t="shared" si="10"/>
        <v>-386.76465000000007</v>
      </c>
      <c r="F243" s="11">
        <f t="shared" si="11"/>
        <v>149586.89448962256</v>
      </c>
    </row>
    <row r="244" spans="1:6" x14ac:dyDescent="0.45">
      <c r="A244">
        <v>1</v>
      </c>
      <c r="B244">
        <v>1.05</v>
      </c>
      <c r="C244">
        <v>3735</v>
      </c>
      <c r="D244" s="11">
        <f t="shared" si="9"/>
        <v>4172.7646500000001</v>
      </c>
      <c r="E244" s="11">
        <f t="shared" si="10"/>
        <v>-437.76465000000007</v>
      </c>
      <c r="F244" s="11">
        <f t="shared" si="11"/>
        <v>191637.88878962258</v>
      </c>
    </row>
    <row r="245" spans="1:6" x14ac:dyDescent="0.45">
      <c r="A245">
        <v>1</v>
      </c>
      <c r="B245">
        <v>1.1599999999999999</v>
      </c>
      <c r="C245">
        <v>4260</v>
      </c>
      <c r="D245" s="11">
        <f t="shared" si="9"/>
        <v>4785.8202799999999</v>
      </c>
      <c r="E245" s="11">
        <f t="shared" si="10"/>
        <v>-525.82027999999991</v>
      </c>
      <c r="F245" s="11">
        <f t="shared" si="11"/>
        <v>276486.96685927833</v>
      </c>
    </row>
    <row r="246" spans="1:6" x14ac:dyDescent="0.45">
      <c r="A246">
        <v>1</v>
      </c>
      <c r="B246">
        <v>1.02</v>
      </c>
      <c r="C246">
        <v>3786</v>
      </c>
      <c r="D246" s="11">
        <f t="shared" si="9"/>
        <v>4005.5676600000006</v>
      </c>
      <c r="E246" s="11">
        <f t="shared" si="10"/>
        <v>-219.56766000000061</v>
      </c>
      <c r="F246" s="11">
        <f t="shared" si="11"/>
        <v>48209.957317875873</v>
      </c>
    </row>
    <row r="247" spans="1:6" x14ac:dyDescent="0.45">
      <c r="A247">
        <v>1</v>
      </c>
      <c r="B247">
        <v>1.06</v>
      </c>
      <c r="C247">
        <v>3922</v>
      </c>
      <c r="D247" s="11">
        <f t="shared" si="9"/>
        <v>4228.4969800000008</v>
      </c>
      <c r="E247" s="11">
        <f t="shared" si="10"/>
        <v>-306.4969800000008</v>
      </c>
      <c r="F247" s="11">
        <f t="shared" si="11"/>
        <v>93940.398749120897</v>
      </c>
    </row>
    <row r="248" spans="1:6" x14ac:dyDescent="0.45">
      <c r="A248">
        <v>1</v>
      </c>
      <c r="B248">
        <v>1.02</v>
      </c>
      <c r="C248">
        <v>3786</v>
      </c>
      <c r="D248" s="11">
        <f t="shared" si="9"/>
        <v>4005.5676600000006</v>
      </c>
      <c r="E248" s="11">
        <f t="shared" si="10"/>
        <v>-219.56766000000061</v>
      </c>
      <c r="F248" s="11">
        <f t="shared" si="11"/>
        <v>48209.957317875873</v>
      </c>
    </row>
    <row r="249" spans="1:6" x14ac:dyDescent="0.45">
      <c r="A249">
        <v>1</v>
      </c>
      <c r="B249">
        <v>0.7</v>
      </c>
      <c r="C249">
        <v>2006</v>
      </c>
      <c r="D249" s="11">
        <f t="shared" si="9"/>
        <v>2222.1330999999996</v>
      </c>
      <c r="E249" s="11">
        <f t="shared" si="10"/>
        <v>-216.13309999999956</v>
      </c>
      <c r="F249" s="11">
        <f t="shared" si="11"/>
        <v>46713.516915609813</v>
      </c>
    </row>
    <row r="250" spans="1:6" x14ac:dyDescent="0.45">
      <c r="A250">
        <v>1</v>
      </c>
      <c r="B250">
        <v>0.9</v>
      </c>
      <c r="C250">
        <v>2990</v>
      </c>
      <c r="D250" s="11">
        <f t="shared" si="9"/>
        <v>3336.7797</v>
      </c>
      <c r="E250" s="11">
        <f t="shared" si="10"/>
        <v>-346.77970000000005</v>
      </c>
      <c r="F250" s="11">
        <f t="shared" si="11"/>
        <v>120256.16033209003</v>
      </c>
    </row>
    <row r="251" spans="1:6" x14ac:dyDescent="0.45">
      <c r="A251">
        <v>1</v>
      </c>
      <c r="B251">
        <v>0.9</v>
      </c>
      <c r="C251">
        <v>2990</v>
      </c>
      <c r="D251" s="11">
        <f t="shared" si="9"/>
        <v>3336.7797</v>
      </c>
      <c r="E251" s="11">
        <f t="shared" si="10"/>
        <v>-346.77970000000005</v>
      </c>
      <c r="F251" s="11">
        <f t="shared" si="11"/>
        <v>120256.16033209003</v>
      </c>
    </row>
    <row r="252" spans="1:6" x14ac:dyDescent="0.45">
      <c r="A252">
        <v>1</v>
      </c>
      <c r="B252">
        <v>1</v>
      </c>
      <c r="C252">
        <v>3718</v>
      </c>
      <c r="D252" s="11">
        <f t="shared" si="9"/>
        <v>3894.1030000000001</v>
      </c>
      <c r="E252" s="11">
        <f t="shared" si="10"/>
        <v>-176.10300000000007</v>
      </c>
      <c r="F252" s="11">
        <f t="shared" si="11"/>
        <v>31012.266609000024</v>
      </c>
    </row>
    <row r="253" spans="1:6" x14ac:dyDescent="0.45">
      <c r="A253">
        <v>1</v>
      </c>
      <c r="B253">
        <v>1.01</v>
      </c>
      <c r="C253">
        <v>3752</v>
      </c>
      <c r="D253" s="11">
        <f t="shared" si="9"/>
        <v>3949.8353299999999</v>
      </c>
      <c r="E253" s="11">
        <f t="shared" si="10"/>
        <v>-197.83532999999989</v>
      </c>
      <c r="F253" s="11">
        <f t="shared" si="11"/>
        <v>39138.817796208852</v>
      </c>
    </row>
    <row r="254" spans="1:6" x14ac:dyDescent="0.45">
      <c r="A254">
        <v>1</v>
      </c>
      <c r="B254">
        <v>1.05</v>
      </c>
      <c r="C254">
        <v>3989</v>
      </c>
      <c r="D254" s="11">
        <f t="shared" si="9"/>
        <v>4172.7646500000001</v>
      </c>
      <c r="E254" s="11">
        <f t="shared" si="10"/>
        <v>-183.76465000000007</v>
      </c>
      <c r="F254" s="11">
        <f t="shared" si="11"/>
        <v>33769.44658962253</v>
      </c>
    </row>
    <row r="255" spans="1:6" x14ac:dyDescent="0.45">
      <c r="A255">
        <v>1</v>
      </c>
      <c r="B255">
        <v>1.02</v>
      </c>
      <c r="C255">
        <v>4280</v>
      </c>
      <c r="D255" s="11">
        <f t="shared" si="9"/>
        <v>4005.5676600000006</v>
      </c>
      <c r="E255" s="11">
        <f t="shared" si="10"/>
        <v>274.43233999999939</v>
      </c>
      <c r="F255" s="11">
        <f t="shared" si="11"/>
        <v>75313.109237875266</v>
      </c>
    </row>
    <row r="256" spans="1:6" x14ac:dyDescent="0.45">
      <c r="A256">
        <v>1</v>
      </c>
      <c r="B256">
        <v>1.06</v>
      </c>
      <c r="C256">
        <v>4076</v>
      </c>
      <c r="D256" s="11">
        <f t="shared" si="9"/>
        <v>4228.4969800000008</v>
      </c>
      <c r="E256" s="11">
        <f t="shared" si="10"/>
        <v>-152.4969800000008</v>
      </c>
      <c r="F256" s="11">
        <f t="shared" si="11"/>
        <v>23255.328909120646</v>
      </c>
    </row>
    <row r="257" spans="1:6" x14ac:dyDescent="0.45">
      <c r="A257">
        <v>1</v>
      </c>
      <c r="B257">
        <v>0.92</v>
      </c>
      <c r="C257">
        <v>3172</v>
      </c>
      <c r="D257" s="11">
        <f t="shared" si="9"/>
        <v>3448.2443600000006</v>
      </c>
      <c r="E257" s="11">
        <f t="shared" si="10"/>
        <v>-276.2443600000006</v>
      </c>
      <c r="F257" s="11">
        <f t="shared" si="11"/>
        <v>76310.946431809934</v>
      </c>
    </row>
    <row r="258" spans="1:6" x14ac:dyDescent="0.45">
      <c r="A258">
        <v>1</v>
      </c>
      <c r="B258">
        <v>1.27</v>
      </c>
      <c r="C258">
        <v>4954</v>
      </c>
      <c r="D258" s="11">
        <f t="shared" ref="D258:D321" si="12">$J$3+$J$4*B258</f>
        <v>5398.8759100000007</v>
      </c>
      <c r="E258" s="11">
        <f t="shared" ref="E258:E321" si="13">C258-D258</f>
        <v>-444.87591000000066</v>
      </c>
      <c r="F258" s="11">
        <f t="shared" ref="F258:F321" si="14">E258^2</f>
        <v>197914.57529832868</v>
      </c>
    </row>
    <row r="259" spans="1:6" x14ac:dyDescent="0.45">
      <c r="A259">
        <v>1</v>
      </c>
      <c r="B259">
        <v>1.23</v>
      </c>
      <c r="C259">
        <v>5118</v>
      </c>
      <c r="D259" s="11">
        <f t="shared" si="12"/>
        <v>5175.9465899999996</v>
      </c>
      <c r="E259" s="11">
        <f t="shared" si="13"/>
        <v>-57.94658999999956</v>
      </c>
      <c r="F259" s="11">
        <f t="shared" si="14"/>
        <v>3357.8072926280488</v>
      </c>
    </row>
    <row r="260" spans="1:6" x14ac:dyDescent="0.45">
      <c r="A260">
        <v>1</v>
      </c>
      <c r="B260">
        <v>1.21</v>
      </c>
      <c r="C260">
        <v>4909</v>
      </c>
      <c r="D260" s="11">
        <f t="shared" si="12"/>
        <v>5064.4819299999999</v>
      </c>
      <c r="E260" s="11">
        <f t="shared" si="13"/>
        <v>-155.48192999999992</v>
      </c>
      <c r="F260" s="11">
        <f t="shared" si="14"/>
        <v>24174.630556524877</v>
      </c>
    </row>
    <row r="261" spans="1:6" x14ac:dyDescent="0.45">
      <c r="A261">
        <v>1</v>
      </c>
      <c r="B261">
        <v>1.22</v>
      </c>
      <c r="C261">
        <v>4760</v>
      </c>
      <c r="D261" s="11">
        <f t="shared" si="12"/>
        <v>5120.2142599999997</v>
      </c>
      <c r="E261" s="11">
        <f t="shared" si="13"/>
        <v>-360.21425999999974</v>
      </c>
      <c r="F261" s="11">
        <f t="shared" si="14"/>
        <v>129754.31310734741</v>
      </c>
    </row>
    <row r="262" spans="1:6" x14ac:dyDescent="0.45">
      <c r="A262">
        <v>1</v>
      </c>
      <c r="B262">
        <v>1.23</v>
      </c>
      <c r="C262">
        <v>5118</v>
      </c>
      <c r="D262" s="11">
        <f t="shared" si="12"/>
        <v>5175.9465899999996</v>
      </c>
      <c r="E262" s="11">
        <f t="shared" si="13"/>
        <v>-57.94658999999956</v>
      </c>
      <c r="F262" s="11">
        <f t="shared" si="14"/>
        <v>3357.8072926280488</v>
      </c>
    </row>
    <row r="263" spans="1:6" x14ac:dyDescent="0.45">
      <c r="A263">
        <v>1</v>
      </c>
      <c r="B263">
        <v>1.27</v>
      </c>
      <c r="C263">
        <v>5612</v>
      </c>
      <c r="D263" s="11">
        <f t="shared" si="12"/>
        <v>5398.8759100000007</v>
      </c>
      <c r="E263" s="11">
        <f t="shared" si="13"/>
        <v>213.12408999999934</v>
      </c>
      <c r="F263" s="11">
        <f t="shared" si="14"/>
        <v>45421.877738327821</v>
      </c>
    </row>
    <row r="264" spans="1:6" x14ac:dyDescent="0.45">
      <c r="A264">
        <v>1</v>
      </c>
      <c r="B264">
        <v>1.03</v>
      </c>
      <c r="C264">
        <v>4069</v>
      </c>
      <c r="D264" s="11">
        <f t="shared" si="12"/>
        <v>4061.2999900000004</v>
      </c>
      <c r="E264" s="11">
        <f t="shared" si="13"/>
        <v>7.7000099999995655</v>
      </c>
      <c r="F264" s="11">
        <f t="shared" si="14"/>
        <v>59.29015400009331</v>
      </c>
    </row>
    <row r="265" spans="1:6" x14ac:dyDescent="0.45">
      <c r="A265">
        <v>1</v>
      </c>
      <c r="B265">
        <v>1.21</v>
      </c>
      <c r="C265">
        <v>5160</v>
      </c>
      <c r="D265" s="11">
        <f t="shared" si="12"/>
        <v>5064.4819299999999</v>
      </c>
      <c r="E265" s="11">
        <f t="shared" si="13"/>
        <v>95.51807000000008</v>
      </c>
      <c r="F265" s="11">
        <f t="shared" si="14"/>
        <v>9123.701696524915</v>
      </c>
    </row>
    <row r="266" spans="1:6" x14ac:dyDescent="0.45">
      <c r="A266">
        <v>1</v>
      </c>
      <c r="B266">
        <v>1.22</v>
      </c>
      <c r="C266">
        <v>4760</v>
      </c>
      <c r="D266" s="11">
        <f t="shared" si="12"/>
        <v>5120.2142599999997</v>
      </c>
      <c r="E266" s="11">
        <f t="shared" si="13"/>
        <v>-360.21425999999974</v>
      </c>
      <c r="F266" s="11">
        <f t="shared" si="14"/>
        <v>129754.31310734741</v>
      </c>
    </row>
    <row r="267" spans="1:6" x14ac:dyDescent="0.45">
      <c r="A267">
        <v>1</v>
      </c>
      <c r="B267">
        <v>0.7</v>
      </c>
      <c r="C267">
        <v>1995</v>
      </c>
      <c r="D267" s="11">
        <f t="shared" si="12"/>
        <v>2222.1330999999996</v>
      </c>
      <c r="E267" s="11">
        <f t="shared" si="13"/>
        <v>-227.13309999999956</v>
      </c>
      <c r="F267" s="11">
        <f t="shared" si="14"/>
        <v>51589.4451156098</v>
      </c>
    </row>
    <row r="268" spans="1:6" x14ac:dyDescent="0.45">
      <c r="A268">
        <v>1</v>
      </c>
      <c r="B268">
        <v>0.9</v>
      </c>
      <c r="C268">
        <v>2756</v>
      </c>
      <c r="D268" s="11">
        <f t="shared" si="12"/>
        <v>3336.7797</v>
      </c>
      <c r="E268" s="11">
        <f t="shared" si="13"/>
        <v>-580.77970000000005</v>
      </c>
      <c r="F268" s="11">
        <f t="shared" si="14"/>
        <v>337305.05993209005</v>
      </c>
    </row>
    <row r="269" spans="1:6" x14ac:dyDescent="0.45">
      <c r="A269">
        <v>1</v>
      </c>
      <c r="B269">
        <v>0.83</v>
      </c>
      <c r="C269">
        <v>2304</v>
      </c>
      <c r="D269" s="11">
        <f t="shared" si="12"/>
        <v>2946.6533899999995</v>
      </c>
      <c r="E269" s="11">
        <f t="shared" si="13"/>
        <v>-642.65338999999949</v>
      </c>
      <c r="F269" s="11">
        <f t="shared" si="14"/>
        <v>413003.37967849144</v>
      </c>
    </row>
    <row r="270" spans="1:6" x14ac:dyDescent="0.45">
      <c r="A270">
        <v>1</v>
      </c>
      <c r="B270">
        <v>1.01</v>
      </c>
      <c r="C270">
        <v>3654</v>
      </c>
      <c r="D270" s="11">
        <f t="shared" si="12"/>
        <v>3949.8353299999999</v>
      </c>
      <c r="E270" s="11">
        <f t="shared" si="13"/>
        <v>-295.83532999999989</v>
      </c>
      <c r="F270" s="11">
        <f t="shared" si="14"/>
        <v>87518.542476208837</v>
      </c>
    </row>
    <row r="271" spans="1:6" x14ac:dyDescent="0.45">
      <c r="A271">
        <v>1</v>
      </c>
      <c r="B271">
        <v>1.02</v>
      </c>
      <c r="C271">
        <v>3687</v>
      </c>
      <c r="D271" s="11">
        <f t="shared" si="12"/>
        <v>4005.5676600000006</v>
      </c>
      <c r="E271" s="11">
        <f t="shared" si="13"/>
        <v>-318.56766000000061</v>
      </c>
      <c r="F271" s="11">
        <f t="shared" si="14"/>
        <v>101485.35399787599</v>
      </c>
    </row>
    <row r="272" spans="1:6" x14ac:dyDescent="0.45">
      <c r="A272">
        <v>1</v>
      </c>
      <c r="B272">
        <v>1.1599999999999999</v>
      </c>
      <c r="C272">
        <v>4092</v>
      </c>
      <c r="D272" s="11">
        <f t="shared" si="12"/>
        <v>4785.8202799999999</v>
      </c>
      <c r="E272" s="11">
        <f t="shared" si="13"/>
        <v>-693.82027999999991</v>
      </c>
      <c r="F272" s="11">
        <f t="shared" si="14"/>
        <v>481386.5809392783</v>
      </c>
    </row>
    <row r="273" spans="1:6" x14ac:dyDescent="0.45">
      <c r="A273">
        <v>1</v>
      </c>
      <c r="B273">
        <v>1.1200000000000001</v>
      </c>
      <c r="C273">
        <v>3962</v>
      </c>
      <c r="D273" s="11">
        <f t="shared" si="12"/>
        <v>4562.8909600000006</v>
      </c>
      <c r="E273" s="11">
        <f t="shared" si="13"/>
        <v>-600.89096000000063</v>
      </c>
      <c r="F273" s="11">
        <f t="shared" si="14"/>
        <v>361069.94580972235</v>
      </c>
    </row>
    <row r="274" spans="1:6" x14ac:dyDescent="0.45">
      <c r="A274">
        <v>1</v>
      </c>
      <c r="B274">
        <v>1.07</v>
      </c>
      <c r="C274">
        <v>3852</v>
      </c>
      <c r="D274" s="11">
        <f t="shared" si="12"/>
        <v>4284.2293100000006</v>
      </c>
      <c r="E274" s="11">
        <f t="shared" si="13"/>
        <v>-432.22931000000062</v>
      </c>
      <c r="F274" s="11">
        <f t="shared" si="14"/>
        <v>186822.17642307663</v>
      </c>
    </row>
    <row r="275" spans="1:6" x14ac:dyDescent="0.45">
      <c r="A275">
        <v>1</v>
      </c>
      <c r="B275">
        <v>1</v>
      </c>
      <c r="C275">
        <v>3621</v>
      </c>
      <c r="D275" s="11">
        <f t="shared" si="12"/>
        <v>3894.1030000000001</v>
      </c>
      <c r="E275" s="11">
        <f t="shared" si="13"/>
        <v>-273.10300000000007</v>
      </c>
      <c r="F275" s="11">
        <f t="shared" si="14"/>
        <v>74585.248609000031</v>
      </c>
    </row>
    <row r="276" spans="1:6" x14ac:dyDescent="0.45">
      <c r="A276">
        <v>1</v>
      </c>
      <c r="B276">
        <v>1.1299999999999999</v>
      </c>
      <c r="C276">
        <v>4378</v>
      </c>
      <c r="D276" s="11">
        <f t="shared" si="12"/>
        <v>4618.6232899999995</v>
      </c>
      <c r="E276" s="11">
        <f t="shared" si="13"/>
        <v>-240.62328999999954</v>
      </c>
      <c r="F276" s="11">
        <f t="shared" si="14"/>
        <v>57899.567690423879</v>
      </c>
    </row>
    <row r="277" spans="1:6" x14ac:dyDescent="0.45">
      <c r="A277">
        <v>1</v>
      </c>
      <c r="B277">
        <v>1.27</v>
      </c>
      <c r="C277">
        <v>5152</v>
      </c>
      <c r="D277" s="11">
        <f t="shared" si="12"/>
        <v>5398.8759100000007</v>
      </c>
      <c r="E277" s="11">
        <f t="shared" si="13"/>
        <v>-246.87591000000066</v>
      </c>
      <c r="F277" s="11">
        <f t="shared" si="14"/>
        <v>60947.714938328427</v>
      </c>
    </row>
    <row r="278" spans="1:6" x14ac:dyDescent="0.45">
      <c r="A278">
        <v>1</v>
      </c>
      <c r="B278">
        <v>1.03</v>
      </c>
      <c r="C278">
        <v>3720</v>
      </c>
      <c r="D278" s="11">
        <f t="shared" si="12"/>
        <v>4061.2999900000004</v>
      </c>
      <c r="E278" s="11">
        <f t="shared" si="13"/>
        <v>-341.29999000000043</v>
      </c>
      <c r="F278" s="11">
        <f t="shared" si="14"/>
        <v>116485.6831740004</v>
      </c>
    </row>
    <row r="279" spans="1:6" x14ac:dyDescent="0.45">
      <c r="A279">
        <v>1</v>
      </c>
      <c r="B279">
        <v>1.06</v>
      </c>
      <c r="C279">
        <v>4127</v>
      </c>
      <c r="D279" s="11">
        <f t="shared" si="12"/>
        <v>4228.4969800000008</v>
      </c>
      <c r="E279" s="11">
        <f t="shared" si="13"/>
        <v>-101.4969800000008</v>
      </c>
      <c r="F279" s="11">
        <f t="shared" si="14"/>
        <v>10301.636949120562</v>
      </c>
    </row>
    <row r="280" spans="1:6" x14ac:dyDescent="0.45">
      <c r="A280">
        <v>1</v>
      </c>
      <c r="B280">
        <v>1.0900000000000001</v>
      </c>
      <c r="C280">
        <v>3759</v>
      </c>
      <c r="D280" s="11">
        <f t="shared" si="12"/>
        <v>4395.6939700000003</v>
      </c>
      <c r="E280" s="11">
        <f t="shared" si="13"/>
        <v>-636.69397000000026</v>
      </c>
      <c r="F280" s="11">
        <f t="shared" si="14"/>
        <v>405379.21143436123</v>
      </c>
    </row>
    <row r="281" spans="1:6" x14ac:dyDescent="0.45">
      <c r="A281">
        <v>1</v>
      </c>
      <c r="B281">
        <v>1.1100000000000001</v>
      </c>
      <c r="C281">
        <v>3874</v>
      </c>
      <c r="D281" s="11">
        <f t="shared" si="12"/>
        <v>4507.1586300000008</v>
      </c>
      <c r="E281" s="11">
        <f t="shared" si="13"/>
        <v>-633.15863000000081</v>
      </c>
      <c r="F281" s="11">
        <f t="shared" si="14"/>
        <v>400889.85074347793</v>
      </c>
    </row>
    <row r="282" spans="1:6" x14ac:dyDescent="0.45">
      <c r="A282">
        <v>1</v>
      </c>
      <c r="B282">
        <v>1.1100000000000001</v>
      </c>
      <c r="C282">
        <v>3853</v>
      </c>
      <c r="D282" s="11">
        <f t="shared" si="12"/>
        <v>4507.1586300000008</v>
      </c>
      <c r="E282" s="11">
        <f t="shared" si="13"/>
        <v>-654.15863000000081</v>
      </c>
      <c r="F282" s="11">
        <f t="shared" si="14"/>
        <v>427923.51320347795</v>
      </c>
    </row>
    <row r="283" spans="1:6" x14ac:dyDescent="0.45">
      <c r="A283">
        <v>1</v>
      </c>
      <c r="B283">
        <v>1.21</v>
      </c>
      <c r="C283">
        <v>4305</v>
      </c>
      <c r="D283" s="11">
        <f t="shared" si="12"/>
        <v>5064.4819299999999</v>
      </c>
      <c r="E283" s="11">
        <f t="shared" si="13"/>
        <v>-759.48192999999992</v>
      </c>
      <c r="F283" s="11">
        <f t="shared" si="14"/>
        <v>576812.80199652479</v>
      </c>
    </row>
    <row r="284" spans="1:6" x14ac:dyDescent="0.45">
      <c r="A284">
        <v>1</v>
      </c>
      <c r="B284">
        <v>1.01</v>
      </c>
      <c r="C284">
        <v>3508</v>
      </c>
      <c r="D284" s="11">
        <f t="shared" si="12"/>
        <v>3949.8353299999999</v>
      </c>
      <c r="E284" s="11">
        <f t="shared" si="13"/>
        <v>-441.83532999999989</v>
      </c>
      <c r="F284" s="11">
        <f t="shared" si="14"/>
        <v>195218.4588362088</v>
      </c>
    </row>
    <row r="285" spans="1:6" x14ac:dyDescent="0.45">
      <c r="A285">
        <v>1</v>
      </c>
      <c r="B285">
        <v>1.03</v>
      </c>
      <c r="C285">
        <v>3674</v>
      </c>
      <c r="D285" s="11">
        <f t="shared" si="12"/>
        <v>4061.2999900000004</v>
      </c>
      <c r="E285" s="11">
        <f t="shared" si="13"/>
        <v>-387.29999000000043</v>
      </c>
      <c r="F285" s="11">
        <f t="shared" si="14"/>
        <v>150001.28225400043</v>
      </c>
    </row>
    <row r="286" spans="1:6" x14ac:dyDescent="0.45">
      <c r="A286">
        <v>1</v>
      </c>
      <c r="B286">
        <v>0.9</v>
      </c>
      <c r="C286">
        <v>3370</v>
      </c>
      <c r="D286" s="11">
        <f t="shared" si="12"/>
        <v>3336.7797</v>
      </c>
      <c r="E286" s="11">
        <f t="shared" si="13"/>
        <v>33.220299999999952</v>
      </c>
      <c r="F286" s="11">
        <f t="shared" si="14"/>
        <v>1103.5883320899968</v>
      </c>
    </row>
    <row r="287" spans="1:6" x14ac:dyDescent="0.45">
      <c r="A287">
        <v>1</v>
      </c>
      <c r="B287">
        <v>1.1399999999999999</v>
      </c>
      <c r="C287">
        <v>4111</v>
      </c>
      <c r="D287" s="11">
        <f t="shared" si="12"/>
        <v>4674.3556199999994</v>
      </c>
      <c r="E287" s="11">
        <f t="shared" si="13"/>
        <v>-563.35561999999936</v>
      </c>
      <c r="F287" s="11">
        <f t="shared" si="14"/>
        <v>317369.55458558368</v>
      </c>
    </row>
    <row r="288" spans="1:6" x14ac:dyDescent="0.45">
      <c r="A288">
        <v>1</v>
      </c>
      <c r="B288">
        <v>1.1100000000000001</v>
      </c>
      <c r="C288">
        <v>3984</v>
      </c>
      <c r="D288" s="11">
        <f t="shared" si="12"/>
        <v>4507.1586300000008</v>
      </c>
      <c r="E288" s="11">
        <f t="shared" si="13"/>
        <v>-523.15863000000081</v>
      </c>
      <c r="F288" s="11">
        <f t="shared" si="14"/>
        <v>273694.95214347774</v>
      </c>
    </row>
    <row r="289" spans="1:6" x14ac:dyDescent="0.45">
      <c r="A289">
        <v>1</v>
      </c>
      <c r="B289">
        <v>1.1100000000000001</v>
      </c>
      <c r="C289">
        <v>3984</v>
      </c>
      <c r="D289" s="11">
        <f t="shared" si="12"/>
        <v>4507.1586300000008</v>
      </c>
      <c r="E289" s="11">
        <f t="shared" si="13"/>
        <v>-523.15863000000081</v>
      </c>
      <c r="F289" s="11">
        <f t="shared" si="14"/>
        <v>273694.95214347774</v>
      </c>
    </row>
    <row r="290" spans="1:6" x14ac:dyDescent="0.45">
      <c r="A290">
        <v>1</v>
      </c>
      <c r="B290">
        <v>1.04</v>
      </c>
      <c r="C290">
        <v>3779</v>
      </c>
      <c r="D290" s="11">
        <f t="shared" si="12"/>
        <v>4117.0323200000003</v>
      </c>
      <c r="E290" s="11">
        <f t="shared" si="13"/>
        <v>-338.03232000000025</v>
      </c>
      <c r="F290" s="11">
        <f t="shared" si="14"/>
        <v>114265.84936458257</v>
      </c>
    </row>
    <row r="291" spans="1:6" x14ac:dyDescent="0.45">
      <c r="A291">
        <v>1</v>
      </c>
      <c r="B291">
        <v>1</v>
      </c>
      <c r="C291">
        <v>3621</v>
      </c>
      <c r="D291" s="11">
        <f t="shared" si="12"/>
        <v>3894.1030000000001</v>
      </c>
      <c r="E291" s="11">
        <f t="shared" si="13"/>
        <v>-273.10300000000007</v>
      </c>
      <c r="F291" s="11">
        <f t="shared" si="14"/>
        <v>74585.248609000031</v>
      </c>
    </row>
    <row r="292" spans="1:6" x14ac:dyDescent="0.45">
      <c r="A292">
        <v>1</v>
      </c>
      <c r="B292">
        <v>1.1399999999999999</v>
      </c>
      <c r="C292">
        <v>4193</v>
      </c>
      <c r="D292" s="11">
        <f t="shared" si="12"/>
        <v>4674.3556199999994</v>
      </c>
      <c r="E292" s="11">
        <f t="shared" si="13"/>
        <v>-481.35561999999936</v>
      </c>
      <c r="F292" s="11">
        <f t="shared" si="14"/>
        <v>231703.23290558378</v>
      </c>
    </row>
    <row r="293" spans="1:6" x14ac:dyDescent="0.45">
      <c r="A293">
        <v>1</v>
      </c>
      <c r="B293">
        <v>1.0900000000000001</v>
      </c>
      <c r="C293">
        <v>4023</v>
      </c>
      <c r="D293" s="11">
        <f t="shared" si="12"/>
        <v>4395.6939700000003</v>
      </c>
      <c r="E293" s="11">
        <f t="shared" si="13"/>
        <v>-372.69397000000026</v>
      </c>
      <c r="F293" s="11">
        <f t="shared" si="14"/>
        <v>138900.79527436109</v>
      </c>
    </row>
    <row r="294" spans="1:6" x14ac:dyDescent="0.45">
      <c r="A294">
        <v>1</v>
      </c>
      <c r="B294">
        <v>1.1399999999999999</v>
      </c>
      <c r="C294">
        <v>4193</v>
      </c>
      <c r="D294" s="11">
        <f t="shared" si="12"/>
        <v>4674.3556199999994</v>
      </c>
      <c r="E294" s="11">
        <f t="shared" si="13"/>
        <v>-481.35561999999936</v>
      </c>
      <c r="F294" s="11">
        <f t="shared" si="14"/>
        <v>231703.23290558378</v>
      </c>
    </row>
    <row r="295" spans="1:6" x14ac:dyDescent="0.45">
      <c r="A295">
        <v>1</v>
      </c>
      <c r="B295">
        <v>1.05</v>
      </c>
      <c r="C295">
        <v>3931</v>
      </c>
      <c r="D295" s="11">
        <f t="shared" si="12"/>
        <v>4172.7646500000001</v>
      </c>
      <c r="E295" s="11">
        <f t="shared" si="13"/>
        <v>-241.76465000000007</v>
      </c>
      <c r="F295" s="11">
        <f t="shared" si="14"/>
        <v>58450.145989622535</v>
      </c>
    </row>
    <row r="296" spans="1:6" x14ac:dyDescent="0.45">
      <c r="A296">
        <v>1</v>
      </c>
      <c r="B296">
        <v>1.28</v>
      </c>
      <c r="C296">
        <v>4693</v>
      </c>
      <c r="D296" s="11">
        <f t="shared" si="12"/>
        <v>5454.6082400000005</v>
      </c>
      <c r="E296" s="11">
        <f t="shared" si="13"/>
        <v>-761.60824000000048</v>
      </c>
      <c r="F296" s="11">
        <f t="shared" si="14"/>
        <v>580047.11123589834</v>
      </c>
    </row>
    <row r="297" spans="1:6" x14ac:dyDescent="0.45">
      <c r="A297">
        <v>1</v>
      </c>
      <c r="B297">
        <v>1.06</v>
      </c>
      <c r="C297">
        <v>3965</v>
      </c>
      <c r="D297" s="11">
        <f t="shared" si="12"/>
        <v>4228.4969800000008</v>
      </c>
      <c r="E297" s="11">
        <f t="shared" si="13"/>
        <v>-263.4969800000008</v>
      </c>
      <c r="F297" s="11">
        <f t="shared" si="14"/>
        <v>69430.658469120826</v>
      </c>
    </row>
    <row r="298" spans="1:6" x14ac:dyDescent="0.45">
      <c r="A298">
        <v>1</v>
      </c>
      <c r="B298">
        <v>0.9</v>
      </c>
      <c r="C298">
        <v>2972</v>
      </c>
      <c r="D298" s="11">
        <f t="shared" si="12"/>
        <v>3336.7797</v>
      </c>
      <c r="E298" s="11">
        <f t="shared" si="13"/>
        <v>-364.77970000000005</v>
      </c>
      <c r="F298" s="11">
        <f t="shared" si="14"/>
        <v>133064.22953209004</v>
      </c>
    </row>
    <row r="299" spans="1:6" x14ac:dyDescent="0.45">
      <c r="A299">
        <v>1</v>
      </c>
      <c r="B299">
        <v>1.08</v>
      </c>
      <c r="C299">
        <v>3989</v>
      </c>
      <c r="D299" s="11">
        <f t="shared" si="12"/>
        <v>4339.9616400000004</v>
      </c>
      <c r="E299" s="11">
        <f t="shared" si="13"/>
        <v>-350.96164000000044</v>
      </c>
      <c r="F299" s="11">
        <f t="shared" si="14"/>
        <v>123174.0727514899</v>
      </c>
    </row>
    <row r="300" spans="1:6" x14ac:dyDescent="0.45">
      <c r="A300">
        <v>1</v>
      </c>
      <c r="B300">
        <v>1.05</v>
      </c>
      <c r="C300">
        <v>3817</v>
      </c>
      <c r="D300" s="11">
        <f t="shared" si="12"/>
        <v>4172.7646500000001</v>
      </c>
      <c r="E300" s="11">
        <f t="shared" si="13"/>
        <v>-355.76465000000007</v>
      </c>
      <c r="F300" s="11">
        <f t="shared" si="14"/>
        <v>126568.48618962255</v>
      </c>
    </row>
    <row r="301" spans="1:6" x14ac:dyDescent="0.45">
      <c r="A301">
        <v>1</v>
      </c>
      <c r="B301">
        <v>0.91</v>
      </c>
      <c r="C301">
        <v>3020</v>
      </c>
      <c r="D301" s="11">
        <f t="shared" si="12"/>
        <v>3392.5120299999999</v>
      </c>
      <c r="E301" s="11">
        <f t="shared" si="13"/>
        <v>-372.51202999999987</v>
      </c>
      <c r="F301" s="11">
        <f t="shared" si="14"/>
        <v>138765.21249472079</v>
      </c>
    </row>
    <row r="302" spans="1:6" x14ac:dyDescent="0.45">
      <c r="A302">
        <v>1</v>
      </c>
      <c r="B302">
        <v>1.01</v>
      </c>
      <c r="C302">
        <v>3752</v>
      </c>
      <c r="D302" s="11">
        <f t="shared" si="12"/>
        <v>3949.8353299999999</v>
      </c>
      <c r="E302" s="11">
        <f t="shared" si="13"/>
        <v>-197.83532999999989</v>
      </c>
      <c r="F302" s="11">
        <f t="shared" si="14"/>
        <v>39138.817796208852</v>
      </c>
    </row>
    <row r="303" spans="1:6" x14ac:dyDescent="0.45">
      <c r="A303">
        <v>1</v>
      </c>
      <c r="B303">
        <v>0.76</v>
      </c>
      <c r="C303">
        <v>2138</v>
      </c>
      <c r="D303" s="11">
        <f t="shared" si="12"/>
        <v>2556.5270799999998</v>
      </c>
      <c r="E303" s="11">
        <f t="shared" si="13"/>
        <v>-418.52707999999984</v>
      </c>
      <c r="F303" s="11">
        <f t="shared" si="14"/>
        <v>175164.91669332626</v>
      </c>
    </row>
    <row r="304" spans="1:6" x14ac:dyDescent="0.45">
      <c r="A304">
        <v>1</v>
      </c>
      <c r="B304">
        <v>1.1200000000000001</v>
      </c>
      <c r="C304">
        <v>4233</v>
      </c>
      <c r="D304" s="11">
        <f t="shared" si="12"/>
        <v>4562.8909600000006</v>
      </c>
      <c r="E304" s="11">
        <f t="shared" si="13"/>
        <v>-329.89096000000063</v>
      </c>
      <c r="F304" s="11">
        <f t="shared" si="14"/>
        <v>108828.04548972202</v>
      </c>
    </row>
    <row r="305" spans="1:6" x14ac:dyDescent="0.45">
      <c r="A305">
        <v>1</v>
      </c>
      <c r="B305">
        <v>0.74</v>
      </c>
      <c r="C305">
        <v>2006</v>
      </c>
      <c r="D305" s="11">
        <f t="shared" si="12"/>
        <v>2445.0624200000002</v>
      </c>
      <c r="E305" s="11">
        <f t="shared" si="13"/>
        <v>-439.0624200000002</v>
      </c>
      <c r="F305" s="11">
        <f t="shared" si="14"/>
        <v>192775.80865625659</v>
      </c>
    </row>
    <row r="306" spans="1:6" x14ac:dyDescent="0.45">
      <c r="A306">
        <v>1</v>
      </c>
      <c r="B306">
        <v>0.79</v>
      </c>
      <c r="C306">
        <v>2453</v>
      </c>
      <c r="D306" s="11">
        <f t="shared" si="12"/>
        <v>2723.7240700000002</v>
      </c>
      <c r="E306" s="11">
        <f t="shared" si="13"/>
        <v>-270.72407000000021</v>
      </c>
      <c r="F306" s="11">
        <f t="shared" si="14"/>
        <v>73291.522077365007</v>
      </c>
    </row>
    <row r="307" spans="1:6" x14ac:dyDescent="0.45">
      <c r="A307">
        <v>1</v>
      </c>
      <c r="B307">
        <v>1.3</v>
      </c>
      <c r="C307">
        <v>5501</v>
      </c>
      <c r="D307" s="11">
        <f t="shared" si="12"/>
        <v>5566.0729000000001</v>
      </c>
      <c r="E307" s="11">
        <f t="shared" si="13"/>
        <v>-65.072900000000118</v>
      </c>
      <c r="F307" s="11">
        <f t="shared" si="14"/>
        <v>4234.4823144100155</v>
      </c>
    </row>
    <row r="308" spans="1:6" x14ac:dyDescent="0.45">
      <c r="A308">
        <v>1</v>
      </c>
      <c r="B308">
        <v>1.21</v>
      </c>
      <c r="C308">
        <v>5288</v>
      </c>
      <c r="D308" s="11">
        <f t="shared" si="12"/>
        <v>5064.4819299999999</v>
      </c>
      <c r="E308" s="11">
        <f t="shared" si="13"/>
        <v>223.51807000000008</v>
      </c>
      <c r="F308" s="11">
        <f t="shared" si="14"/>
        <v>49960.327616524934</v>
      </c>
    </row>
    <row r="309" spans="1:6" x14ac:dyDescent="0.45">
      <c r="A309">
        <v>1</v>
      </c>
      <c r="B309">
        <v>0.7</v>
      </c>
      <c r="C309">
        <v>2139</v>
      </c>
      <c r="D309" s="11">
        <f t="shared" si="12"/>
        <v>2222.1330999999996</v>
      </c>
      <c r="E309" s="11">
        <f t="shared" si="13"/>
        <v>-83.133099999999558</v>
      </c>
      <c r="F309" s="11">
        <f t="shared" si="14"/>
        <v>6911.1123156099266</v>
      </c>
    </row>
    <row r="310" spans="1:6" x14ac:dyDescent="0.45">
      <c r="A310">
        <v>1</v>
      </c>
      <c r="B310">
        <v>1.04</v>
      </c>
      <c r="C310">
        <v>4186</v>
      </c>
      <c r="D310" s="11">
        <f t="shared" si="12"/>
        <v>4117.0323200000003</v>
      </c>
      <c r="E310" s="11">
        <f t="shared" si="13"/>
        <v>68.967679999999746</v>
      </c>
      <c r="F310" s="11">
        <f t="shared" si="14"/>
        <v>4756.5408845823649</v>
      </c>
    </row>
    <row r="311" spans="1:6" x14ac:dyDescent="0.45">
      <c r="A311">
        <v>0</v>
      </c>
      <c r="B311">
        <v>1.02</v>
      </c>
      <c r="C311">
        <v>3129</v>
      </c>
      <c r="D311" s="11">
        <f t="shared" si="12"/>
        <v>4005.5676600000006</v>
      </c>
      <c r="E311" s="11">
        <f t="shared" si="13"/>
        <v>-876.56766000000061</v>
      </c>
      <c r="F311" s="11">
        <f t="shared" si="14"/>
        <v>768370.86255787662</v>
      </c>
    </row>
    <row r="312" spans="1:6" x14ac:dyDescent="0.45">
      <c r="A312">
        <v>0</v>
      </c>
      <c r="B312">
        <v>1.01</v>
      </c>
      <c r="C312">
        <v>3230</v>
      </c>
      <c r="D312" s="11">
        <f t="shared" si="12"/>
        <v>3949.8353299999999</v>
      </c>
      <c r="E312" s="11">
        <f t="shared" si="13"/>
        <v>-719.83532999999989</v>
      </c>
      <c r="F312" s="11">
        <f t="shared" si="14"/>
        <v>518162.90231620875</v>
      </c>
    </row>
    <row r="313" spans="1:6" x14ac:dyDescent="0.45">
      <c r="A313">
        <v>0</v>
      </c>
      <c r="B313">
        <v>0.9</v>
      </c>
      <c r="C313">
        <v>2499</v>
      </c>
      <c r="D313" s="11">
        <f t="shared" si="12"/>
        <v>3336.7797</v>
      </c>
      <c r="E313" s="11">
        <f t="shared" si="13"/>
        <v>-837.77970000000005</v>
      </c>
      <c r="F313" s="11">
        <f t="shared" si="14"/>
        <v>701874.82573209004</v>
      </c>
    </row>
    <row r="314" spans="1:6" x14ac:dyDescent="0.45">
      <c r="A314">
        <v>0</v>
      </c>
      <c r="B314">
        <v>0.72</v>
      </c>
      <c r="C314">
        <v>1575</v>
      </c>
      <c r="D314" s="11">
        <f t="shared" si="12"/>
        <v>2333.5977599999997</v>
      </c>
      <c r="E314" s="11">
        <f t="shared" si="13"/>
        <v>-758.59775999999965</v>
      </c>
      <c r="F314" s="11">
        <f t="shared" si="14"/>
        <v>575470.56147701712</v>
      </c>
    </row>
    <row r="315" spans="1:6" x14ac:dyDescent="0.45">
      <c r="A315">
        <v>0</v>
      </c>
      <c r="B315">
        <v>1.24</v>
      </c>
      <c r="C315">
        <v>3995</v>
      </c>
      <c r="D315" s="11">
        <f t="shared" si="12"/>
        <v>5231.6789200000003</v>
      </c>
      <c r="E315" s="11">
        <f t="shared" si="13"/>
        <v>-1236.6789200000003</v>
      </c>
      <c r="F315" s="11">
        <f t="shared" si="14"/>
        <v>1529374.751172367</v>
      </c>
    </row>
    <row r="316" spans="1:6" x14ac:dyDescent="0.45">
      <c r="A316">
        <v>0</v>
      </c>
      <c r="B316">
        <v>1.0900000000000001</v>
      </c>
      <c r="C316">
        <v>3552</v>
      </c>
      <c r="D316" s="11">
        <f t="shared" si="12"/>
        <v>4395.6939700000003</v>
      </c>
      <c r="E316" s="11">
        <f t="shared" si="13"/>
        <v>-843.69397000000026</v>
      </c>
      <c r="F316" s="11">
        <f t="shared" si="14"/>
        <v>711819.51501436136</v>
      </c>
    </row>
    <row r="317" spans="1:6" x14ac:dyDescent="0.45">
      <c r="A317">
        <v>0</v>
      </c>
      <c r="B317">
        <v>1.08</v>
      </c>
      <c r="C317">
        <v>3522</v>
      </c>
      <c r="D317" s="11">
        <f t="shared" si="12"/>
        <v>4339.9616400000004</v>
      </c>
      <c r="E317" s="11">
        <f t="shared" si="13"/>
        <v>-817.96164000000044</v>
      </c>
      <c r="F317" s="11">
        <f t="shared" si="14"/>
        <v>669061.24451149034</v>
      </c>
    </row>
    <row r="318" spans="1:6" x14ac:dyDescent="0.45">
      <c r="A318">
        <v>0</v>
      </c>
      <c r="B318">
        <v>1.2</v>
      </c>
      <c r="C318">
        <v>3978</v>
      </c>
      <c r="D318" s="11">
        <f t="shared" si="12"/>
        <v>5008.7496000000001</v>
      </c>
      <c r="E318" s="11">
        <f t="shared" si="13"/>
        <v>-1030.7496000000001</v>
      </c>
      <c r="F318" s="11">
        <f t="shared" si="14"/>
        <v>1062444.7379001603</v>
      </c>
    </row>
    <row r="319" spans="1:6" x14ac:dyDescent="0.45">
      <c r="A319">
        <v>0</v>
      </c>
      <c r="B319">
        <v>0.95</v>
      </c>
      <c r="C319">
        <v>2795</v>
      </c>
      <c r="D319" s="11">
        <f t="shared" si="12"/>
        <v>3615.4413500000001</v>
      </c>
      <c r="E319" s="11">
        <f t="shared" si="13"/>
        <v>-820.44135000000006</v>
      </c>
      <c r="F319" s="11">
        <f t="shared" si="14"/>
        <v>673124.00878982258</v>
      </c>
    </row>
    <row r="320" spans="1:6" x14ac:dyDescent="0.45">
      <c r="A320">
        <v>0</v>
      </c>
      <c r="B320">
        <v>1</v>
      </c>
      <c r="C320">
        <v>3708</v>
      </c>
      <c r="D320" s="11">
        <f t="shared" si="12"/>
        <v>3894.1030000000001</v>
      </c>
      <c r="E320" s="11">
        <f t="shared" si="13"/>
        <v>-186.10300000000007</v>
      </c>
      <c r="F320" s="11">
        <f t="shared" si="14"/>
        <v>34634.326609000025</v>
      </c>
    </row>
    <row r="321" spans="1:6" x14ac:dyDescent="0.45">
      <c r="A321">
        <v>0</v>
      </c>
      <c r="B321">
        <v>1.23</v>
      </c>
      <c r="C321">
        <v>4225</v>
      </c>
      <c r="D321" s="11">
        <f t="shared" si="12"/>
        <v>5175.9465899999996</v>
      </c>
      <c r="E321" s="11">
        <f t="shared" si="13"/>
        <v>-950.94658999999956</v>
      </c>
      <c r="F321" s="11">
        <f t="shared" si="14"/>
        <v>904299.41703262727</v>
      </c>
    </row>
    <row r="322" spans="1:6" x14ac:dyDescent="0.45">
      <c r="A322">
        <v>0</v>
      </c>
      <c r="B322">
        <v>1.24</v>
      </c>
      <c r="C322">
        <v>4783</v>
      </c>
      <c r="D322" s="11">
        <f t="shared" ref="D322:D381" si="15">$J$3+$J$4*B322</f>
        <v>5231.6789200000003</v>
      </c>
      <c r="E322" s="11">
        <f t="shared" ref="E322:E385" si="16">C322-D322</f>
        <v>-448.67892000000029</v>
      </c>
      <c r="F322" s="11">
        <f t="shared" ref="F322:F385" si="17">E322^2</f>
        <v>201312.77325236666</v>
      </c>
    </row>
    <row r="323" spans="1:6" x14ac:dyDescent="0.45">
      <c r="A323">
        <v>0</v>
      </c>
      <c r="B323">
        <v>0.85</v>
      </c>
      <c r="C323">
        <v>2098</v>
      </c>
      <c r="D323" s="11">
        <f t="shared" si="15"/>
        <v>3058.11805</v>
      </c>
      <c r="E323" s="11">
        <f t="shared" si="16"/>
        <v>-960.11805000000004</v>
      </c>
      <c r="F323" s="11">
        <f t="shared" si="17"/>
        <v>921826.66993580258</v>
      </c>
    </row>
    <row r="324" spans="1:6" x14ac:dyDescent="0.45">
      <c r="A324">
        <v>0</v>
      </c>
      <c r="B324">
        <v>1.2</v>
      </c>
      <c r="C324">
        <v>4232</v>
      </c>
      <c r="D324" s="11">
        <f t="shared" si="15"/>
        <v>5008.7496000000001</v>
      </c>
      <c r="E324" s="11">
        <f t="shared" si="16"/>
        <v>-776.7496000000001</v>
      </c>
      <c r="F324" s="11">
        <f t="shared" si="17"/>
        <v>603339.94110016013</v>
      </c>
    </row>
    <row r="325" spans="1:6" x14ac:dyDescent="0.45">
      <c r="A325">
        <v>0</v>
      </c>
      <c r="B325">
        <v>1.26</v>
      </c>
      <c r="C325">
        <v>4575</v>
      </c>
      <c r="D325" s="11">
        <f t="shared" si="15"/>
        <v>5343.1435799999999</v>
      </c>
      <c r="E325" s="11">
        <f t="shared" si="16"/>
        <v>-768.14357999999993</v>
      </c>
      <c r="F325" s="11">
        <f t="shared" si="17"/>
        <v>590044.55949521624</v>
      </c>
    </row>
    <row r="326" spans="1:6" x14ac:dyDescent="0.45">
      <c r="A326">
        <v>0</v>
      </c>
      <c r="B326">
        <v>1.23</v>
      </c>
      <c r="C326">
        <v>4225</v>
      </c>
      <c r="D326" s="11">
        <f t="shared" si="15"/>
        <v>5175.9465899999996</v>
      </c>
      <c r="E326" s="11">
        <f t="shared" si="16"/>
        <v>-950.94658999999956</v>
      </c>
      <c r="F326" s="11">
        <f t="shared" si="17"/>
        <v>904299.41703262727</v>
      </c>
    </row>
    <row r="327" spans="1:6" x14ac:dyDescent="0.45">
      <c r="A327">
        <v>0</v>
      </c>
      <c r="B327">
        <v>1.22</v>
      </c>
      <c r="C327">
        <v>4706</v>
      </c>
      <c r="D327" s="11">
        <f t="shared" si="15"/>
        <v>5120.2142599999997</v>
      </c>
      <c r="E327" s="11">
        <f t="shared" si="16"/>
        <v>-414.21425999999974</v>
      </c>
      <c r="F327" s="11">
        <f t="shared" si="17"/>
        <v>171573.45318734739</v>
      </c>
    </row>
    <row r="328" spans="1:6" x14ac:dyDescent="0.45">
      <c r="A328">
        <v>0</v>
      </c>
      <c r="B328">
        <v>1.23</v>
      </c>
      <c r="C328">
        <v>4225</v>
      </c>
      <c r="D328" s="11">
        <f t="shared" si="15"/>
        <v>5175.9465899999996</v>
      </c>
      <c r="E328" s="11">
        <f t="shared" si="16"/>
        <v>-950.94658999999956</v>
      </c>
      <c r="F328" s="11">
        <f t="shared" si="17"/>
        <v>904299.41703262727</v>
      </c>
    </row>
    <row r="329" spans="1:6" x14ac:dyDescent="0.45">
      <c r="A329">
        <v>0</v>
      </c>
      <c r="B329">
        <v>1.18</v>
      </c>
      <c r="C329">
        <v>4316</v>
      </c>
      <c r="D329" s="11">
        <f t="shared" si="15"/>
        <v>4897.2849399999996</v>
      </c>
      <c r="E329" s="11">
        <f t="shared" si="16"/>
        <v>-581.28493999999955</v>
      </c>
      <c r="F329" s="11">
        <f t="shared" si="17"/>
        <v>337892.1814708031</v>
      </c>
    </row>
    <row r="330" spans="1:6" x14ac:dyDescent="0.45">
      <c r="A330">
        <v>0</v>
      </c>
      <c r="B330">
        <v>1.05</v>
      </c>
      <c r="C330">
        <v>3877</v>
      </c>
      <c r="D330" s="11">
        <f t="shared" si="15"/>
        <v>4172.7646500000001</v>
      </c>
      <c r="E330" s="11">
        <f t="shared" si="16"/>
        <v>-295.76465000000007</v>
      </c>
      <c r="F330" s="11">
        <f t="shared" si="17"/>
        <v>87476.728189622547</v>
      </c>
    </row>
    <row r="331" spans="1:6" x14ac:dyDescent="0.45">
      <c r="A331">
        <v>0</v>
      </c>
      <c r="B331">
        <v>1.1200000000000001</v>
      </c>
      <c r="C331">
        <v>3398</v>
      </c>
      <c r="D331" s="11">
        <f t="shared" si="15"/>
        <v>4562.8909600000006</v>
      </c>
      <c r="E331" s="11">
        <f t="shared" si="16"/>
        <v>-1164.8909600000006</v>
      </c>
      <c r="F331" s="11">
        <f t="shared" si="17"/>
        <v>1356970.9486897232</v>
      </c>
    </row>
    <row r="332" spans="1:6" x14ac:dyDescent="0.45">
      <c r="A332">
        <v>0</v>
      </c>
      <c r="B332">
        <v>0.7</v>
      </c>
      <c r="C332">
        <v>1743</v>
      </c>
      <c r="D332" s="11">
        <f t="shared" si="15"/>
        <v>2222.1330999999996</v>
      </c>
      <c r="E332" s="11">
        <f t="shared" si="16"/>
        <v>-479.13309999999956</v>
      </c>
      <c r="F332" s="11">
        <f t="shared" si="17"/>
        <v>229568.52751560957</v>
      </c>
    </row>
    <row r="333" spans="1:6" x14ac:dyDescent="0.45">
      <c r="A333">
        <v>0</v>
      </c>
      <c r="B333">
        <v>1.3</v>
      </c>
      <c r="C333">
        <v>4720</v>
      </c>
      <c r="D333" s="11">
        <f t="shared" si="15"/>
        <v>5566.0729000000001</v>
      </c>
      <c r="E333" s="11">
        <f t="shared" si="16"/>
        <v>-846.07290000000012</v>
      </c>
      <c r="F333" s="11">
        <f t="shared" si="17"/>
        <v>715839.35211441026</v>
      </c>
    </row>
    <row r="334" spans="1:6" x14ac:dyDescent="0.45">
      <c r="A334">
        <v>0</v>
      </c>
      <c r="B334">
        <v>1.01</v>
      </c>
      <c r="C334">
        <v>3529</v>
      </c>
      <c r="D334" s="11">
        <f t="shared" si="15"/>
        <v>3949.8353299999999</v>
      </c>
      <c r="E334" s="11">
        <f t="shared" si="16"/>
        <v>-420.83532999999989</v>
      </c>
      <c r="F334" s="11">
        <f t="shared" si="17"/>
        <v>177102.37497620881</v>
      </c>
    </row>
    <row r="335" spans="1:6" x14ac:dyDescent="0.45">
      <c r="A335">
        <v>0</v>
      </c>
      <c r="B335">
        <v>1.23</v>
      </c>
      <c r="C335">
        <v>3967</v>
      </c>
      <c r="D335" s="11">
        <f t="shared" si="15"/>
        <v>5175.9465899999996</v>
      </c>
      <c r="E335" s="11">
        <f t="shared" si="16"/>
        <v>-1208.9465899999996</v>
      </c>
      <c r="F335" s="11">
        <f t="shared" si="17"/>
        <v>1461551.857472627</v>
      </c>
    </row>
    <row r="336" spans="1:6" x14ac:dyDescent="0.45">
      <c r="A336">
        <v>0</v>
      </c>
      <c r="B336">
        <v>1.1299999999999999</v>
      </c>
      <c r="C336">
        <v>3670</v>
      </c>
      <c r="D336" s="11">
        <f t="shared" si="15"/>
        <v>4618.6232899999995</v>
      </c>
      <c r="E336" s="11">
        <f t="shared" si="16"/>
        <v>-948.62328999999954</v>
      </c>
      <c r="F336" s="11">
        <f t="shared" si="17"/>
        <v>899886.14633042319</v>
      </c>
    </row>
    <row r="337" spans="1:6" x14ac:dyDescent="0.45">
      <c r="A337">
        <v>0</v>
      </c>
      <c r="B337">
        <v>1.1000000000000001</v>
      </c>
      <c r="C337">
        <v>3581</v>
      </c>
      <c r="D337" s="11">
        <f t="shared" si="15"/>
        <v>4451.426300000001</v>
      </c>
      <c r="E337" s="11">
        <f t="shared" si="16"/>
        <v>-870.42630000000099</v>
      </c>
      <c r="F337" s="11">
        <f t="shared" si="17"/>
        <v>757641.94373169169</v>
      </c>
    </row>
    <row r="338" spans="1:6" x14ac:dyDescent="0.45">
      <c r="A338">
        <v>0</v>
      </c>
      <c r="B338">
        <v>1.1000000000000001</v>
      </c>
      <c r="C338">
        <v>3581</v>
      </c>
      <c r="D338" s="11">
        <f t="shared" si="15"/>
        <v>4451.426300000001</v>
      </c>
      <c r="E338" s="11">
        <f t="shared" si="16"/>
        <v>-870.42630000000099</v>
      </c>
      <c r="F338" s="11">
        <f t="shared" si="17"/>
        <v>757641.94373169169</v>
      </c>
    </row>
    <row r="339" spans="1:6" x14ac:dyDescent="0.45">
      <c r="A339">
        <v>0</v>
      </c>
      <c r="B339">
        <v>1.18</v>
      </c>
      <c r="C339">
        <v>3818</v>
      </c>
      <c r="D339" s="11">
        <f t="shared" si="15"/>
        <v>4897.2849399999996</v>
      </c>
      <c r="E339" s="11">
        <f t="shared" si="16"/>
        <v>-1079.2849399999996</v>
      </c>
      <c r="F339" s="11">
        <f t="shared" si="17"/>
        <v>1164855.9817108025</v>
      </c>
    </row>
    <row r="340" spans="1:6" x14ac:dyDescent="0.45">
      <c r="A340">
        <v>0</v>
      </c>
      <c r="B340">
        <v>1.0900000000000001</v>
      </c>
      <c r="C340">
        <v>3552</v>
      </c>
      <c r="D340" s="11">
        <f t="shared" si="15"/>
        <v>4395.6939700000003</v>
      </c>
      <c r="E340" s="11">
        <f t="shared" si="16"/>
        <v>-843.69397000000026</v>
      </c>
      <c r="F340" s="11">
        <f t="shared" si="17"/>
        <v>711819.51501436136</v>
      </c>
    </row>
    <row r="341" spans="1:6" x14ac:dyDescent="0.45">
      <c r="A341">
        <v>0</v>
      </c>
      <c r="B341">
        <v>1.1599999999999999</v>
      </c>
      <c r="C341">
        <v>3735</v>
      </c>
      <c r="D341" s="11">
        <f t="shared" si="15"/>
        <v>4785.8202799999999</v>
      </c>
      <c r="E341" s="11">
        <f t="shared" si="16"/>
        <v>-1050.8202799999999</v>
      </c>
      <c r="F341" s="11">
        <f t="shared" si="17"/>
        <v>1104223.2608592783</v>
      </c>
    </row>
    <row r="342" spans="1:6" x14ac:dyDescent="0.45">
      <c r="A342">
        <v>0</v>
      </c>
      <c r="B342">
        <v>1.1599999999999999</v>
      </c>
      <c r="C342">
        <v>3827</v>
      </c>
      <c r="D342" s="11">
        <f t="shared" si="15"/>
        <v>4785.8202799999999</v>
      </c>
      <c r="E342" s="11">
        <f t="shared" si="16"/>
        <v>-958.82027999999991</v>
      </c>
      <c r="F342" s="11">
        <f t="shared" si="17"/>
        <v>919336.32933927828</v>
      </c>
    </row>
    <row r="343" spans="1:6" x14ac:dyDescent="0.45">
      <c r="A343">
        <v>0</v>
      </c>
      <c r="B343">
        <v>1.1499999999999999</v>
      </c>
      <c r="C343">
        <v>3853</v>
      </c>
      <c r="D343" s="11">
        <f t="shared" si="15"/>
        <v>4730.0879499999992</v>
      </c>
      <c r="E343" s="11">
        <f t="shared" si="16"/>
        <v>-877.08794999999918</v>
      </c>
      <c r="F343" s="11">
        <f t="shared" si="17"/>
        <v>769283.27203520108</v>
      </c>
    </row>
    <row r="344" spans="1:6" x14ac:dyDescent="0.45">
      <c r="A344">
        <v>0</v>
      </c>
      <c r="B344">
        <v>1.1000000000000001</v>
      </c>
      <c r="C344">
        <v>3646</v>
      </c>
      <c r="D344" s="11">
        <f t="shared" si="15"/>
        <v>4451.426300000001</v>
      </c>
      <c r="E344" s="11">
        <f t="shared" si="16"/>
        <v>-805.42630000000099</v>
      </c>
      <c r="F344" s="11">
        <f t="shared" si="17"/>
        <v>648711.52473169158</v>
      </c>
    </row>
    <row r="345" spans="1:6" x14ac:dyDescent="0.45">
      <c r="A345">
        <v>0</v>
      </c>
      <c r="B345">
        <v>0.87</v>
      </c>
      <c r="C345">
        <v>2265</v>
      </c>
      <c r="D345" s="11">
        <f t="shared" si="15"/>
        <v>3169.5827099999997</v>
      </c>
      <c r="E345" s="11">
        <f t="shared" si="16"/>
        <v>-904.58270999999968</v>
      </c>
      <c r="F345" s="11">
        <f t="shared" si="17"/>
        <v>818269.87923094351</v>
      </c>
    </row>
    <row r="346" spans="1:6" x14ac:dyDescent="0.45">
      <c r="A346">
        <v>0</v>
      </c>
      <c r="B346">
        <v>1.19</v>
      </c>
      <c r="C346">
        <v>3970</v>
      </c>
      <c r="D346" s="11">
        <f t="shared" si="15"/>
        <v>4953.0172699999994</v>
      </c>
      <c r="E346" s="11">
        <f t="shared" si="16"/>
        <v>-983.01726999999937</v>
      </c>
      <c r="F346" s="11">
        <f t="shared" si="17"/>
        <v>966322.95311825164</v>
      </c>
    </row>
    <row r="347" spans="1:6" x14ac:dyDescent="0.45">
      <c r="A347">
        <v>0</v>
      </c>
      <c r="B347">
        <v>1.1499999999999999</v>
      </c>
      <c r="C347">
        <v>3900</v>
      </c>
      <c r="D347" s="11">
        <f t="shared" si="15"/>
        <v>4730.0879499999992</v>
      </c>
      <c r="E347" s="11">
        <f t="shared" si="16"/>
        <v>-830.08794999999918</v>
      </c>
      <c r="F347" s="11">
        <f t="shared" si="17"/>
        <v>689046.00473520113</v>
      </c>
    </row>
    <row r="348" spans="1:6" x14ac:dyDescent="0.45">
      <c r="A348">
        <v>0</v>
      </c>
      <c r="B348">
        <v>1.08</v>
      </c>
      <c r="C348">
        <v>3613</v>
      </c>
      <c r="D348" s="11">
        <f t="shared" si="15"/>
        <v>4339.9616400000004</v>
      </c>
      <c r="E348" s="11">
        <f t="shared" si="16"/>
        <v>-726.96164000000044</v>
      </c>
      <c r="F348" s="11">
        <f t="shared" si="17"/>
        <v>528473.22603149025</v>
      </c>
    </row>
    <row r="349" spans="1:6" x14ac:dyDescent="0.45">
      <c r="A349">
        <v>0</v>
      </c>
      <c r="B349">
        <v>1.21</v>
      </c>
      <c r="C349">
        <v>4417</v>
      </c>
      <c r="D349" s="11">
        <f t="shared" si="15"/>
        <v>5064.4819299999999</v>
      </c>
      <c r="E349" s="11">
        <f t="shared" si="16"/>
        <v>-647.48192999999992</v>
      </c>
      <c r="F349" s="11">
        <f t="shared" si="17"/>
        <v>419232.84967652481</v>
      </c>
    </row>
    <row r="350" spans="1:6" x14ac:dyDescent="0.45">
      <c r="A350">
        <v>0</v>
      </c>
      <c r="B350">
        <v>1.21</v>
      </c>
      <c r="C350">
        <v>4417</v>
      </c>
      <c r="D350" s="11">
        <f t="shared" si="15"/>
        <v>5064.4819299999999</v>
      </c>
      <c r="E350" s="11">
        <f t="shared" si="16"/>
        <v>-647.48192999999992</v>
      </c>
      <c r="F350" s="11">
        <f t="shared" si="17"/>
        <v>419232.84967652481</v>
      </c>
    </row>
    <row r="351" spans="1:6" x14ac:dyDescent="0.45">
      <c r="A351">
        <v>0</v>
      </c>
      <c r="B351">
        <v>1.05</v>
      </c>
      <c r="C351">
        <v>3877</v>
      </c>
      <c r="D351" s="11">
        <f t="shared" si="15"/>
        <v>4172.7646500000001</v>
      </c>
      <c r="E351" s="11">
        <f t="shared" si="16"/>
        <v>-295.76465000000007</v>
      </c>
      <c r="F351" s="11">
        <f t="shared" si="17"/>
        <v>87476.728189622547</v>
      </c>
    </row>
    <row r="352" spans="1:6" x14ac:dyDescent="0.45">
      <c r="A352">
        <v>0</v>
      </c>
      <c r="B352">
        <v>1.1299999999999999</v>
      </c>
      <c r="C352">
        <v>4004</v>
      </c>
      <c r="D352" s="11">
        <f t="shared" si="15"/>
        <v>4618.6232899999995</v>
      </c>
      <c r="E352" s="11">
        <f t="shared" si="16"/>
        <v>-614.62328999999954</v>
      </c>
      <c r="F352" s="11">
        <f t="shared" si="17"/>
        <v>377761.78861042357</v>
      </c>
    </row>
    <row r="353" spans="1:6" x14ac:dyDescent="0.45">
      <c r="A353">
        <v>0</v>
      </c>
      <c r="B353">
        <v>1.1299999999999999</v>
      </c>
      <c r="C353">
        <v>4004</v>
      </c>
      <c r="D353" s="11">
        <f t="shared" si="15"/>
        <v>4618.6232899999995</v>
      </c>
      <c r="E353" s="11">
        <f t="shared" si="16"/>
        <v>-614.62328999999954</v>
      </c>
      <c r="F353" s="11">
        <f t="shared" si="17"/>
        <v>377761.78861042357</v>
      </c>
    </row>
    <row r="354" spans="1:6" x14ac:dyDescent="0.45">
      <c r="A354">
        <v>0</v>
      </c>
      <c r="B354">
        <v>1.03</v>
      </c>
      <c r="C354">
        <v>3677</v>
      </c>
      <c r="D354" s="11">
        <f t="shared" si="15"/>
        <v>4061.2999900000004</v>
      </c>
      <c r="E354" s="11">
        <f t="shared" si="16"/>
        <v>-384.29999000000043</v>
      </c>
      <c r="F354" s="11">
        <f t="shared" si="17"/>
        <v>147686.48231400043</v>
      </c>
    </row>
    <row r="355" spans="1:6" x14ac:dyDescent="0.45">
      <c r="A355">
        <v>0</v>
      </c>
      <c r="B355">
        <v>1.23</v>
      </c>
      <c r="C355">
        <v>4467</v>
      </c>
      <c r="D355" s="11">
        <f t="shared" si="15"/>
        <v>5175.9465899999996</v>
      </c>
      <c r="E355" s="11">
        <f t="shared" si="16"/>
        <v>-708.94658999999956</v>
      </c>
      <c r="F355" s="11">
        <f t="shared" si="17"/>
        <v>502605.26747262746</v>
      </c>
    </row>
    <row r="356" spans="1:6" x14ac:dyDescent="0.45">
      <c r="A356">
        <v>0</v>
      </c>
      <c r="B356">
        <v>1.01</v>
      </c>
      <c r="C356">
        <v>3570</v>
      </c>
      <c r="D356" s="11">
        <f t="shared" si="15"/>
        <v>3949.8353299999999</v>
      </c>
      <c r="E356" s="11">
        <f t="shared" si="16"/>
        <v>-379.83532999999989</v>
      </c>
      <c r="F356" s="11">
        <f t="shared" si="17"/>
        <v>144274.87791620882</v>
      </c>
    </row>
    <row r="357" spans="1:6" x14ac:dyDescent="0.45">
      <c r="A357">
        <v>0</v>
      </c>
      <c r="B357">
        <v>0.91</v>
      </c>
      <c r="C357">
        <v>2926</v>
      </c>
      <c r="D357" s="11">
        <f t="shared" si="15"/>
        <v>3392.5120299999999</v>
      </c>
      <c r="E357" s="11">
        <f t="shared" si="16"/>
        <v>-466.51202999999987</v>
      </c>
      <c r="F357" s="11">
        <f t="shared" si="17"/>
        <v>217633.47413472077</v>
      </c>
    </row>
    <row r="358" spans="1:6" x14ac:dyDescent="0.45">
      <c r="A358">
        <v>0</v>
      </c>
      <c r="B358">
        <v>1.18</v>
      </c>
      <c r="C358">
        <v>3563</v>
      </c>
      <c r="D358" s="11">
        <f t="shared" si="15"/>
        <v>4897.2849399999996</v>
      </c>
      <c r="E358" s="11">
        <f t="shared" si="16"/>
        <v>-1334.2849399999996</v>
      </c>
      <c r="F358" s="11">
        <f t="shared" si="17"/>
        <v>1780316.3011108025</v>
      </c>
    </row>
    <row r="359" spans="1:6" x14ac:dyDescent="0.45">
      <c r="A359">
        <v>0</v>
      </c>
      <c r="B359">
        <v>1.03</v>
      </c>
      <c r="C359">
        <v>3152</v>
      </c>
      <c r="D359" s="11">
        <f t="shared" si="15"/>
        <v>4061.2999900000004</v>
      </c>
      <c r="E359" s="11">
        <f t="shared" si="16"/>
        <v>-909.29999000000043</v>
      </c>
      <c r="F359" s="11">
        <f t="shared" si="17"/>
        <v>826826.47181400086</v>
      </c>
    </row>
    <row r="360" spans="1:6" x14ac:dyDescent="0.45">
      <c r="A360">
        <v>0</v>
      </c>
      <c r="B360">
        <v>1.03</v>
      </c>
      <c r="C360">
        <v>3385</v>
      </c>
      <c r="D360" s="11">
        <f t="shared" si="15"/>
        <v>4061.2999900000004</v>
      </c>
      <c r="E360" s="11">
        <f t="shared" si="16"/>
        <v>-676.29999000000043</v>
      </c>
      <c r="F360" s="11">
        <f t="shared" si="17"/>
        <v>457381.67647400068</v>
      </c>
    </row>
    <row r="361" spans="1:6" x14ac:dyDescent="0.45">
      <c r="A361">
        <v>0</v>
      </c>
      <c r="B361">
        <v>1.1000000000000001</v>
      </c>
      <c r="C361">
        <v>3542</v>
      </c>
      <c r="D361" s="11">
        <f t="shared" si="15"/>
        <v>4451.426300000001</v>
      </c>
      <c r="E361" s="11">
        <f t="shared" si="16"/>
        <v>-909.42630000000099</v>
      </c>
      <c r="F361" s="11">
        <f t="shared" si="17"/>
        <v>827056.19513169175</v>
      </c>
    </row>
    <row r="362" spans="1:6" x14ac:dyDescent="0.45">
      <c r="A362">
        <v>0</v>
      </c>
      <c r="B362">
        <v>1.21</v>
      </c>
      <c r="C362">
        <v>3882</v>
      </c>
      <c r="D362" s="11">
        <f t="shared" si="15"/>
        <v>5064.4819299999999</v>
      </c>
      <c r="E362" s="11">
        <f t="shared" si="16"/>
        <v>-1182.4819299999999</v>
      </c>
      <c r="F362" s="11">
        <f t="shared" si="17"/>
        <v>1398263.5147765246</v>
      </c>
    </row>
    <row r="363" spans="1:6" x14ac:dyDescent="0.45">
      <c r="A363">
        <v>0</v>
      </c>
      <c r="B363">
        <v>1.19</v>
      </c>
      <c r="C363">
        <v>3860</v>
      </c>
      <c r="D363" s="11">
        <f t="shared" si="15"/>
        <v>4953.0172699999994</v>
      </c>
      <c r="E363" s="11">
        <f t="shared" si="16"/>
        <v>-1093.0172699999994</v>
      </c>
      <c r="F363" s="11">
        <f t="shared" si="17"/>
        <v>1194686.7525182515</v>
      </c>
    </row>
    <row r="364" spans="1:6" x14ac:dyDescent="0.45">
      <c r="A364">
        <v>0</v>
      </c>
      <c r="B364">
        <v>1</v>
      </c>
      <c r="C364">
        <v>3234</v>
      </c>
      <c r="D364" s="11">
        <f t="shared" si="15"/>
        <v>3894.1030000000001</v>
      </c>
      <c r="E364" s="11">
        <f t="shared" si="16"/>
        <v>-660.10300000000007</v>
      </c>
      <c r="F364" s="11">
        <f t="shared" si="17"/>
        <v>435735.97060900007</v>
      </c>
    </row>
    <row r="365" spans="1:6" x14ac:dyDescent="0.45">
      <c r="A365">
        <v>0</v>
      </c>
      <c r="B365">
        <v>1.02</v>
      </c>
      <c r="C365">
        <v>2851</v>
      </c>
      <c r="D365" s="11">
        <f t="shared" si="15"/>
        <v>4005.5676600000006</v>
      </c>
      <c r="E365" s="11">
        <f t="shared" si="16"/>
        <v>-1154.5676600000006</v>
      </c>
      <c r="F365" s="11">
        <f t="shared" si="17"/>
        <v>1333026.481517877</v>
      </c>
    </row>
    <row r="366" spans="1:6" x14ac:dyDescent="0.45">
      <c r="A366">
        <v>0</v>
      </c>
      <c r="B366">
        <v>1.1399999999999999</v>
      </c>
      <c r="C366">
        <v>3230</v>
      </c>
      <c r="D366" s="11">
        <f t="shared" si="15"/>
        <v>4674.3556199999994</v>
      </c>
      <c r="E366" s="11">
        <f t="shared" si="16"/>
        <v>-1444.3556199999994</v>
      </c>
      <c r="F366" s="11">
        <f t="shared" si="17"/>
        <v>2086163.1570255826</v>
      </c>
    </row>
    <row r="367" spans="1:6" x14ac:dyDescent="0.45">
      <c r="A367">
        <v>0</v>
      </c>
      <c r="B367">
        <v>1.01</v>
      </c>
      <c r="C367">
        <v>2860</v>
      </c>
      <c r="D367" s="11">
        <f t="shared" si="15"/>
        <v>3949.8353299999999</v>
      </c>
      <c r="E367" s="11">
        <f t="shared" si="16"/>
        <v>-1089.8353299999999</v>
      </c>
      <c r="F367" s="11">
        <f t="shared" si="17"/>
        <v>1187741.0465162087</v>
      </c>
    </row>
    <row r="368" spans="1:6" x14ac:dyDescent="0.45">
      <c r="A368">
        <v>0</v>
      </c>
      <c r="B368">
        <v>1.01</v>
      </c>
      <c r="C368">
        <v>2860</v>
      </c>
      <c r="D368" s="11">
        <f t="shared" si="15"/>
        <v>3949.8353299999999</v>
      </c>
      <c r="E368" s="11">
        <f t="shared" si="16"/>
        <v>-1089.8353299999999</v>
      </c>
      <c r="F368" s="11">
        <f t="shared" si="17"/>
        <v>1187741.0465162087</v>
      </c>
    </row>
    <row r="369" spans="1:6" x14ac:dyDescent="0.45">
      <c r="A369">
        <v>0</v>
      </c>
      <c r="B369">
        <v>1.02</v>
      </c>
      <c r="C369">
        <v>2925</v>
      </c>
      <c r="D369" s="11">
        <f t="shared" si="15"/>
        <v>4005.5676600000006</v>
      </c>
      <c r="E369" s="11">
        <f t="shared" si="16"/>
        <v>-1080.5676600000006</v>
      </c>
      <c r="F369" s="11">
        <f t="shared" si="17"/>
        <v>1167626.4678378769</v>
      </c>
    </row>
    <row r="370" spans="1:6" x14ac:dyDescent="0.45">
      <c r="A370">
        <v>0</v>
      </c>
      <c r="B370">
        <v>1.01</v>
      </c>
      <c r="C370">
        <v>3018</v>
      </c>
      <c r="D370" s="11">
        <f t="shared" si="15"/>
        <v>3949.8353299999999</v>
      </c>
      <c r="E370" s="11">
        <f t="shared" si="16"/>
        <v>-931.83532999999989</v>
      </c>
      <c r="F370" s="11">
        <f t="shared" si="17"/>
        <v>868317.08223620872</v>
      </c>
    </row>
    <row r="371" spans="1:6" x14ac:dyDescent="0.45">
      <c r="A371">
        <v>0</v>
      </c>
      <c r="B371">
        <v>1.03</v>
      </c>
      <c r="C371">
        <v>3111</v>
      </c>
      <c r="D371" s="11">
        <f t="shared" si="15"/>
        <v>4061.2999900000004</v>
      </c>
      <c r="E371" s="11">
        <f t="shared" si="16"/>
        <v>-950.29999000000043</v>
      </c>
      <c r="F371" s="11">
        <f t="shared" si="17"/>
        <v>903070.07099400088</v>
      </c>
    </row>
    <row r="372" spans="1:6" x14ac:dyDescent="0.45">
      <c r="A372">
        <v>0</v>
      </c>
      <c r="B372">
        <v>1.04</v>
      </c>
      <c r="C372">
        <v>3179</v>
      </c>
      <c r="D372" s="11">
        <f t="shared" si="15"/>
        <v>4117.0323200000003</v>
      </c>
      <c r="E372" s="11">
        <f t="shared" si="16"/>
        <v>-938.03232000000025</v>
      </c>
      <c r="F372" s="11">
        <f t="shared" si="17"/>
        <v>879904.6333645829</v>
      </c>
    </row>
    <row r="373" spans="1:6" x14ac:dyDescent="0.45">
      <c r="A373">
        <v>0</v>
      </c>
      <c r="B373">
        <v>1</v>
      </c>
      <c r="C373">
        <v>3111</v>
      </c>
      <c r="D373" s="11">
        <f t="shared" si="15"/>
        <v>3894.1030000000001</v>
      </c>
      <c r="E373" s="11">
        <f t="shared" si="16"/>
        <v>-783.10300000000007</v>
      </c>
      <c r="F373" s="11">
        <f t="shared" si="17"/>
        <v>613250.30860900006</v>
      </c>
    </row>
    <row r="374" spans="1:6" x14ac:dyDescent="0.45">
      <c r="A374">
        <v>0</v>
      </c>
      <c r="B374">
        <v>1.1399999999999999</v>
      </c>
      <c r="C374">
        <v>3676</v>
      </c>
      <c r="D374" s="11">
        <f t="shared" si="15"/>
        <v>4674.3556199999994</v>
      </c>
      <c r="E374" s="11">
        <f t="shared" si="16"/>
        <v>-998.35561999999936</v>
      </c>
      <c r="F374" s="11">
        <f t="shared" si="17"/>
        <v>996713.94398558314</v>
      </c>
    </row>
    <row r="375" spans="1:6" x14ac:dyDescent="0.45">
      <c r="A375">
        <v>0</v>
      </c>
      <c r="B375">
        <v>1.1599999999999999</v>
      </c>
      <c r="C375">
        <v>3048</v>
      </c>
      <c r="D375" s="11">
        <f t="shared" si="15"/>
        <v>4785.8202799999999</v>
      </c>
      <c r="E375" s="11">
        <f t="shared" si="16"/>
        <v>-1737.8202799999999</v>
      </c>
      <c r="F375" s="11">
        <f t="shared" si="17"/>
        <v>3020019.3255792782</v>
      </c>
    </row>
    <row r="376" spans="1:6" x14ac:dyDescent="0.45">
      <c r="A376">
        <v>0</v>
      </c>
      <c r="B376">
        <v>1</v>
      </c>
      <c r="C376">
        <v>2745</v>
      </c>
      <c r="D376" s="11">
        <f t="shared" si="15"/>
        <v>3894.1030000000001</v>
      </c>
      <c r="E376" s="11">
        <f t="shared" si="16"/>
        <v>-1149.1030000000001</v>
      </c>
      <c r="F376" s="11">
        <f t="shared" si="17"/>
        <v>1320437.7046090001</v>
      </c>
    </row>
    <row r="377" spans="1:6" x14ac:dyDescent="0.45">
      <c r="A377">
        <v>0</v>
      </c>
      <c r="B377">
        <v>1</v>
      </c>
      <c r="C377">
        <v>2781</v>
      </c>
      <c r="D377" s="11">
        <f t="shared" si="15"/>
        <v>3894.1030000000001</v>
      </c>
      <c r="E377" s="11">
        <f t="shared" si="16"/>
        <v>-1113.1030000000001</v>
      </c>
      <c r="F377" s="11">
        <f t="shared" si="17"/>
        <v>1238998.2886090002</v>
      </c>
    </row>
    <row r="378" spans="1:6" x14ac:dyDescent="0.45">
      <c r="A378">
        <v>0</v>
      </c>
      <c r="B378">
        <v>1.1200000000000001</v>
      </c>
      <c r="C378">
        <v>3156</v>
      </c>
      <c r="D378" s="11">
        <f t="shared" si="15"/>
        <v>4562.8909600000006</v>
      </c>
      <c r="E378" s="11">
        <f t="shared" si="16"/>
        <v>-1406.8909600000006</v>
      </c>
      <c r="F378" s="11">
        <f t="shared" si="17"/>
        <v>1979342.1733297233</v>
      </c>
    </row>
    <row r="379" spans="1:6" x14ac:dyDescent="0.45">
      <c r="A379">
        <v>0</v>
      </c>
      <c r="B379">
        <v>1</v>
      </c>
      <c r="C379">
        <v>2925</v>
      </c>
      <c r="D379" s="11">
        <f t="shared" si="15"/>
        <v>3894.1030000000001</v>
      </c>
      <c r="E379" s="11">
        <f t="shared" si="16"/>
        <v>-969.10300000000007</v>
      </c>
      <c r="F379" s="11">
        <f t="shared" si="17"/>
        <v>939160.62460900017</v>
      </c>
    </row>
    <row r="380" spans="1:6" x14ac:dyDescent="0.45">
      <c r="A380">
        <v>0</v>
      </c>
      <c r="B380">
        <v>1.1599999999999999</v>
      </c>
      <c r="C380">
        <v>3048</v>
      </c>
      <c r="D380" s="11">
        <f t="shared" si="15"/>
        <v>4785.8202799999999</v>
      </c>
      <c r="E380" s="11">
        <f t="shared" si="16"/>
        <v>-1737.8202799999999</v>
      </c>
      <c r="F380" s="11">
        <f t="shared" si="17"/>
        <v>3020019.3255792782</v>
      </c>
    </row>
    <row r="381" spans="1:6" x14ac:dyDescent="0.45">
      <c r="A381">
        <v>0</v>
      </c>
      <c r="B381">
        <v>1.0900000000000001</v>
      </c>
      <c r="C381">
        <v>2923</v>
      </c>
      <c r="D381" s="11">
        <f t="shared" si="15"/>
        <v>4395.6939700000003</v>
      </c>
      <c r="E381" s="11">
        <f t="shared" si="16"/>
        <v>-1472.6939700000003</v>
      </c>
      <c r="F381" s="11">
        <f t="shared" si="17"/>
        <v>2168827.5292743617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EB8D-1885-4F5A-ABB7-99B1AB8EC684}">
  <dimension ref="A1:J27"/>
  <sheetViews>
    <sheetView showGridLines="0" zoomScale="140" zoomScaleNormal="140" workbookViewId="0"/>
  </sheetViews>
  <sheetFormatPr defaultRowHeight="14.25" x14ac:dyDescent="0.45"/>
  <cols>
    <col min="1" max="1" width="76.86328125" bestFit="1" customWidth="1"/>
    <col min="2" max="2" width="14.73046875" bestFit="1" customWidth="1"/>
    <col min="3" max="3" width="7.53125" bestFit="1" customWidth="1"/>
    <col min="4" max="4" width="11.33203125" bestFit="1" customWidth="1"/>
    <col min="5" max="5" width="12.46484375" bestFit="1" customWidth="1"/>
    <col min="6" max="6" width="7.53125" bestFit="1" customWidth="1"/>
    <col min="7" max="7" width="11.33203125" bestFit="1" customWidth="1"/>
    <col min="8" max="8" width="17" bestFit="1" customWidth="1"/>
    <col min="9" max="9" width="11.9296875" bestFit="1" customWidth="1"/>
    <col min="10" max="10" width="15.796875" bestFit="1" customWidth="1"/>
  </cols>
  <sheetData>
    <row r="1" spans="1:10" x14ac:dyDescent="0.45">
      <c r="A1" s="1" t="s">
        <v>83</v>
      </c>
    </row>
    <row r="2" spans="1:10" x14ac:dyDescent="0.45">
      <c r="A2" s="6" t="s">
        <v>82</v>
      </c>
      <c r="B2" s="6" t="s">
        <v>58</v>
      </c>
    </row>
    <row r="3" spans="1:10" x14ac:dyDescent="0.45">
      <c r="A3" s="6" t="s">
        <v>56</v>
      </c>
      <c r="B3" t="s">
        <v>72</v>
      </c>
      <c r="C3" t="s">
        <v>74</v>
      </c>
      <c r="D3" t="s">
        <v>57</v>
      </c>
    </row>
    <row r="4" spans="1:10" x14ac:dyDescent="0.45">
      <c r="A4" s="7" t="s">
        <v>81</v>
      </c>
      <c r="B4" s="10">
        <v>15638.801242236024</v>
      </c>
      <c r="C4" s="10">
        <v>24935.880733944956</v>
      </c>
      <c r="D4" s="10">
        <v>21868.60655737705</v>
      </c>
    </row>
    <row r="5" spans="1:10" x14ac:dyDescent="0.45">
      <c r="A5" s="7" t="s">
        <v>80</v>
      </c>
      <c r="B5" s="10">
        <v>22244.844847112119</v>
      </c>
      <c r="C5" s="10">
        <v>34500.360800000002</v>
      </c>
      <c r="D5" s="10">
        <v>29426.933427097985</v>
      </c>
    </row>
    <row r="6" spans="1:10" x14ac:dyDescent="0.45">
      <c r="A6" s="7" t="s">
        <v>79</v>
      </c>
      <c r="B6" s="10">
        <v>28102.68363136176</v>
      </c>
      <c r="C6" s="10">
        <v>41636.877440347074</v>
      </c>
      <c r="D6" s="10">
        <v>35670.013341419042</v>
      </c>
    </row>
    <row r="7" spans="1:10" x14ac:dyDescent="0.45">
      <c r="A7" s="7" t="s">
        <v>78</v>
      </c>
      <c r="B7" s="10">
        <v>37256.380165289258</v>
      </c>
      <c r="C7" s="10">
        <v>61048.214076246331</v>
      </c>
      <c r="D7" s="10">
        <v>51172.358490566039</v>
      </c>
    </row>
    <row r="8" spans="1:10" x14ac:dyDescent="0.45">
      <c r="A8" s="7" t="s">
        <v>73</v>
      </c>
      <c r="B8" s="10">
        <v>53666.436440677964</v>
      </c>
      <c r="C8" s="10">
        <v>95286.77248677249</v>
      </c>
      <c r="D8" s="10">
        <v>79289.379478827366</v>
      </c>
    </row>
    <row r="9" spans="1:10" x14ac:dyDescent="0.45">
      <c r="A9" s="7" t="s">
        <v>57</v>
      </c>
      <c r="B9" s="10">
        <v>29421.141308711361</v>
      </c>
      <c r="C9" s="10">
        <v>47013.758640067434</v>
      </c>
      <c r="D9" s="10">
        <v>39770.252892561984</v>
      </c>
    </row>
    <row r="13" spans="1:10" x14ac:dyDescent="0.45">
      <c r="A13" s="1" t="s">
        <v>89</v>
      </c>
    </row>
    <row r="14" spans="1:10" x14ac:dyDescent="0.45">
      <c r="B14" s="6" t="s">
        <v>58</v>
      </c>
    </row>
    <row r="15" spans="1:10" x14ac:dyDescent="0.45">
      <c r="B15" t="s">
        <v>72</v>
      </c>
      <c r="E15" t="s">
        <v>74</v>
      </c>
      <c r="H15" t="s">
        <v>84</v>
      </c>
      <c r="I15" t="s">
        <v>85</v>
      </c>
      <c r="J15" t="s">
        <v>87</v>
      </c>
    </row>
    <row r="16" spans="1:10" x14ac:dyDescent="0.45">
      <c r="A16" s="6" t="s">
        <v>56</v>
      </c>
      <c r="B16" t="s">
        <v>82</v>
      </c>
      <c r="C16" t="s">
        <v>86</v>
      </c>
      <c r="D16" t="s">
        <v>88</v>
      </c>
      <c r="E16" t="s">
        <v>82</v>
      </c>
      <c r="F16" t="s">
        <v>86</v>
      </c>
      <c r="G16" t="s">
        <v>88</v>
      </c>
    </row>
    <row r="17" spans="1:10" x14ac:dyDescent="0.45">
      <c r="A17" s="7">
        <v>8</v>
      </c>
      <c r="B17" s="10">
        <v>14142.775</v>
      </c>
      <c r="C17" s="8">
        <v>40</v>
      </c>
      <c r="D17" s="10">
        <v>58000</v>
      </c>
      <c r="E17" s="10">
        <v>21374.894736842107</v>
      </c>
      <c r="F17" s="8">
        <v>95</v>
      </c>
      <c r="G17" s="10">
        <v>60000</v>
      </c>
      <c r="H17" s="10">
        <v>19232.044444444444</v>
      </c>
      <c r="I17" s="8">
        <v>135</v>
      </c>
      <c r="J17" s="10">
        <v>60000</v>
      </c>
    </row>
    <row r="18" spans="1:10" x14ac:dyDescent="0.45">
      <c r="A18" s="7">
        <v>9</v>
      </c>
      <c r="B18" s="10">
        <v>15148.833333333334</v>
      </c>
      <c r="C18" s="8">
        <v>18</v>
      </c>
      <c r="D18" s="10">
        <v>27000</v>
      </c>
      <c r="E18" s="10">
        <v>33196.928571428572</v>
      </c>
      <c r="F18" s="8">
        <v>28</v>
      </c>
      <c r="G18" s="10">
        <v>306731</v>
      </c>
      <c r="H18" s="10">
        <v>26134.630434782608</v>
      </c>
      <c r="I18" s="8">
        <v>46</v>
      </c>
      <c r="J18" s="10">
        <v>306731</v>
      </c>
    </row>
    <row r="19" spans="1:10" x14ac:dyDescent="0.45">
      <c r="A19" s="7">
        <v>10</v>
      </c>
      <c r="B19" s="10">
        <v>13970.3</v>
      </c>
      <c r="C19" s="8">
        <v>40</v>
      </c>
      <c r="D19" s="10">
        <v>40000</v>
      </c>
      <c r="E19" s="10">
        <v>25766.74358974359</v>
      </c>
      <c r="F19" s="8">
        <v>78</v>
      </c>
      <c r="G19" s="10">
        <v>94000</v>
      </c>
      <c r="H19" s="10">
        <v>21767.949152542373</v>
      </c>
      <c r="I19" s="8">
        <v>118</v>
      </c>
      <c r="J19" s="10">
        <v>94000</v>
      </c>
    </row>
    <row r="20" spans="1:10" x14ac:dyDescent="0.45">
      <c r="A20" s="7">
        <v>11</v>
      </c>
      <c r="B20" s="10">
        <v>17506.226415094341</v>
      </c>
      <c r="C20" s="8">
        <v>53</v>
      </c>
      <c r="D20" s="10">
        <v>47000</v>
      </c>
      <c r="E20" s="10">
        <v>25154.160919540231</v>
      </c>
      <c r="F20" s="8">
        <v>87</v>
      </c>
      <c r="G20" s="10">
        <v>70000</v>
      </c>
      <c r="H20" s="10">
        <v>22258.871428571427</v>
      </c>
      <c r="I20" s="8">
        <v>140</v>
      </c>
      <c r="J20" s="10">
        <v>70000</v>
      </c>
    </row>
    <row r="21" spans="1:10" x14ac:dyDescent="0.45">
      <c r="A21" s="7">
        <v>11.5</v>
      </c>
      <c r="B21" s="10">
        <v>19281.5</v>
      </c>
      <c r="C21" s="8">
        <v>10</v>
      </c>
      <c r="D21" s="10">
        <v>47375</v>
      </c>
      <c r="E21" s="10">
        <v>25530.410256410258</v>
      </c>
      <c r="F21" s="8">
        <v>39</v>
      </c>
      <c r="G21" s="10">
        <v>60000</v>
      </c>
      <c r="H21" s="10">
        <v>24255.122448979593</v>
      </c>
      <c r="I21" s="8">
        <v>49</v>
      </c>
      <c r="J21" s="10">
        <v>60000</v>
      </c>
    </row>
    <row r="22" spans="1:10" x14ac:dyDescent="0.45">
      <c r="A22" s="7">
        <v>12</v>
      </c>
      <c r="B22" s="10">
        <v>22244.844847112119</v>
      </c>
      <c r="C22" s="8">
        <v>883</v>
      </c>
      <c r="D22" s="10">
        <v>104000</v>
      </c>
      <c r="E22" s="10">
        <v>34500.360800000002</v>
      </c>
      <c r="F22" s="8">
        <v>1250</v>
      </c>
      <c r="G22" s="10">
        <v>492657</v>
      </c>
      <c r="H22" s="10">
        <v>29426.933427097985</v>
      </c>
      <c r="I22" s="8">
        <v>2133</v>
      </c>
      <c r="J22" s="10">
        <v>492657</v>
      </c>
    </row>
    <row r="23" spans="1:10" x14ac:dyDescent="0.45">
      <c r="A23" s="7">
        <v>13</v>
      </c>
      <c r="B23" s="10">
        <v>27480.928802588998</v>
      </c>
      <c r="C23" s="8">
        <v>618</v>
      </c>
      <c r="D23" s="10">
        <v>402204</v>
      </c>
      <c r="E23" s="10">
        <v>41503.38508557457</v>
      </c>
      <c r="F23" s="8">
        <v>818</v>
      </c>
      <c r="G23" s="10">
        <v>315731</v>
      </c>
      <c r="H23" s="10">
        <v>35468.651114206128</v>
      </c>
      <c r="I23" s="8">
        <v>1436</v>
      </c>
      <c r="J23" s="10">
        <v>402204</v>
      </c>
    </row>
    <row r="24" spans="1:10" x14ac:dyDescent="0.45">
      <c r="A24" s="7">
        <v>14</v>
      </c>
      <c r="B24" s="10">
        <v>31627.862385321099</v>
      </c>
      <c r="C24" s="8">
        <v>109</v>
      </c>
      <c r="D24" s="10">
        <v>390510</v>
      </c>
      <c r="E24" s="10">
        <v>42686.846153846156</v>
      </c>
      <c r="F24" s="8">
        <v>104</v>
      </c>
      <c r="G24" s="10">
        <v>149925</v>
      </c>
      <c r="H24" s="10">
        <v>37027.553990610329</v>
      </c>
      <c r="I24" s="8">
        <v>213</v>
      </c>
      <c r="J24" s="10">
        <v>390510</v>
      </c>
    </row>
    <row r="25" spans="1:10" x14ac:dyDescent="0.45">
      <c r="A25" s="7">
        <v>16</v>
      </c>
      <c r="B25" s="10">
        <v>37256.380165289258</v>
      </c>
      <c r="C25" s="8">
        <v>484</v>
      </c>
      <c r="D25" s="10">
        <v>140000</v>
      </c>
      <c r="E25" s="10">
        <v>61048.214076246331</v>
      </c>
      <c r="F25" s="8">
        <v>682</v>
      </c>
      <c r="G25" s="10">
        <v>366656</v>
      </c>
      <c r="H25" s="10">
        <v>51172.358490566039</v>
      </c>
      <c r="I25" s="8">
        <v>1166</v>
      </c>
      <c r="J25" s="10">
        <v>366656</v>
      </c>
    </row>
    <row r="26" spans="1:10" x14ac:dyDescent="0.45">
      <c r="A26" s="7">
        <v>18</v>
      </c>
      <c r="B26" s="10">
        <v>53666.436440677964</v>
      </c>
      <c r="C26" s="8">
        <v>236</v>
      </c>
      <c r="D26" s="10">
        <v>422204</v>
      </c>
      <c r="E26" s="10">
        <v>95286.77248677249</v>
      </c>
      <c r="F26" s="8">
        <v>378</v>
      </c>
      <c r="G26" s="10">
        <v>366656</v>
      </c>
      <c r="H26" s="10">
        <v>79289.379478827366</v>
      </c>
      <c r="I26" s="8">
        <v>614</v>
      </c>
      <c r="J26" s="10">
        <v>422204</v>
      </c>
    </row>
    <row r="27" spans="1:10" x14ac:dyDescent="0.45">
      <c r="A27" s="7" t="s">
        <v>57</v>
      </c>
      <c r="B27" s="10">
        <v>29421.141308711361</v>
      </c>
      <c r="C27" s="8">
        <v>2491</v>
      </c>
      <c r="D27" s="10">
        <v>422204</v>
      </c>
      <c r="E27" s="10">
        <v>47013.758640067434</v>
      </c>
      <c r="F27" s="8">
        <v>3559</v>
      </c>
      <c r="G27" s="10">
        <v>492657</v>
      </c>
      <c r="H27" s="10">
        <v>39770.252892561984</v>
      </c>
      <c r="I27" s="8">
        <v>6050</v>
      </c>
      <c r="J27" s="10">
        <v>492657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DF32-9D48-4795-B758-AD6B6C9F3649}">
  <dimension ref="A1:F6051"/>
  <sheetViews>
    <sheetView workbookViewId="0"/>
  </sheetViews>
  <sheetFormatPr defaultRowHeight="14.25" x14ac:dyDescent="0.45"/>
  <cols>
    <col min="1" max="1" width="5.46484375" bestFit="1" customWidth="1"/>
    <col min="2" max="2" width="4.73046875" bestFit="1" customWidth="1"/>
    <col min="3" max="3" width="7.46484375" bestFit="1" customWidth="1"/>
    <col min="4" max="5" width="6.46484375" bestFit="1" customWidth="1"/>
    <col min="6" max="6" width="18.86328125" bestFit="1" customWidth="1"/>
  </cols>
  <sheetData>
    <row r="1" spans="1:6" x14ac:dyDescent="0.4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 x14ac:dyDescent="0.45">
      <c r="A2">
        <v>50</v>
      </c>
      <c r="B2">
        <v>18</v>
      </c>
      <c r="C2">
        <v>1500</v>
      </c>
      <c r="D2" t="s">
        <v>71</v>
      </c>
      <c r="E2" t="s">
        <v>72</v>
      </c>
      <c r="F2" t="s">
        <v>73</v>
      </c>
    </row>
    <row r="3" spans="1:6" x14ac:dyDescent="0.45">
      <c r="A3">
        <v>40</v>
      </c>
      <c r="B3">
        <v>18</v>
      </c>
      <c r="C3">
        <v>3600</v>
      </c>
      <c r="D3" t="s">
        <v>71</v>
      </c>
      <c r="E3" t="s">
        <v>72</v>
      </c>
      <c r="F3" t="s">
        <v>73</v>
      </c>
    </row>
    <row r="4" spans="1:6" x14ac:dyDescent="0.45">
      <c r="A4">
        <v>39</v>
      </c>
      <c r="B4">
        <v>18</v>
      </c>
      <c r="C4">
        <v>6500</v>
      </c>
      <c r="D4" t="s">
        <v>71</v>
      </c>
      <c r="E4" t="s">
        <v>74</v>
      </c>
      <c r="F4" t="s">
        <v>73</v>
      </c>
    </row>
    <row r="5" spans="1:6" x14ac:dyDescent="0.45">
      <c r="A5">
        <v>65</v>
      </c>
      <c r="B5">
        <v>18</v>
      </c>
      <c r="C5">
        <v>7000</v>
      </c>
      <c r="D5" t="s">
        <v>71</v>
      </c>
      <c r="E5" t="s">
        <v>74</v>
      </c>
      <c r="F5" t="s">
        <v>73</v>
      </c>
    </row>
    <row r="6" spans="1:6" x14ac:dyDescent="0.45">
      <c r="A6">
        <v>45</v>
      </c>
      <c r="B6">
        <v>18</v>
      </c>
      <c r="C6">
        <v>8000</v>
      </c>
      <c r="D6" t="s">
        <v>71</v>
      </c>
      <c r="E6" t="s">
        <v>72</v>
      </c>
      <c r="F6" t="s">
        <v>73</v>
      </c>
    </row>
    <row r="7" spans="1:6" x14ac:dyDescent="0.45">
      <c r="A7">
        <v>40</v>
      </c>
      <c r="B7">
        <v>18</v>
      </c>
      <c r="C7">
        <v>9000</v>
      </c>
      <c r="D7" t="s">
        <v>71</v>
      </c>
      <c r="E7" t="s">
        <v>72</v>
      </c>
      <c r="F7" t="s">
        <v>73</v>
      </c>
    </row>
    <row r="8" spans="1:6" x14ac:dyDescent="0.45">
      <c r="A8">
        <v>40</v>
      </c>
      <c r="B8">
        <v>18</v>
      </c>
      <c r="C8">
        <v>9500</v>
      </c>
      <c r="D8" t="s">
        <v>71</v>
      </c>
      <c r="E8" t="s">
        <v>74</v>
      </c>
      <c r="F8" t="s">
        <v>73</v>
      </c>
    </row>
    <row r="9" spans="1:6" x14ac:dyDescent="0.45">
      <c r="A9">
        <v>45</v>
      </c>
      <c r="B9">
        <v>18</v>
      </c>
      <c r="C9">
        <v>10000</v>
      </c>
      <c r="D9" t="s">
        <v>71</v>
      </c>
      <c r="E9" t="s">
        <v>74</v>
      </c>
      <c r="F9" t="s">
        <v>73</v>
      </c>
    </row>
    <row r="10" spans="1:6" x14ac:dyDescent="0.45">
      <c r="A10">
        <v>38</v>
      </c>
      <c r="B10">
        <v>18</v>
      </c>
      <c r="C10">
        <v>10000</v>
      </c>
      <c r="D10" t="s">
        <v>71</v>
      </c>
      <c r="E10" t="s">
        <v>74</v>
      </c>
      <c r="F10" t="s">
        <v>73</v>
      </c>
    </row>
    <row r="11" spans="1:6" x14ac:dyDescent="0.45">
      <c r="A11">
        <v>70</v>
      </c>
      <c r="B11">
        <v>18</v>
      </c>
      <c r="C11">
        <v>10000</v>
      </c>
      <c r="D11" t="s">
        <v>75</v>
      </c>
      <c r="E11" t="s">
        <v>74</v>
      </c>
      <c r="F11" t="s">
        <v>73</v>
      </c>
    </row>
    <row r="12" spans="1:6" x14ac:dyDescent="0.45">
      <c r="A12">
        <v>0</v>
      </c>
      <c r="B12">
        <v>18</v>
      </c>
      <c r="C12">
        <v>10000</v>
      </c>
      <c r="D12" t="s">
        <v>71</v>
      </c>
      <c r="E12" t="s">
        <v>74</v>
      </c>
      <c r="F12" t="s">
        <v>73</v>
      </c>
    </row>
    <row r="13" spans="1:6" x14ac:dyDescent="0.45">
      <c r="A13">
        <v>60</v>
      </c>
      <c r="B13">
        <v>18</v>
      </c>
      <c r="C13">
        <v>12000</v>
      </c>
      <c r="D13" t="s">
        <v>71</v>
      </c>
      <c r="E13" t="s">
        <v>74</v>
      </c>
      <c r="F13" t="s">
        <v>73</v>
      </c>
    </row>
    <row r="14" spans="1:6" x14ac:dyDescent="0.45">
      <c r="A14">
        <v>40</v>
      </c>
      <c r="B14">
        <v>18</v>
      </c>
      <c r="C14">
        <v>13000</v>
      </c>
      <c r="D14" t="s">
        <v>71</v>
      </c>
      <c r="E14" t="s">
        <v>74</v>
      </c>
      <c r="F14" t="s">
        <v>73</v>
      </c>
    </row>
    <row r="15" spans="1:6" x14ac:dyDescent="0.45">
      <c r="A15">
        <v>40</v>
      </c>
      <c r="B15">
        <v>18</v>
      </c>
      <c r="C15">
        <v>13318</v>
      </c>
      <c r="D15" t="s">
        <v>71</v>
      </c>
      <c r="E15" t="s">
        <v>72</v>
      </c>
      <c r="F15" t="s">
        <v>73</v>
      </c>
    </row>
    <row r="16" spans="1:6" x14ac:dyDescent="0.45">
      <c r="A16">
        <v>46</v>
      </c>
      <c r="B16">
        <v>18</v>
      </c>
      <c r="C16">
        <v>13840</v>
      </c>
      <c r="D16" t="s">
        <v>71</v>
      </c>
      <c r="E16" t="s">
        <v>72</v>
      </c>
      <c r="F16" t="s">
        <v>73</v>
      </c>
    </row>
    <row r="17" spans="1:6" x14ac:dyDescent="0.45">
      <c r="A17">
        <v>40</v>
      </c>
      <c r="B17">
        <v>18</v>
      </c>
      <c r="C17">
        <v>15000</v>
      </c>
      <c r="D17" t="s">
        <v>71</v>
      </c>
      <c r="E17" t="s">
        <v>72</v>
      </c>
      <c r="F17" t="s">
        <v>73</v>
      </c>
    </row>
    <row r="18" spans="1:6" x14ac:dyDescent="0.45">
      <c r="A18">
        <v>0</v>
      </c>
      <c r="B18">
        <v>18</v>
      </c>
      <c r="C18">
        <v>15000</v>
      </c>
      <c r="D18" t="s">
        <v>75</v>
      </c>
      <c r="E18" t="s">
        <v>72</v>
      </c>
      <c r="F18" t="s">
        <v>73</v>
      </c>
    </row>
    <row r="19" spans="1:6" x14ac:dyDescent="0.45">
      <c r="A19">
        <v>50</v>
      </c>
      <c r="B19">
        <v>18</v>
      </c>
      <c r="C19">
        <v>15500</v>
      </c>
      <c r="D19" t="s">
        <v>71</v>
      </c>
      <c r="E19" t="s">
        <v>74</v>
      </c>
      <c r="F19" t="s">
        <v>73</v>
      </c>
    </row>
    <row r="20" spans="1:6" x14ac:dyDescent="0.45">
      <c r="A20">
        <v>40</v>
      </c>
      <c r="B20">
        <v>18</v>
      </c>
      <c r="C20">
        <v>15916</v>
      </c>
      <c r="D20" t="s">
        <v>71</v>
      </c>
      <c r="E20" t="s">
        <v>74</v>
      </c>
      <c r="F20" t="s">
        <v>73</v>
      </c>
    </row>
    <row r="21" spans="1:6" x14ac:dyDescent="0.45">
      <c r="A21">
        <v>45</v>
      </c>
      <c r="B21">
        <v>18</v>
      </c>
      <c r="C21">
        <v>16000</v>
      </c>
      <c r="D21" t="s">
        <v>71</v>
      </c>
      <c r="E21" t="s">
        <v>74</v>
      </c>
      <c r="F21" t="s">
        <v>73</v>
      </c>
    </row>
    <row r="22" spans="1:6" x14ac:dyDescent="0.45">
      <c r="A22">
        <v>40</v>
      </c>
      <c r="B22">
        <v>18</v>
      </c>
      <c r="C22">
        <v>16000</v>
      </c>
      <c r="D22" t="s">
        <v>75</v>
      </c>
      <c r="E22" t="s">
        <v>74</v>
      </c>
      <c r="F22" t="s">
        <v>73</v>
      </c>
    </row>
    <row r="23" spans="1:6" x14ac:dyDescent="0.45">
      <c r="A23">
        <v>38</v>
      </c>
      <c r="B23">
        <v>18</v>
      </c>
      <c r="C23">
        <v>17600</v>
      </c>
      <c r="D23" t="s">
        <v>71</v>
      </c>
      <c r="E23" t="s">
        <v>72</v>
      </c>
      <c r="F23" t="s">
        <v>73</v>
      </c>
    </row>
    <row r="24" spans="1:6" x14ac:dyDescent="0.45">
      <c r="A24">
        <v>40</v>
      </c>
      <c r="B24">
        <v>18</v>
      </c>
      <c r="C24">
        <v>17603</v>
      </c>
      <c r="D24" t="s">
        <v>71</v>
      </c>
      <c r="E24" t="s">
        <v>74</v>
      </c>
      <c r="F24" t="s">
        <v>73</v>
      </c>
    </row>
    <row r="25" spans="1:6" x14ac:dyDescent="0.45">
      <c r="A25">
        <v>40</v>
      </c>
      <c r="B25">
        <v>18</v>
      </c>
      <c r="C25">
        <v>18000</v>
      </c>
      <c r="D25" t="s">
        <v>71</v>
      </c>
      <c r="E25" t="s">
        <v>72</v>
      </c>
      <c r="F25" t="s">
        <v>73</v>
      </c>
    </row>
    <row r="26" spans="1:6" x14ac:dyDescent="0.45">
      <c r="A26">
        <v>70</v>
      </c>
      <c r="B26">
        <v>18</v>
      </c>
      <c r="C26">
        <v>18000</v>
      </c>
      <c r="D26" t="s">
        <v>71</v>
      </c>
      <c r="E26" t="s">
        <v>72</v>
      </c>
      <c r="F26" t="s">
        <v>73</v>
      </c>
    </row>
    <row r="27" spans="1:6" x14ac:dyDescent="0.45">
      <c r="A27">
        <v>40</v>
      </c>
      <c r="B27">
        <v>18</v>
      </c>
      <c r="C27">
        <v>18000</v>
      </c>
      <c r="D27" t="s">
        <v>71</v>
      </c>
      <c r="E27" t="s">
        <v>72</v>
      </c>
      <c r="F27" t="s">
        <v>73</v>
      </c>
    </row>
    <row r="28" spans="1:6" x14ac:dyDescent="0.45">
      <c r="A28">
        <v>50</v>
      </c>
      <c r="B28">
        <v>18</v>
      </c>
      <c r="C28">
        <v>18000</v>
      </c>
      <c r="D28" t="s">
        <v>71</v>
      </c>
      <c r="E28" t="s">
        <v>72</v>
      </c>
      <c r="F28" t="s">
        <v>73</v>
      </c>
    </row>
    <row r="29" spans="1:6" x14ac:dyDescent="0.45">
      <c r="A29">
        <v>40</v>
      </c>
      <c r="B29">
        <v>18</v>
      </c>
      <c r="C29">
        <v>18770</v>
      </c>
      <c r="D29" t="s">
        <v>71</v>
      </c>
      <c r="E29" t="s">
        <v>74</v>
      </c>
      <c r="F29" t="s">
        <v>73</v>
      </c>
    </row>
    <row r="30" spans="1:6" x14ac:dyDescent="0.45">
      <c r="A30">
        <v>48</v>
      </c>
      <c r="B30">
        <v>18</v>
      </c>
      <c r="C30">
        <v>19963</v>
      </c>
      <c r="D30" t="s">
        <v>71</v>
      </c>
      <c r="E30" t="s">
        <v>74</v>
      </c>
      <c r="F30" t="s">
        <v>73</v>
      </c>
    </row>
    <row r="31" spans="1:6" x14ac:dyDescent="0.45">
      <c r="A31">
        <v>40</v>
      </c>
      <c r="B31">
        <v>18</v>
      </c>
      <c r="C31">
        <v>20000</v>
      </c>
      <c r="D31" t="s">
        <v>76</v>
      </c>
      <c r="E31" t="s">
        <v>74</v>
      </c>
      <c r="F31" t="s">
        <v>73</v>
      </c>
    </row>
    <row r="32" spans="1:6" x14ac:dyDescent="0.45">
      <c r="A32">
        <v>40</v>
      </c>
      <c r="B32">
        <v>18</v>
      </c>
      <c r="C32">
        <v>20000</v>
      </c>
      <c r="D32" t="s">
        <v>71</v>
      </c>
      <c r="E32" t="s">
        <v>72</v>
      </c>
      <c r="F32" t="s">
        <v>73</v>
      </c>
    </row>
    <row r="33" spans="1:6" x14ac:dyDescent="0.45">
      <c r="A33">
        <v>40</v>
      </c>
      <c r="B33">
        <v>18</v>
      </c>
      <c r="C33">
        <v>20000</v>
      </c>
      <c r="D33" t="s">
        <v>71</v>
      </c>
      <c r="E33" t="s">
        <v>72</v>
      </c>
      <c r="F33" t="s">
        <v>73</v>
      </c>
    </row>
    <row r="34" spans="1:6" x14ac:dyDescent="0.45">
      <c r="A34">
        <v>80</v>
      </c>
      <c r="B34">
        <v>18</v>
      </c>
      <c r="C34">
        <v>20000</v>
      </c>
      <c r="D34" t="s">
        <v>71</v>
      </c>
      <c r="E34" t="s">
        <v>72</v>
      </c>
      <c r="F34" t="s">
        <v>73</v>
      </c>
    </row>
    <row r="35" spans="1:6" x14ac:dyDescent="0.45">
      <c r="A35">
        <v>50</v>
      </c>
      <c r="B35">
        <v>18</v>
      </c>
      <c r="C35">
        <v>20700</v>
      </c>
      <c r="D35" t="s">
        <v>71</v>
      </c>
      <c r="E35" t="s">
        <v>72</v>
      </c>
      <c r="F35" t="s">
        <v>73</v>
      </c>
    </row>
    <row r="36" spans="1:6" x14ac:dyDescent="0.45">
      <c r="A36">
        <v>60</v>
      </c>
      <c r="B36">
        <v>18</v>
      </c>
      <c r="C36">
        <v>21000</v>
      </c>
      <c r="D36" t="s">
        <v>71</v>
      </c>
      <c r="E36" t="s">
        <v>74</v>
      </c>
      <c r="F36" t="s">
        <v>73</v>
      </c>
    </row>
    <row r="37" spans="1:6" x14ac:dyDescent="0.45">
      <c r="A37">
        <v>55</v>
      </c>
      <c r="B37">
        <v>18</v>
      </c>
      <c r="C37">
        <v>21253</v>
      </c>
      <c r="D37" t="s">
        <v>71</v>
      </c>
      <c r="E37" t="s">
        <v>74</v>
      </c>
      <c r="F37" t="s">
        <v>73</v>
      </c>
    </row>
    <row r="38" spans="1:6" x14ac:dyDescent="0.45">
      <c r="A38">
        <v>48</v>
      </c>
      <c r="B38">
        <v>18</v>
      </c>
      <c r="C38">
        <v>22000</v>
      </c>
      <c r="D38" t="s">
        <v>71</v>
      </c>
      <c r="E38" t="s">
        <v>74</v>
      </c>
      <c r="F38" t="s">
        <v>73</v>
      </c>
    </row>
    <row r="39" spans="1:6" x14ac:dyDescent="0.45">
      <c r="A39">
        <v>50</v>
      </c>
      <c r="B39">
        <v>18</v>
      </c>
      <c r="C39">
        <v>22000</v>
      </c>
      <c r="D39" t="s">
        <v>71</v>
      </c>
      <c r="E39" t="s">
        <v>72</v>
      </c>
      <c r="F39" t="s">
        <v>73</v>
      </c>
    </row>
    <row r="40" spans="1:6" x14ac:dyDescent="0.45">
      <c r="A40">
        <v>40</v>
      </c>
      <c r="B40">
        <v>18</v>
      </c>
      <c r="C40">
        <v>22000</v>
      </c>
      <c r="D40" t="s">
        <v>71</v>
      </c>
      <c r="E40" t="s">
        <v>72</v>
      </c>
      <c r="F40" t="s">
        <v>73</v>
      </c>
    </row>
    <row r="41" spans="1:6" x14ac:dyDescent="0.45">
      <c r="A41">
        <v>40</v>
      </c>
      <c r="B41">
        <v>18</v>
      </c>
      <c r="C41">
        <v>22713</v>
      </c>
      <c r="D41" t="s">
        <v>71</v>
      </c>
      <c r="E41" t="s">
        <v>72</v>
      </c>
      <c r="F41" t="s">
        <v>73</v>
      </c>
    </row>
    <row r="42" spans="1:6" x14ac:dyDescent="0.45">
      <c r="A42">
        <v>40</v>
      </c>
      <c r="B42">
        <v>18</v>
      </c>
      <c r="C42">
        <v>23000</v>
      </c>
      <c r="D42" t="s">
        <v>71</v>
      </c>
      <c r="E42" t="s">
        <v>72</v>
      </c>
      <c r="F42" t="s">
        <v>73</v>
      </c>
    </row>
    <row r="43" spans="1:6" x14ac:dyDescent="0.45">
      <c r="A43">
        <v>40</v>
      </c>
      <c r="B43">
        <v>18</v>
      </c>
      <c r="C43">
        <v>23000</v>
      </c>
      <c r="D43" t="s">
        <v>71</v>
      </c>
      <c r="E43" t="s">
        <v>72</v>
      </c>
      <c r="F43" t="s">
        <v>73</v>
      </c>
    </row>
    <row r="44" spans="1:6" x14ac:dyDescent="0.45">
      <c r="A44">
        <v>45</v>
      </c>
      <c r="B44">
        <v>18</v>
      </c>
      <c r="C44">
        <v>23000</v>
      </c>
      <c r="D44" t="s">
        <v>71</v>
      </c>
      <c r="E44" t="s">
        <v>72</v>
      </c>
      <c r="F44" t="s">
        <v>73</v>
      </c>
    </row>
    <row r="45" spans="1:6" x14ac:dyDescent="0.45">
      <c r="A45">
        <v>40</v>
      </c>
      <c r="B45">
        <v>18</v>
      </c>
      <c r="C45">
        <v>23000</v>
      </c>
      <c r="D45" t="s">
        <v>71</v>
      </c>
      <c r="E45" t="s">
        <v>72</v>
      </c>
      <c r="F45" t="s">
        <v>73</v>
      </c>
    </row>
    <row r="46" spans="1:6" x14ac:dyDescent="0.45">
      <c r="A46">
        <v>55</v>
      </c>
      <c r="B46">
        <v>18</v>
      </c>
      <c r="C46">
        <v>24000</v>
      </c>
      <c r="D46" t="s">
        <v>76</v>
      </c>
      <c r="E46" t="s">
        <v>74</v>
      </c>
      <c r="F46" t="s">
        <v>73</v>
      </c>
    </row>
    <row r="47" spans="1:6" x14ac:dyDescent="0.45">
      <c r="A47">
        <v>55</v>
      </c>
      <c r="B47">
        <v>18</v>
      </c>
      <c r="C47">
        <v>25000</v>
      </c>
      <c r="D47" t="s">
        <v>71</v>
      </c>
      <c r="E47" t="s">
        <v>72</v>
      </c>
      <c r="F47" t="s">
        <v>73</v>
      </c>
    </row>
    <row r="48" spans="1:6" x14ac:dyDescent="0.45">
      <c r="A48">
        <v>50</v>
      </c>
      <c r="B48">
        <v>18</v>
      </c>
      <c r="C48">
        <v>25000</v>
      </c>
      <c r="D48" t="s">
        <v>71</v>
      </c>
      <c r="E48" t="s">
        <v>72</v>
      </c>
      <c r="F48" t="s">
        <v>73</v>
      </c>
    </row>
    <row r="49" spans="1:6" x14ac:dyDescent="0.45">
      <c r="A49">
        <v>40</v>
      </c>
      <c r="B49">
        <v>18</v>
      </c>
      <c r="C49">
        <v>25000</v>
      </c>
      <c r="D49" t="s">
        <v>71</v>
      </c>
      <c r="E49" t="s">
        <v>72</v>
      </c>
      <c r="F49" t="s">
        <v>73</v>
      </c>
    </row>
    <row r="50" spans="1:6" x14ac:dyDescent="0.45">
      <c r="A50">
        <v>40</v>
      </c>
      <c r="B50">
        <v>18</v>
      </c>
      <c r="C50">
        <v>25000</v>
      </c>
      <c r="D50" t="s">
        <v>71</v>
      </c>
      <c r="E50" t="s">
        <v>72</v>
      </c>
      <c r="F50" t="s">
        <v>73</v>
      </c>
    </row>
    <row r="51" spans="1:6" x14ac:dyDescent="0.45">
      <c r="A51">
        <v>50</v>
      </c>
      <c r="B51">
        <v>18</v>
      </c>
      <c r="C51">
        <v>25000</v>
      </c>
      <c r="D51" t="s">
        <v>76</v>
      </c>
      <c r="E51" t="s">
        <v>72</v>
      </c>
      <c r="F51" t="s">
        <v>73</v>
      </c>
    </row>
    <row r="52" spans="1:6" x14ac:dyDescent="0.45">
      <c r="A52">
        <v>40</v>
      </c>
      <c r="B52">
        <v>18</v>
      </c>
      <c r="C52">
        <v>25000</v>
      </c>
      <c r="D52" t="s">
        <v>76</v>
      </c>
      <c r="E52" t="s">
        <v>72</v>
      </c>
      <c r="F52" t="s">
        <v>73</v>
      </c>
    </row>
    <row r="53" spans="1:6" x14ac:dyDescent="0.45">
      <c r="A53">
        <v>40</v>
      </c>
      <c r="B53">
        <v>18</v>
      </c>
      <c r="C53">
        <v>26000</v>
      </c>
      <c r="D53" t="s">
        <v>75</v>
      </c>
      <c r="E53" t="s">
        <v>72</v>
      </c>
      <c r="F53" t="s">
        <v>73</v>
      </c>
    </row>
    <row r="54" spans="1:6" x14ac:dyDescent="0.45">
      <c r="A54">
        <v>40</v>
      </c>
      <c r="B54">
        <v>18</v>
      </c>
      <c r="C54">
        <v>26000</v>
      </c>
      <c r="D54" t="s">
        <v>71</v>
      </c>
      <c r="E54" t="s">
        <v>72</v>
      </c>
      <c r="F54" t="s">
        <v>73</v>
      </c>
    </row>
    <row r="55" spans="1:6" x14ac:dyDescent="0.45">
      <c r="A55">
        <v>50</v>
      </c>
      <c r="B55">
        <v>18</v>
      </c>
      <c r="C55">
        <v>26439</v>
      </c>
      <c r="D55" t="s">
        <v>71</v>
      </c>
      <c r="E55" t="s">
        <v>72</v>
      </c>
      <c r="F55" t="s">
        <v>73</v>
      </c>
    </row>
    <row r="56" spans="1:6" x14ac:dyDescent="0.45">
      <c r="A56">
        <v>40</v>
      </c>
      <c r="B56">
        <v>18</v>
      </c>
      <c r="C56">
        <v>27000</v>
      </c>
      <c r="D56" t="s">
        <v>71</v>
      </c>
      <c r="E56" t="s">
        <v>72</v>
      </c>
      <c r="F56" t="s">
        <v>73</v>
      </c>
    </row>
    <row r="57" spans="1:6" x14ac:dyDescent="0.45">
      <c r="A57">
        <v>40</v>
      </c>
      <c r="B57">
        <v>18</v>
      </c>
      <c r="C57">
        <v>27000</v>
      </c>
      <c r="D57" t="s">
        <v>71</v>
      </c>
      <c r="E57" t="s">
        <v>72</v>
      </c>
      <c r="F57" t="s">
        <v>73</v>
      </c>
    </row>
    <row r="58" spans="1:6" x14ac:dyDescent="0.45">
      <c r="A58">
        <v>40</v>
      </c>
      <c r="B58">
        <v>18</v>
      </c>
      <c r="C58">
        <v>27000</v>
      </c>
      <c r="D58" t="s">
        <v>71</v>
      </c>
      <c r="E58" t="s">
        <v>72</v>
      </c>
      <c r="F58" t="s">
        <v>73</v>
      </c>
    </row>
    <row r="59" spans="1:6" x14ac:dyDescent="0.45">
      <c r="A59">
        <v>40</v>
      </c>
      <c r="B59">
        <v>18</v>
      </c>
      <c r="C59">
        <v>27000</v>
      </c>
      <c r="D59" t="s">
        <v>71</v>
      </c>
      <c r="E59" t="s">
        <v>72</v>
      </c>
      <c r="F59" t="s">
        <v>73</v>
      </c>
    </row>
    <row r="60" spans="1:6" x14ac:dyDescent="0.45">
      <c r="A60">
        <v>40</v>
      </c>
      <c r="B60">
        <v>18</v>
      </c>
      <c r="C60">
        <v>27085</v>
      </c>
      <c r="D60" t="s">
        <v>71</v>
      </c>
      <c r="E60" t="s">
        <v>74</v>
      </c>
      <c r="F60" t="s">
        <v>73</v>
      </c>
    </row>
    <row r="61" spans="1:6" x14ac:dyDescent="0.45">
      <c r="A61">
        <v>40</v>
      </c>
      <c r="B61">
        <v>18</v>
      </c>
      <c r="C61">
        <v>27500</v>
      </c>
      <c r="D61" t="s">
        <v>71</v>
      </c>
      <c r="E61" t="s">
        <v>72</v>
      </c>
      <c r="F61" t="s">
        <v>73</v>
      </c>
    </row>
    <row r="62" spans="1:6" x14ac:dyDescent="0.45">
      <c r="A62">
        <v>43</v>
      </c>
      <c r="B62">
        <v>18</v>
      </c>
      <c r="C62">
        <v>28000</v>
      </c>
      <c r="D62" t="s">
        <v>71</v>
      </c>
      <c r="E62" t="s">
        <v>74</v>
      </c>
      <c r="F62" t="s">
        <v>73</v>
      </c>
    </row>
    <row r="63" spans="1:6" x14ac:dyDescent="0.45">
      <c r="A63">
        <v>40</v>
      </c>
      <c r="B63">
        <v>18</v>
      </c>
      <c r="C63">
        <v>28000</v>
      </c>
      <c r="D63" t="s">
        <v>71</v>
      </c>
      <c r="E63" t="s">
        <v>72</v>
      </c>
      <c r="F63" t="s">
        <v>73</v>
      </c>
    </row>
    <row r="64" spans="1:6" x14ac:dyDescent="0.45">
      <c r="A64">
        <v>0</v>
      </c>
      <c r="B64">
        <v>18</v>
      </c>
      <c r="C64">
        <v>28000</v>
      </c>
      <c r="D64" t="s">
        <v>71</v>
      </c>
      <c r="E64" t="s">
        <v>72</v>
      </c>
      <c r="F64" t="s">
        <v>73</v>
      </c>
    </row>
    <row r="65" spans="1:6" x14ac:dyDescent="0.45">
      <c r="A65">
        <v>40</v>
      </c>
      <c r="B65">
        <v>18</v>
      </c>
      <c r="C65">
        <v>28000</v>
      </c>
      <c r="D65" t="s">
        <v>71</v>
      </c>
      <c r="E65" t="s">
        <v>72</v>
      </c>
      <c r="F65" t="s">
        <v>73</v>
      </c>
    </row>
    <row r="66" spans="1:6" x14ac:dyDescent="0.45">
      <c r="A66">
        <v>50</v>
      </c>
      <c r="B66">
        <v>18</v>
      </c>
      <c r="C66">
        <v>28800</v>
      </c>
      <c r="D66" t="s">
        <v>71</v>
      </c>
      <c r="E66" t="s">
        <v>72</v>
      </c>
      <c r="F66" t="s">
        <v>73</v>
      </c>
    </row>
    <row r="67" spans="1:6" x14ac:dyDescent="0.45">
      <c r="A67">
        <v>40</v>
      </c>
      <c r="B67">
        <v>18</v>
      </c>
      <c r="C67">
        <v>28800</v>
      </c>
      <c r="D67" t="s">
        <v>71</v>
      </c>
      <c r="E67" t="s">
        <v>72</v>
      </c>
      <c r="F67" t="s">
        <v>73</v>
      </c>
    </row>
    <row r="68" spans="1:6" x14ac:dyDescent="0.45">
      <c r="A68">
        <v>40</v>
      </c>
      <c r="B68">
        <v>18</v>
      </c>
      <c r="C68">
        <v>28800</v>
      </c>
      <c r="D68" t="s">
        <v>71</v>
      </c>
      <c r="E68" t="s">
        <v>72</v>
      </c>
      <c r="F68" t="s">
        <v>73</v>
      </c>
    </row>
    <row r="69" spans="1:6" x14ac:dyDescent="0.45">
      <c r="A69">
        <v>40</v>
      </c>
      <c r="B69">
        <v>18</v>
      </c>
      <c r="C69">
        <v>29120</v>
      </c>
      <c r="D69" t="s">
        <v>71</v>
      </c>
      <c r="E69" t="s">
        <v>72</v>
      </c>
      <c r="F69" t="s">
        <v>73</v>
      </c>
    </row>
    <row r="70" spans="1:6" x14ac:dyDescent="0.45">
      <c r="A70">
        <v>45</v>
      </c>
      <c r="B70">
        <v>18</v>
      </c>
      <c r="C70">
        <v>29190</v>
      </c>
      <c r="D70" t="s">
        <v>71</v>
      </c>
      <c r="E70" t="s">
        <v>74</v>
      </c>
      <c r="F70" t="s">
        <v>73</v>
      </c>
    </row>
    <row r="71" spans="1:6" x14ac:dyDescent="0.45">
      <c r="A71">
        <v>40</v>
      </c>
      <c r="B71">
        <v>18</v>
      </c>
      <c r="C71">
        <v>29530</v>
      </c>
      <c r="D71" t="s">
        <v>71</v>
      </c>
      <c r="E71" t="s">
        <v>72</v>
      </c>
      <c r="F71" t="s">
        <v>73</v>
      </c>
    </row>
    <row r="72" spans="1:6" x14ac:dyDescent="0.45">
      <c r="A72">
        <v>40</v>
      </c>
      <c r="B72">
        <v>18</v>
      </c>
      <c r="C72">
        <v>30000</v>
      </c>
      <c r="D72" t="s">
        <v>71</v>
      </c>
      <c r="E72" t="s">
        <v>72</v>
      </c>
      <c r="F72" t="s">
        <v>73</v>
      </c>
    </row>
    <row r="73" spans="1:6" x14ac:dyDescent="0.45">
      <c r="A73">
        <v>40</v>
      </c>
      <c r="B73">
        <v>18</v>
      </c>
      <c r="C73">
        <v>30000</v>
      </c>
      <c r="D73" t="s">
        <v>71</v>
      </c>
      <c r="E73" t="s">
        <v>74</v>
      </c>
      <c r="F73" t="s">
        <v>73</v>
      </c>
    </row>
    <row r="74" spans="1:6" x14ac:dyDescent="0.45">
      <c r="A74">
        <v>0</v>
      </c>
      <c r="B74">
        <v>18</v>
      </c>
      <c r="C74">
        <v>30000</v>
      </c>
      <c r="D74" t="s">
        <v>71</v>
      </c>
      <c r="E74" t="s">
        <v>74</v>
      </c>
      <c r="F74" t="s">
        <v>73</v>
      </c>
    </row>
    <row r="75" spans="1:6" x14ac:dyDescent="0.45">
      <c r="A75">
        <v>40</v>
      </c>
      <c r="B75">
        <v>18</v>
      </c>
      <c r="C75">
        <v>30000</v>
      </c>
      <c r="D75" t="s">
        <v>71</v>
      </c>
      <c r="E75" t="s">
        <v>72</v>
      </c>
      <c r="F75" t="s">
        <v>73</v>
      </c>
    </row>
    <row r="76" spans="1:6" x14ac:dyDescent="0.45">
      <c r="A76">
        <v>40</v>
      </c>
      <c r="B76">
        <v>18</v>
      </c>
      <c r="C76">
        <v>30000</v>
      </c>
      <c r="D76" t="s">
        <v>71</v>
      </c>
      <c r="E76" t="s">
        <v>74</v>
      </c>
      <c r="F76" t="s">
        <v>73</v>
      </c>
    </row>
    <row r="77" spans="1:6" x14ac:dyDescent="0.45">
      <c r="A77">
        <v>0</v>
      </c>
      <c r="B77">
        <v>18</v>
      </c>
      <c r="C77">
        <v>30000</v>
      </c>
      <c r="D77" t="s">
        <v>71</v>
      </c>
      <c r="E77" t="s">
        <v>74</v>
      </c>
      <c r="F77" t="s">
        <v>73</v>
      </c>
    </row>
    <row r="78" spans="1:6" x14ac:dyDescent="0.45">
      <c r="A78">
        <v>50</v>
      </c>
      <c r="B78">
        <v>18</v>
      </c>
      <c r="C78">
        <v>30000</v>
      </c>
      <c r="D78" t="s">
        <v>71</v>
      </c>
      <c r="E78" t="s">
        <v>74</v>
      </c>
      <c r="F78" t="s">
        <v>73</v>
      </c>
    </row>
    <row r="79" spans="1:6" x14ac:dyDescent="0.45">
      <c r="A79">
        <v>40</v>
      </c>
      <c r="B79">
        <v>18</v>
      </c>
      <c r="C79">
        <v>30000</v>
      </c>
      <c r="D79" t="s">
        <v>71</v>
      </c>
      <c r="E79" t="s">
        <v>74</v>
      </c>
      <c r="F79" t="s">
        <v>73</v>
      </c>
    </row>
    <row r="80" spans="1:6" x14ac:dyDescent="0.45">
      <c r="A80">
        <v>40</v>
      </c>
      <c r="B80">
        <v>18</v>
      </c>
      <c r="C80">
        <v>30000</v>
      </c>
      <c r="D80" t="s">
        <v>71</v>
      </c>
      <c r="E80" t="s">
        <v>74</v>
      </c>
      <c r="F80" t="s">
        <v>73</v>
      </c>
    </row>
    <row r="81" spans="1:6" x14ac:dyDescent="0.45">
      <c r="A81">
        <v>40</v>
      </c>
      <c r="B81">
        <v>18</v>
      </c>
      <c r="C81">
        <v>30000</v>
      </c>
      <c r="D81" t="s">
        <v>71</v>
      </c>
      <c r="E81" t="s">
        <v>74</v>
      </c>
      <c r="F81" t="s">
        <v>73</v>
      </c>
    </row>
    <row r="82" spans="1:6" x14ac:dyDescent="0.45">
      <c r="A82">
        <v>40</v>
      </c>
      <c r="B82">
        <v>18</v>
      </c>
      <c r="C82">
        <v>30000</v>
      </c>
      <c r="D82" t="s">
        <v>76</v>
      </c>
      <c r="E82" t="s">
        <v>72</v>
      </c>
      <c r="F82" t="s">
        <v>73</v>
      </c>
    </row>
    <row r="83" spans="1:6" x14ac:dyDescent="0.45">
      <c r="A83">
        <v>75</v>
      </c>
      <c r="B83">
        <v>18</v>
      </c>
      <c r="C83">
        <v>30000</v>
      </c>
      <c r="D83" t="s">
        <v>71</v>
      </c>
      <c r="E83" t="s">
        <v>72</v>
      </c>
      <c r="F83" t="s">
        <v>73</v>
      </c>
    </row>
    <row r="84" spans="1:6" x14ac:dyDescent="0.45">
      <c r="A84">
        <v>40</v>
      </c>
      <c r="B84">
        <v>18</v>
      </c>
      <c r="C84">
        <v>30264</v>
      </c>
      <c r="D84" t="s">
        <v>71</v>
      </c>
      <c r="E84" t="s">
        <v>72</v>
      </c>
      <c r="F84" t="s">
        <v>73</v>
      </c>
    </row>
    <row r="85" spans="1:6" x14ac:dyDescent="0.45">
      <c r="A85">
        <v>40</v>
      </c>
      <c r="B85">
        <v>18</v>
      </c>
      <c r="C85">
        <v>31000</v>
      </c>
      <c r="D85" t="s">
        <v>75</v>
      </c>
      <c r="E85" t="s">
        <v>72</v>
      </c>
      <c r="F85" t="s">
        <v>73</v>
      </c>
    </row>
    <row r="86" spans="1:6" x14ac:dyDescent="0.45">
      <c r="A86">
        <v>40</v>
      </c>
      <c r="B86">
        <v>18</v>
      </c>
      <c r="C86">
        <v>31000</v>
      </c>
      <c r="D86" t="s">
        <v>71</v>
      </c>
      <c r="E86" t="s">
        <v>72</v>
      </c>
      <c r="F86" t="s">
        <v>73</v>
      </c>
    </row>
    <row r="87" spans="1:6" x14ac:dyDescent="0.45">
      <c r="A87">
        <v>40</v>
      </c>
      <c r="B87">
        <v>18</v>
      </c>
      <c r="C87">
        <v>32000</v>
      </c>
      <c r="D87" t="s">
        <v>71</v>
      </c>
      <c r="E87" t="s">
        <v>72</v>
      </c>
      <c r="F87" t="s">
        <v>73</v>
      </c>
    </row>
    <row r="88" spans="1:6" x14ac:dyDescent="0.45">
      <c r="A88">
        <v>48</v>
      </c>
      <c r="B88">
        <v>18</v>
      </c>
      <c r="C88">
        <v>32000</v>
      </c>
      <c r="D88" t="s">
        <v>71</v>
      </c>
      <c r="E88" t="s">
        <v>72</v>
      </c>
      <c r="F88" t="s">
        <v>73</v>
      </c>
    </row>
    <row r="89" spans="1:6" x14ac:dyDescent="0.45">
      <c r="A89">
        <v>40</v>
      </c>
      <c r="B89">
        <v>18</v>
      </c>
      <c r="C89">
        <v>32000</v>
      </c>
      <c r="D89" t="s">
        <v>71</v>
      </c>
      <c r="E89" t="s">
        <v>74</v>
      </c>
      <c r="F89" t="s">
        <v>73</v>
      </c>
    </row>
    <row r="90" spans="1:6" x14ac:dyDescent="0.45">
      <c r="A90">
        <v>70</v>
      </c>
      <c r="B90">
        <v>18</v>
      </c>
      <c r="C90">
        <v>32000</v>
      </c>
      <c r="D90" t="s">
        <v>71</v>
      </c>
      <c r="E90" t="s">
        <v>74</v>
      </c>
      <c r="F90" t="s">
        <v>73</v>
      </c>
    </row>
    <row r="91" spans="1:6" x14ac:dyDescent="0.45">
      <c r="A91">
        <v>50</v>
      </c>
      <c r="B91">
        <v>18</v>
      </c>
      <c r="C91">
        <v>32000</v>
      </c>
      <c r="D91" t="s">
        <v>71</v>
      </c>
      <c r="E91" t="s">
        <v>74</v>
      </c>
      <c r="F91" t="s">
        <v>73</v>
      </c>
    </row>
    <row r="92" spans="1:6" x14ac:dyDescent="0.45">
      <c r="A92">
        <v>50</v>
      </c>
      <c r="B92">
        <v>18</v>
      </c>
      <c r="C92">
        <v>33000</v>
      </c>
      <c r="D92" t="s">
        <v>71</v>
      </c>
      <c r="E92" t="s">
        <v>72</v>
      </c>
      <c r="F92" t="s">
        <v>73</v>
      </c>
    </row>
    <row r="93" spans="1:6" x14ac:dyDescent="0.45">
      <c r="A93">
        <v>45</v>
      </c>
      <c r="B93">
        <v>18</v>
      </c>
      <c r="C93">
        <v>33000</v>
      </c>
      <c r="D93" t="s">
        <v>71</v>
      </c>
      <c r="E93" t="s">
        <v>72</v>
      </c>
      <c r="F93" t="s">
        <v>73</v>
      </c>
    </row>
    <row r="94" spans="1:6" x14ac:dyDescent="0.45">
      <c r="A94">
        <v>60</v>
      </c>
      <c r="B94">
        <v>18</v>
      </c>
      <c r="C94">
        <v>33200</v>
      </c>
      <c r="D94" t="s">
        <v>71</v>
      </c>
      <c r="E94" t="s">
        <v>74</v>
      </c>
      <c r="F94" t="s">
        <v>73</v>
      </c>
    </row>
    <row r="95" spans="1:6" x14ac:dyDescent="0.45">
      <c r="A95">
        <v>40</v>
      </c>
      <c r="B95">
        <v>18</v>
      </c>
      <c r="C95">
        <v>34000</v>
      </c>
      <c r="D95" t="s">
        <v>71</v>
      </c>
      <c r="E95" t="s">
        <v>74</v>
      </c>
      <c r="F95" t="s">
        <v>73</v>
      </c>
    </row>
    <row r="96" spans="1:6" x14ac:dyDescent="0.45">
      <c r="A96">
        <v>40</v>
      </c>
      <c r="B96">
        <v>18</v>
      </c>
      <c r="C96">
        <v>34000</v>
      </c>
      <c r="D96" t="s">
        <v>71</v>
      </c>
      <c r="E96" t="s">
        <v>72</v>
      </c>
      <c r="F96" t="s">
        <v>73</v>
      </c>
    </row>
    <row r="97" spans="1:6" x14ac:dyDescent="0.45">
      <c r="A97">
        <v>40</v>
      </c>
      <c r="B97">
        <v>18</v>
      </c>
      <c r="C97">
        <v>34000</v>
      </c>
      <c r="D97" t="s">
        <v>71</v>
      </c>
      <c r="E97" t="s">
        <v>74</v>
      </c>
      <c r="F97" t="s">
        <v>73</v>
      </c>
    </row>
    <row r="98" spans="1:6" x14ac:dyDescent="0.45">
      <c r="A98">
        <v>45</v>
      </c>
      <c r="B98">
        <v>18</v>
      </c>
      <c r="C98">
        <v>34200</v>
      </c>
      <c r="D98" t="s">
        <v>71</v>
      </c>
      <c r="E98" t="s">
        <v>74</v>
      </c>
      <c r="F98" t="s">
        <v>73</v>
      </c>
    </row>
    <row r="99" spans="1:6" x14ac:dyDescent="0.45">
      <c r="A99">
        <v>40</v>
      </c>
      <c r="B99">
        <v>18</v>
      </c>
      <c r="C99">
        <v>34373</v>
      </c>
      <c r="D99" t="s">
        <v>71</v>
      </c>
      <c r="E99" t="s">
        <v>74</v>
      </c>
      <c r="F99" t="s">
        <v>73</v>
      </c>
    </row>
    <row r="100" spans="1:6" x14ac:dyDescent="0.45">
      <c r="A100">
        <v>40</v>
      </c>
      <c r="B100">
        <v>18</v>
      </c>
      <c r="C100">
        <v>34400</v>
      </c>
      <c r="D100" t="s">
        <v>75</v>
      </c>
      <c r="E100" t="s">
        <v>72</v>
      </c>
      <c r="F100" t="s">
        <v>73</v>
      </c>
    </row>
    <row r="101" spans="1:6" x14ac:dyDescent="0.45">
      <c r="A101">
        <v>40</v>
      </c>
      <c r="B101">
        <v>18</v>
      </c>
      <c r="C101">
        <v>34400</v>
      </c>
      <c r="D101" t="s">
        <v>76</v>
      </c>
      <c r="E101" t="s">
        <v>72</v>
      </c>
      <c r="F101" t="s">
        <v>73</v>
      </c>
    </row>
    <row r="102" spans="1:6" x14ac:dyDescent="0.45">
      <c r="A102">
        <v>40</v>
      </c>
      <c r="B102">
        <v>18</v>
      </c>
      <c r="C102">
        <v>34500</v>
      </c>
      <c r="D102" t="s">
        <v>71</v>
      </c>
      <c r="E102" t="s">
        <v>74</v>
      </c>
      <c r="F102" t="s">
        <v>73</v>
      </c>
    </row>
    <row r="103" spans="1:6" x14ac:dyDescent="0.45">
      <c r="A103">
        <v>40</v>
      </c>
      <c r="B103">
        <v>18</v>
      </c>
      <c r="C103">
        <v>35000</v>
      </c>
      <c r="D103" t="s">
        <v>71</v>
      </c>
      <c r="E103" t="s">
        <v>72</v>
      </c>
      <c r="F103" t="s">
        <v>73</v>
      </c>
    </row>
    <row r="104" spans="1:6" x14ac:dyDescent="0.45">
      <c r="A104">
        <v>40</v>
      </c>
      <c r="B104">
        <v>18</v>
      </c>
      <c r="C104">
        <v>35000</v>
      </c>
      <c r="D104" t="s">
        <v>71</v>
      </c>
      <c r="E104" t="s">
        <v>72</v>
      </c>
      <c r="F104" t="s">
        <v>73</v>
      </c>
    </row>
    <row r="105" spans="1:6" x14ac:dyDescent="0.45">
      <c r="A105">
        <v>35</v>
      </c>
      <c r="B105">
        <v>18</v>
      </c>
      <c r="C105">
        <v>35000</v>
      </c>
      <c r="D105" t="s">
        <v>71</v>
      </c>
      <c r="E105" t="s">
        <v>74</v>
      </c>
      <c r="F105" t="s">
        <v>73</v>
      </c>
    </row>
    <row r="106" spans="1:6" x14ac:dyDescent="0.45">
      <c r="A106">
        <v>40</v>
      </c>
      <c r="B106">
        <v>18</v>
      </c>
      <c r="C106">
        <v>35000</v>
      </c>
      <c r="D106" t="s">
        <v>71</v>
      </c>
      <c r="E106" t="s">
        <v>72</v>
      </c>
      <c r="F106" t="s">
        <v>73</v>
      </c>
    </row>
    <row r="107" spans="1:6" x14ac:dyDescent="0.45">
      <c r="A107">
        <v>35</v>
      </c>
      <c r="B107">
        <v>18</v>
      </c>
      <c r="C107">
        <v>35000</v>
      </c>
      <c r="D107" t="s">
        <v>71</v>
      </c>
      <c r="E107" t="s">
        <v>72</v>
      </c>
      <c r="F107" t="s">
        <v>73</v>
      </c>
    </row>
    <row r="108" spans="1:6" x14ac:dyDescent="0.45">
      <c r="A108">
        <v>99</v>
      </c>
      <c r="B108">
        <v>18</v>
      </c>
      <c r="C108">
        <v>35000</v>
      </c>
      <c r="D108" t="s">
        <v>75</v>
      </c>
      <c r="E108" t="s">
        <v>74</v>
      </c>
      <c r="F108" t="s">
        <v>73</v>
      </c>
    </row>
    <row r="109" spans="1:6" x14ac:dyDescent="0.45">
      <c r="A109">
        <v>40</v>
      </c>
      <c r="B109">
        <v>18</v>
      </c>
      <c r="C109">
        <v>35000</v>
      </c>
      <c r="D109" t="s">
        <v>71</v>
      </c>
      <c r="E109" t="s">
        <v>74</v>
      </c>
      <c r="F109" t="s">
        <v>73</v>
      </c>
    </row>
    <row r="110" spans="1:6" x14ac:dyDescent="0.45">
      <c r="A110">
        <v>50</v>
      </c>
      <c r="B110">
        <v>18</v>
      </c>
      <c r="C110">
        <v>35000</v>
      </c>
      <c r="D110" t="s">
        <v>71</v>
      </c>
      <c r="E110" t="s">
        <v>74</v>
      </c>
      <c r="F110" t="s">
        <v>73</v>
      </c>
    </row>
    <row r="111" spans="1:6" x14ac:dyDescent="0.45">
      <c r="A111">
        <v>48</v>
      </c>
      <c r="B111">
        <v>18</v>
      </c>
      <c r="C111">
        <v>35000</v>
      </c>
      <c r="D111" t="s">
        <v>71</v>
      </c>
      <c r="E111" t="s">
        <v>74</v>
      </c>
      <c r="F111" t="s">
        <v>73</v>
      </c>
    </row>
    <row r="112" spans="1:6" x14ac:dyDescent="0.45">
      <c r="A112">
        <v>40</v>
      </c>
      <c r="B112">
        <v>18</v>
      </c>
      <c r="C112">
        <v>35000</v>
      </c>
      <c r="D112" t="s">
        <v>71</v>
      </c>
      <c r="E112" t="s">
        <v>72</v>
      </c>
      <c r="F112" t="s">
        <v>73</v>
      </c>
    </row>
    <row r="113" spans="1:6" x14ac:dyDescent="0.45">
      <c r="A113">
        <v>40</v>
      </c>
      <c r="B113">
        <v>18</v>
      </c>
      <c r="C113">
        <v>35000</v>
      </c>
      <c r="D113" t="s">
        <v>71</v>
      </c>
      <c r="E113" t="s">
        <v>74</v>
      </c>
      <c r="F113" t="s">
        <v>73</v>
      </c>
    </row>
    <row r="114" spans="1:6" x14ac:dyDescent="0.45">
      <c r="A114">
        <v>40</v>
      </c>
      <c r="B114">
        <v>18</v>
      </c>
      <c r="C114">
        <v>35000</v>
      </c>
      <c r="D114" t="s">
        <v>76</v>
      </c>
      <c r="E114" t="s">
        <v>72</v>
      </c>
      <c r="F114" t="s">
        <v>73</v>
      </c>
    </row>
    <row r="115" spans="1:6" x14ac:dyDescent="0.45">
      <c r="A115">
        <v>45</v>
      </c>
      <c r="B115">
        <v>18</v>
      </c>
      <c r="C115">
        <v>35000</v>
      </c>
      <c r="D115" t="s">
        <v>71</v>
      </c>
      <c r="E115" t="s">
        <v>72</v>
      </c>
      <c r="F115" t="s">
        <v>73</v>
      </c>
    </row>
    <row r="116" spans="1:6" x14ac:dyDescent="0.45">
      <c r="A116">
        <v>40</v>
      </c>
      <c r="B116">
        <v>18</v>
      </c>
      <c r="C116">
        <v>35000</v>
      </c>
      <c r="D116" t="s">
        <v>71</v>
      </c>
      <c r="E116" t="s">
        <v>72</v>
      </c>
      <c r="F116" t="s">
        <v>73</v>
      </c>
    </row>
    <row r="117" spans="1:6" x14ac:dyDescent="0.45">
      <c r="A117">
        <v>40</v>
      </c>
      <c r="B117">
        <v>18</v>
      </c>
      <c r="C117">
        <v>35000</v>
      </c>
      <c r="D117" t="s">
        <v>71</v>
      </c>
      <c r="E117" t="s">
        <v>72</v>
      </c>
      <c r="F117" t="s">
        <v>73</v>
      </c>
    </row>
    <row r="118" spans="1:6" x14ac:dyDescent="0.45">
      <c r="A118">
        <v>40</v>
      </c>
      <c r="B118">
        <v>18</v>
      </c>
      <c r="C118">
        <v>35000</v>
      </c>
      <c r="D118" t="s">
        <v>71</v>
      </c>
      <c r="E118" t="s">
        <v>72</v>
      </c>
      <c r="F118" t="s">
        <v>73</v>
      </c>
    </row>
    <row r="119" spans="1:6" x14ac:dyDescent="0.45">
      <c r="A119">
        <v>50</v>
      </c>
      <c r="B119">
        <v>18</v>
      </c>
      <c r="C119">
        <v>35750</v>
      </c>
      <c r="D119" t="s">
        <v>76</v>
      </c>
      <c r="E119" t="s">
        <v>74</v>
      </c>
      <c r="F119" t="s">
        <v>73</v>
      </c>
    </row>
    <row r="120" spans="1:6" x14ac:dyDescent="0.45">
      <c r="A120">
        <v>42</v>
      </c>
      <c r="B120">
        <v>18</v>
      </c>
      <c r="C120">
        <v>36000</v>
      </c>
      <c r="D120" t="s">
        <v>76</v>
      </c>
      <c r="E120" t="s">
        <v>72</v>
      </c>
      <c r="F120" t="s">
        <v>73</v>
      </c>
    </row>
    <row r="121" spans="1:6" x14ac:dyDescent="0.45">
      <c r="A121">
        <v>45</v>
      </c>
      <c r="B121">
        <v>18</v>
      </c>
      <c r="C121">
        <v>36000</v>
      </c>
      <c r="D121" t="s">
        <v>71</v>
      </c>
      <c r="E121" t="s">
        <v>74</v>
      </c>
      <c r="F121" t="s">
        <v>73</v>
      </c>
    </row>
    <row r="122" spans="1:6" x14ac:dyDescent="0.45">
      <c r="A122">
        <v>70</v>
      </c>
      <c r="B122">
        <v>18</v>
      </c>
      <c r="C122">
        <v>36000</v>
      </c>
      <c r="D122" t="s">
        <v>71</v>
      </c>
      <c r="E122" t="s">
        <v>74</v>
      </c>
      <c r="F122" t="s">
        <v>73</v>
      </c>
    </row>
    <row r="123" spans="1:6" x14ac:dyDescent="0.45">
      <c r="A123">
        <v>50</v>
      </c>
      <c r="B123">
        <v>18</v>
      </c>
      <c r="C123">
        <v>36000</v>
      </c>
      <c r="D123" t="s">
        <v>71</v>
      </c>
      <c r="E123" t="s">
        <v>72</v>
      </c>
      <c r="F123" t="s">
        <v>73</v>
      </c>
    </row>
    <row r="124" spans="1:6" x14ac:dyDescent="0.45">
      <c r="A124">
        <v>40</v>
      </c>
      <c r="B124">
        <v>18</v>
      </c>
      <c r="C124">
        <v>36052</v>
      </c>
      <c r="D124" t="s">
        <v>71</v>
      </c>
      <c r="E124" t="s">
        <v>72</v>
      </c>
      <c r="F124" t="s">
        <v>73</v>
      </c>
    </row>
    <row r="125" spans="1:6" x14ac:dyDescent="0.45">
      <c r="A125">
        <v>40</v>
      </c>
      <c r="B125">
        <v>18</v>
      </c>
      <c r="C125">
        <v>36184</v>
      </c>
      <c r="D125" t="s">
        <v>71</v>
      </c>
      <c r="E125" t="s">
        <v>72</v>
      </c>
      <c r="F125" t="s">
        <v>73</v>
      </c>
    </row>
    <row r="126" spans="1:6" x14ac:dyDescent="0.45">
      <c r="A126">
        <v>52</v>
      </c>
      <c r="B126">
        <v>18</v>
      </c>
      <c r="C126">
        <v>36525</v>
      </c>
      <c r="D126" t="s">
        <v>71</v>
      </c>
      <c r="E126" t="s">
        <v>74</v>
      </c>
      <c r="F126" t="s">
        <v>73</v>
      </c>
    </row>
    <row r="127" spans="1:6" x14ac:dyDescent="0.45">
      <c r="A127">
        <v>40</v>
      </c>
      <c r="B127">
        <v>18</v>
      </c>
      <c r="C127">
        <v>37000</v>
      </c>
      <c r="D127" t="s">
        <v>71</v>
      </c>
      <c r="E127" t="s">
        <v>72</v>
      </c>
      <c r="F127" t="s">
        <v>73</v>
      </c>
    </row>
    <row r="128" spans="1:6" x14ac:dyDescent="0.45">
      <c r="A128">
        <v>37</v>
      </c>
      <c r="B128">
        <v>18</v>
      </c>
      <c r="C128">
        <v>37000</v>
      </c>
      <c r="D128" t="s">
        <v>71</v>
      </c>
      <c r="E128" t="s">
        <v>72</v>
      </c>
      <c r="F128" t="s">
        <v>73</v>
      </c>
    </row>
    <row r="129" spans="1:6" x14ac:dyDescent="0.45">
      <c r="A129">
        <v>50</v>
      </c>
      <c r="B129">
        <v>18</v>
      </c>
      <c r="C129">
        <v>37000</v>
      </c>
      <c r="D129" t="s">
        <v>71</v>
      </c>
      <c r="E129" t="s">
        <v>74</v>
      </c>
      <c r="F129" t="s">
        <v>73</v>
      </c>
    </row>
    <row r="130" spans="1:6" x14ac:dyDescent="0.45">
      <c r="A130">
        <v>40</v>
      </c>
      <c r="B130">
        <v>18</v>
      </c>
      <c r="C130">
        <v>37000</v>
      </c>
      <c r="D130" t="s">
        <v>71</v>
      </c>
      <c r="E130" t="s">
        <v>72</v>
      </c>
      <c r="F130" t="s">
        <v>73</v>
      </c>
    </row>
    <row r="131" spans="1:6" x14ac:dyDescent="0.45">
      <c r="A131">
        <v>40</v>
      </c>
      <c r="B131">
        <v>18</v>
      </c>
      <c r="C131">
        <v>37000</v>
      </c>
      <c r="D131" t="s">
        <v>71</v>
      </c>
      <c r="E131" t="s">
        <v>72</v>
      </c>
      <c r="F131" t="s">
        <v>73</v>
      </c>
    </row>
    <row r="132" spans="1:6" x14ac:dyDescent="0.45">
      <c r="A132">
        <v>40</v>
      </c>
      <c r="B132">
        <v>18</v>
      </c>
      <c r="C132">
        <v>37063</v>
      </c>
      <c r="D132" t="s">
        <v>71</v>
      </c>
      <c r="E132" t="s">
        <v>72</v>
      </c>
      <c r="F132" t="s">
        <v>73</v>
      </c>
    </row>
    <row r="133" spans="1:6" x14ac:dyDescent="0.45">
      <c r="A133">
        <v>45</v>
      </c>
      <c r="B133">
        <v>18</v>
      </c>
      <c r="C133">
        <v>37600</v>
      </c>
      <c r="D133" t="s">
        <v>71</v>
      </c>
      <c r="E133" t="s">
        <v>72</v>
      </c>
      <c r="F133" t="s">
        <v>73</v>
      </c>
    </row>
    <row r="134" spans="1:6" x14ac:dyDescent="0.45">
      <c r="A134">
        <v>60</v>
      </c>
      <c r="B134">
        <v>18</v>
      </c>
      <c r="C134">
        <v>38000</v>
      </c>
      <c r="D134" t="s">
        <v>71</v>
      </c>
      <c r="E134" t="s">
        <v>74</v>
      </c>
      <c r="F134" t="s">
        <v>73</v>
      </c>
    </row>
    <row r="135" spans="1:6" x14ac:dyDescent="0.45">
      <c r="A135">
        <v>40</v>
      </c>
      <c r="B135">
        <v>18</v>
      </c>
      <c r="C135">
        <v>38000</v>
      </c>
      <c r="D135" t="s">
        <v>71</v>
      </c>
      <c r="E135" t="s">
        <v>74</v>
      </c>
      <c r="F135" t="s">
        <v>73</v>
      </c>
    </row>
    <row r="136" spans="1:6" x14ac:dyDescent="0.45">
      <c r="A136">
        <v>38</v>
      </c>
      <c r="B136">
        <v>18</v>
      </c>
      <c r="C136">
        <v>38000</v>
      </c>
      <c r="D136" t="s">
        <v>71</v>
      </c>
      <c r="E136" t="s">
        <v>72</v>
      </c>
      <c r="F136" t="s">
        <v>73</v>
      </c>
    </row>
    <row r="137" spans="1:6" x14ac:dyDescent="0.45">
      <c r="A137">
        <v>40</v>
      </c>
      <c r="B137">
        <v>18</v>
      </c>
      <c r="C137">
        <v>38000</v>
      </c>
      <c r="D137" t="s">
        <v>71</v>
      </c>
      <c r="E137" t="s">
        <v>74</v>
      </c>
      <c r="F137" t="s">
        <v>73</v>
      </c>
    </row>
    <row r="138" spans="1:6" x14ac:dyDescent="0.45">
      <c r="A138">
        <v>65</v>
      </c>
      <c r="B138">
        <v>18</v>
      </c>
      <c r="C138">
        <v>38300</v>
      </c>
      <c r="D138" t="s">
        <v>71</v>
      </c>
      <c r="E138" t="s">
        <v>74</v>
      </c>
      <c r="F138" t="s">
        <v>73</v>
      </c>
    </row>
    <row r="139" spans="1:6" x14ac:dyDescent="0.45">
      <c r="A139">
        <v>44</v>
      </c>
      <c r="B139">
        <v>18</v>
      </c>
      <c r="C139">
        <v>38702</v>
      </c>
      <c r="D139" t="s">
        <v>71</v>
      </c>
      <c r="E139" t="s">
        <v>72</v>
      </c>
      <c r="F139" t="s">
        <v>73</v>
      </c>
    </row>
    <row r="140" spans="1:6" x14ac:dyDescent="0.45">
      <c r="A140">
        <v>50</v>
      </c>
      <c r="B140">
        <v>18</v>
      </c>
      <c r="C140">
        <v>39000</v>
      </c>
      <c r="D140" t="s">
        <v>71</v>
      </c>
      <c r="E140" t="s">
        <v>74</v>
      </c>
      <c r="F140" t="s">
        <v>73</v>
      </c>
    </row>
    <row r="141" spans="1:6" x14ac:dyDescent="0.45">
      <c r="A141">
        <v>43</v>
      </c>
      <c r="B141">
        <v>18</v>
      </c>
      <c r="C141">
        <v>39000</v>
      </c>
      <c r="D141" t="s">
        <v>76</v>
      </c>
      <c r="E141" t="s">
        <v>74</v>
      </c>
      <c r="F141" t="s">
        <v>73</v>
      </c>
    </row>
    <row r="142" spans="1:6" x14ac:dyDescent="0.45">
      <c r="A142">
        <v>55</v>
      </c>
      <c r="B142">
        <v>18</v>
      </c>
      <c r="C142">
        <v>39398</v>
      </c>
      <c r="D142" t="s">
        <v>71</v>
      </c>
      <c r="E142" t="s">
        <v>74</v>
      </c>
      <c r="F142" t="s">
        <v>73</v>
      </c>
    </row>
    <row r="143" spans="1:6" x14ac:dyDescent="0.45">
      <c r="A143">
        <v>40</v>
      </c>
      <c r="B143">
        <v>18</v>
      </c>
      <c r="C143">
        <v>39400</v>
      </c>
      <c r="D143" t="s">
        <v>71</v>
      </c>
      <c r="E143" t="s">
        <v>74</v>
      </c>
      <c r="F143" t="s">
        <v>73</v>
      </c>
    </row>
    <row r="144" spans="1:6" x14ac:dyDescent="0.45">
      <c r="A144">
        <v>52</v>
      </c>
      <c r="B144">
        <v>18</v>
      </c>
      <c r="C144">
        <v>40000</v>
      </c>
      <c r="D144" t="s">
        <v>71</v>
      </c>
      <c r="E144" t="s">
        <v>72</v>
      </c>
      <c r="F144" t="s">
        <v>73</v>
      </c>
    </row>
    <row r="145" spans="1:6" x14ac:dyDescent="0.45">
      <c r="A145">
        <v>40</v>
      </c>
      <c r="B145">
        <v>18</v>
      </c>
      <c r="C145">
        <v>40000</v>
      </c>
      <c r="D145" t="s">
        <v>71</v>
      </c>
      <c r="E145" t="s">
        <v>72</v>
      </c>
      <c r="F145" t="s">
        <v>73</v>
      </c>
    </row>
    <row r="146" spans="1:6" x14ac:dyDescent="0.45">
      <c r="A146">
        <v>40</v>
      </c>
      <c r="B146">
        <v>18</v>
      </c>
      <c r="C146">
        <v>40000</v>
      </c>
      <c r="D146" t="s">
        <v>71</v>
      </c>
      <c r="E146" t="s">
        <v>72</v>
      </c>
      <c r="F146" t="s">
        <v>73</v>
      </c>
    </row>
    <row r="147" spans="1:6" x14ac:dyDescent="0.45">
      <c r="A147">
        <v>40</v>
      </c>
      <c r="B147">
        <v>18</v>
      </c>
      <c r="C147">
        <v>40000</v>
      </c>
      <c r="D147" t="s">
        <v>75</v>
      </c>
      <c r="E147" t="s">
        <v>74</v>
      </c>
      <c r="F147" t="s">
        <v>73</v>
      </c>
    </row>
    <row r="148" spans="1:6" x14ac:dyDescent="0.45">
      <c r="A148">
        <v>50</v>
      </c>
      <c r="B148">
        <v>18</v>
      </c>
      <c r="C148">
        <v>40000</v>
      </c>
      <c r="D148" t="s">
        <v>71</v>
      </c>
      <c r="E148" t="s">
        <v>72</v>
      </c>
      <c r="F148" t="s">
        <v>73</v>
      </c>
    </row>
    <row r="149" spans="1:6" x14ac:dyDescent="0.45">
      <c r="A149">
        <v>50</v>
      </c>
      <c r="B149">
        <v>18</v>
      </c>
      <c r="C149">
        <v>40000</v>
      </c>
      <c r="D149" t="s">
        <v>71</v>
      </c>
      <c r="E149" t="s">
        <v>72</v>
      </c>
      <c r="F149" t="s">
        <v>73</v>
      </c>
    </row>
    <row r="150" spans="1:6" x14ac:dyDescent="0.45">
      <c r="A150">
        <v>40</v>
      </c>
      <c r="B150">
        <v>18</v>
      </c>
      <c r="C150">
        <v>40000</v>
      </c>
      <c r="D150" t="s">
        <v>76</v>
      </c>
      <c r="E150" t="s">
        <v>74</v>
      </c>
      <c r="F150" t="s">
        <v>73</v>
      </c>
    </row>
    <row r="151" spans="1:6" x14ac:dyDescent="0.45">
      <c r="A151">
        <v>40</v>
      </c>
      <c r="B151">
        <v>18</v>
      </c>
      <c r="C151">
        <v>40000</v>
      </c>
      <c r="D151" t="s">
        <v>71</v>
      </c>
      <c r="E151" t="s">
        <v>74</v>
      </c>
      <c r="F151" t="s">
        <v>73</v>
      </c>
    </row>
    <row r="152" spans="1:6" x14ac:dyDescent="0.45">
      <c r="A152">
        <v>0</v>
      </c>
      <c r="B152">
        <v>18</v>
      </c>
      <c r="C152">
        <v>40000</v>
      </c>
      <c r="D152" t="s">
        <v>71</v>
      </c>
      <c r="E152" t="s">
        <v>72</v>
      </c>
      <c r="F152" t="s">
        <v>73</v>
      </c>
    </row>
    <row r="153" spans="1:6" x14ac:dyDescent="0.45">
      <c r="A153">
        <v>40</v>
      </c>
      <c r="B153">
        <v>18</v>
      </c>
      <c r="C153">
        <v>40000</v>
      </c>
      <c r="D153" t="s">
        <v>71</v>
      </c>
      <c r="E153" t="s">
        <v>74</v>
      </c>
      <c r="F153" t="s">
        <v>73</v>
      </c>
    </row>
    <row r="154" spans="1:6" x14ac:dyDescent="0.45">
      <c r="A154">
        <v>40</v>
      </c>
      <c r="B154">
        <v>18</v>
      </c>
      <c r="C154">
        <v>40000</v>
      </c>
      <c r="D154" t="s">
        <v>71</v>
      </c>
      <c r="E154" t="s">
        <v>74</v>
      </c>
      <c r="F154" t="s">
        <v>73</v>
      </c>
    </row>
    <row r="155" spans="1:6" x14ac:dyDescent="0.45">
      <c r="A155">
        <v>40</v>
      </c>
      <c r="B155">
        <v>18</v>
      </c>
      <c r="C155">
        <v>40000</v>
      </c>
      <c r="D155" t="s">
        <v>76</v>
      </c>
      <c r="E155" t="s">
        <v>72</v>
      </c>
      <c r="F155" t="s">
        <v>73</v>
      </c>
    </row>
    <row r="156" spans="1:6" x14ac:dyDescent="0.45">
      <c r="A156">
        <v>40</v>
      </c>
      <c r="B156">
        <v>18</v>
      </c>
      <c r="C156">
        <v>40000</v>
      </c>
      <c r="D156" t="s">
        <v>76</v>
      </c>
      <c r="E156" t="s">
        <v>72</v>
      </c>
      <c r="F156" t="s">
        <v>73</v>
      </c>
    </row>
    <row r="157" spans="1:6" x14ac:dyDescent="0.45">
      <c r="A157">
        <v>40</v>
      </c>
      <c r="B157">
        <v>18</v>
      </c>
      <c r="C157">
        <v>40000</v>
      </c>
      <c r="D157" t="s">
        <v>76</v>
      </c>
      <c r="E157" t="s">
        <v>72</v>
      </c>
      <c r="F157" t="s">
        <v>73</v>
      </c>
    </row>
    <row r="158" spans="1:6" x14ac:dyDescent="0.45">
      <c r="A158">
        <v>40</v>
      </c>
      <c r="B158">
        <v>18</v>
      </c>
      <c r="C158">
        <v>40000</v>
      </c>
      <c r="D158" t="s">
        <v>71</v>
      </c>
      <c r="E158" t="s">
        <v>74</v>
      </c>
      <c r="F158" t="s">
        <v>73</v>
      </c>
    </row>
    <row r="159" spans="1:6" x14ac:dyDescent="0.45">
      <c r="A159">
        <v>40</v>
      </c>
      <c r="B159">
        <v>18</v>
      </c>
      <c r="C159">
        <v>40000</v>
      </c>
      <c r="D159" t="s">
        <v>71</v>
      </c>
      <c r="E159" t="s">
        <v>72</v>
      </c>
      <c r="F159" t="s">
        <v>73</v>
      </c>
    </row>
    <row r="160" spans="1:6" x14ac:dyDescent="0.45">
      <c r="A160">
        <v>35</v>
      </c>
      <c r="B160">
        <v>18</v>
      </c>
      <c r="C160">
        <v>40000</v>
      </c>
      <c r="D160" t="s">
        <v>71</v>
      </c>
      <c r="E160" t="s">
        <v>74</v>
      </c>
      <c r="F160" t="s">
        <v>73</v>
      </c>
    </row>
    <row r="161" spans="1:6" x14ac:dyDescent="0.45">
      <c r="A161">
        <v>70</v>
      </c>
      <c r="B161">
        <v>18</v>
      </c>
      <c r="C161">
        <v>41000</v>
      </c>
      <c r="D161" t="s">
        <v>71</v>
      </c>
      <c r="E161" t="s">
        <v>74</v>
      </c>
      <c r="F161" t="s">
        <v>73</v>
      </c>
    </row>
    <row r="162" spans="1:6" x14ac:dyDescent="0.45">
      <c r="A162">
        <v>40</v>
      </c>
      <c r="B162">
        <v>18</v>
      </c>
      <c r="C162">
        <v>41000</v>
      </c>
      <c r="D162" t="s">
        <v>71</v>
      </c>
      <c r="E162" t="s">
        <v>72</v>
      </c>
      <c r="F162" t="s">
        <v>73</v>
      </c>
    </row>
    <row r="163" spans="1:6" x14ac:dyDescent="0.45">
      <c r="A163">
        <v>40</v>
      </c>
      <c r="B163">
        <v>18</v>
      </c>
      <c r="C163">
        <v>41000</v>
      </c>
      <c r="D163" t="s">
        <v>71</v>
      </c>
      <c r="E163" t="s">
        <v>72</v>
      </c>
      <c r="F163" t="s">
        <v>73</v>
      </c>
    </row>
    <row r="164" spans="1:6" x14ac:dyDescent="0.45">
      <c r="A164">
        <v>40</v>
      </c>
      <c r="B164">
        <v>18</v>
      </c>
      <c r="C164">
        <v>41000</v>
      </c>
      <c r="D164" t="s">
        <v>71</v>
      </c>
      <c r="E164" t="s">
        <v>74</v>
      </c>
      <c r="F164" t="s">
        <v>73</v>
      </c>
    </row>
    <row r="165" spans="1:6" x14ac:dyDescent="0.45">
      <c r="A165">
        <v>44</v>
      </c>
      <c r="B165">
        <v>18</v>
      </c>
      <c r="C165">
        <v>41040</v>
      </c>
      <c r="D165" t="s">
        <v>71</v>
      </c>
      <c r="E165" t="s">
        <v>74</v>
      </c>
      <c r="F165" t="s">
        <v>73</v>
      </c>
    </row>
    <row r="166" spans="1:6" x14ac:dyDescent="0.45">
      <c r="A166">
        <v>38</v>
      </c>
      <c r="B166">
        <v>18</v>
      </c>
      <c r="C166">
        <v>41300</v>
      </c>
      <c r="D166" t="s">
        <v>71</v>
      </c>
      <c r="E166" t="s">
        <v>74</v>
      </c>
      <c r="F166" t="s">
        <v>73</v>
      </c>
    </row>
    <row r="167" spans="1:6" x14ac:dyDescent="0.45">
      <c r="A167">
        <v>40</v>
      </c>
      <c r="B167">
        <v>18</v>
      </c>
      <c r="C167">
        <v>41500</v>
      </c>
      <c r="D167" t="s">
        <v>71</v>
      </c>
      <c r="E167" t="s">
        <v>74</v>
      </c>
      <c r="F167" t="s">
        <v>73</v>
      </c>
    </row>
    <row r="168" spans="1:6" x14ac:dyDescent="0.45">
      <c r="A168">
        <v>55</v>
      </c>
      <c r="B168">
        <v>18</v>
      </c>
      <c r="C168">
        <v>41800</v>
      </c>
      <c r="D168" t="s">
        <v>71</v>
      </c>
      <c r="E168" t="s">
        <v>72</v>
      </c>
      <c r="F168" t="s">
        <v>73</v>
      </c>
    </row>
    <row r="169" spans="1:6" x14ac:dyDescent="0.45">
      <c r="A169">
        <v>35</v>
      </c>
      <c r="B169">
        <v>18</v>
      </c>
      <c r="C169">
        <v>42000</v>
      </c>
      <c r="D169" t="s">
        <v>71</v>
      </c>
      <c r="E169" t="s">
        <v>72</v>
      </c>
      <c r="F169" t="s">
        <v>73</v>
      </c>
    </row>
    <row r="170" spans="1:6" x14ac:dyDescent="0.45">
      <c r="A170">
        <v>50</v>
      </c>
      <c r="B170">
        <v>18</v>
      </c>
      <c r="C170">
        <v>42000</v>
      </c>
      <c r="D170" t="s">
        <v>71</v>
      </c>
      <c r="E170" t="s">
        <v>72</v>
      </c>
      <c r="F170" t="s">
        <v>73</v>
      </c>
    </row>
    <row r="171" spans="1:6" x14ac:dyDescent="0.45">
      <c r="A171">
        <v>40</v>
      </c>
      <c r="B171">
        <v>18</v>
      </c>
      <c r="C171">
        <v>42000</v>
      </c>
      <c r="D171" t="s">
        <v>71</v>
      </c>
      <c r="E171" t="s">
        <v>72</v>
      </c>
      <c r="F171" t="s">
        <v>73</v>
      </c>
    </row>
    <row r="172" spans="1:6" x14ac:dyDescent="0.45">
      <c r="A172">
        <v>0</v>
      </c>
      <c r="B172">
        <v>18</v>
      </c>
      <c r="C172">
        <v>42000</v>
      </c>
      <c r="D172" t="s">
        <v>75</v>
      </c>
      <c r="E172" t="s">
        <v>74</v>
      </c>
      <c r="F172" t="s">
        <v>73</v>
      </c>
    </row>
    <row r="173" spans="1:6" x14ac:dyDescent="0.45">
      <c r="A173">
        <v>40</v>
      </c>
      <c r="B173">
        <v>18</v>
      </c>
      <c r="C173">
        <v>42000</v>
      </c>
      <c r="D173" t="s">
        <v>71</v>
      </c>
      <c r="E173" t="s">
        <v>74</v>
      </c>
      <c r="F173" t="s">
        <v>73</v>
      </c>
    </row>
    <row r="174" spans="1:6" x14ac:dyDescent="0.45">
      <c r="A174">
        <v>0</v>
      </c>
      <c r="B174">
        <v>18</v>
      </c>
      <c r="C174">
        <v>42200</v>
      </c>
      <c r="D174" t="s">
        <v>71</v>
      </c>
      <c r="E174" t="s">
        <v>74</v>
      </c>
      <c r="F174" t="s">
        <v>73</v>
      </c>
    </row>
    <row r="175" spans="1:6" x14ac:dyDescent="0.45">
      <c r="A175">
        <v>40</v>
      </c>
      <c r="B175">
        <v>18</v>
      </c>
      <c r="C175">
        <v>42500</v>
      </c>
      <c r="D175" t="s">
        <v>71</v>
      </c>
      <c r="E175" t="s">
        <v>72</v>
      </c>
      <c r="F175" t="s">
        <v>73</v>
      </c>
    </row>
    <row r="176" spans="1:6" x14ac:dyDescent="0.45">
      <c r="A176">
        <v>40</v>
      </c>
      <c r="B176">
        <v>18</v>
      </c>
      <c r="C176">
        <v>42526</v>
      </c>
      <c r="D176" t="s">
        <v>71</v>
      </c>
      <c r="E176" t="s">
        <v>74</v>
      </c>
      <c r="F176" t="s">
        <v>73</v>
      </c>
    </row>
    <row r="177" spans="1:6" x14ac:dyDescent="0.45">
      <c r="A177">
        <v>50</v>
      </c>
      <c r="B177">
        <v>18</v>
      </c>
      <c r="C177">
        <v>42579</v>
      </c>
      <c r="D177" t="s">
        <v>71</v>
      </c>
      <c r="E177" t="s">
        <v>72</v>
      </c>
      <c r="F177" t="s">
        <v>73</v>
      </c>
    </row>
    <row r="178" spans="1:6" x14ac:dyDescent="0.45">
      <c r="A178">
        <v>40</v>
      </c>
      <c r="B178">
        <v>18</v>
      </c>
      <c r="C178">
        <v>42900</v>
      </c>
      <c r="D178" t="s">
        <v>71</v>
      </c>
      <c r="E178" t="s">
        <v>72</v>
      </c>
      <c r="F178" t="s">
        <v>73</v>
      </c>
    </row>
    <row r="179" spans="1:6" x14ac:dyDescent="0.45">
      <c r="A179">
        <v>50</v>
      </c>
      <c r="B179">
        <v>18</v>
      </c>
      <c r="C179">
        <v>43000</v>
      </c>
      <c r="D179" t="s">
        <v>71</v>
      </c>
      <c r="E179" t="s">
        <v>74</v>
      </c>
      <c r="F179" t="s">
        <v>73</v>
      </c>
    </row>
    <row r="180" spans="1:6" x14ac:dyDescent="0.45">
      <c r="A180">
        <v>60</v>
      </c>
      <c r="B180">
        <v>18</v>
      </c>
      <c r="C180">
        <v>43000</v>
      </c>
      <c r="D180" t="s">
        <v>71</v>
      </c>
      <c r="E180" t="s">
        <v>72</v>
      </c>
      <c r="F180" t="s">
        <v>73</v>
      </c>
    </row>
    <row r="181" spans="1:6" x14ac:dyDescent="0.45">
      <c r="A181">
        <v>40</v>
      </c>
      <c r="B181">
        <v>18</v>
      </c>
      <c r="C181">
        <v>43000</v>
      </c>
      <c r="D181" t="s">
        <v>75</v>
      </c>
      <c r="E181" t="s">
        <v>74</v>
      </c>
      <c r="F181" t="s">
        <v>73</v>
      </c>
    </row>
    <row r="182" spans="1:6" x14ac:dyDescent="0.45">
      <c r="A182">
        <v>55</v>
      </c>
      <c r="B182">
        <v>18</v>
      </c>
      <c r="C182">
        <v>43000</v>
      </c>
      <c r="D182" t="s">
        <v>71</v>
      </c>
      <c r="E182" t="s">
        <v>74</v>
      </c>
      <c r="F182" t="s">
        <v>73</v>
      </c>
    </row>
    <row r="183" spans="1:6" x14ac:dyDescent="0.45">
      <c r="A183">
        <v>40</v>
      </c>
      <c r="B183">
        <v>18</v>
      </c>
      <c r="C183">
        <v>43000</v>
      </c>
      <c r="D183" t="s">
        <v>71</v>
      </c>
      <c r="E183" t="s">
        <v>74</v>
      </c>
      <c r="F183" t="s">
        <v>73</v>
      </c>
    </row>
    <row r="184" spans="1:6" x14ac:dyDescent="0.45">
      <c r="A184">
        <v>50</v>
      </c>
      <c r="B184">
        <v>18</v>
      </c>
      <c r="C184">
        <v>43240</v>
      </c>
      <c r="D184" t="s">
        <v>71</v>
      </c>
      <c r="E184" t="s">
        <v>72</v>
      </c>
      <c r="F184" t="s">
        <v>73</v>
      </c>
    </row>
    <row r="185" spans="1:6" x14ac:dyDescent="0.45">
      <c r="A185">
        <v>60</v>
      </c>
      <c r="B185">
        <v>18</v>
      </c>
      <c r="C185">
        <v>44000</v>
      </c>
      <c r="D185" t="s">
        <v>71</v>
      </c>
      <c r="E185" t="s">
        <v>72</v>
      </c>
      <c r="F185" t="s">
        <v>73</v>
      </c>
    </row>
    <row r="186" spans="1:6" x14ac:dyDescent="0.45">
      <c r="A186">
        <v>50</v>
      </c>
      <c r="B186">
        <v>18</v>
      </c>
      <c r="C186">
        <v>44000</v>
      </c>
      <c r="D186" t="s">
        <v>71</v>
      </c>
      <c r="E186" t="s">
        <v>72</v>
      </c>
      <c r="F186" t="s">
        <v>73</v>
      </c>
    </row>
    <row r="187" spans="1:6" x14ac:dyDescent="0.45">
      <c r="A187">
        <v>40</v>
      </c>
      <c r="B187">
        <v>18</v>
      </c>
      <c r="C187">
        <v>44000</v>
      </c>
      <c r="D187" t="s">
        <v>76</v>
      </c>
      <c r="E187" t="s">
        <v>72</v>
      </c>
      <c r="F187" t="s">
        <v>73</v>
      </c>
    </row>
    <row r="188" spans="1:6" x14ac:dyDescent="0.45">
      <c r="A188">
        <v>45</v>
      </c>
      <c r="B188">
        <v>18</v>
      </c>
      <c r="C188">
        <v>44000</v>
      </c>
      <c r="D188" t="s">
        <v>71</v>
      </c>
      <c r="E188" t="s">
        <v>72</v>
      </c>
      <c r="F188" t="s">
        <v>73</v>
      </c>
    </row>
    <row r="189" spans="1:6" x14ac:dyDescent="0.45">
      <c r="A189">
        <v>60</v>
      </c>
      <c r="B189">
        <v>18</v>
      </c>
      <c r="C189">
        <v>44000</v>
      </c>
      <c r="D189" t="s">
        <v>71</v>
      </c>
      <c r="E189" t="s">
        <v>74</v>
      </c>
      <c r="F189" t="s">
        <v>73</v>
      </c>
    </row>
    <row r="190" spans="1:6" x14ac:dyDescent="0.45">
      <c r="A190">
        <v>50</v>
      </c>
      <c r="B190">
        <v>18</v>
      </c>
      <c r="C190">
        <v>44100</v>
      </c>
      <c r="D190" t="s">
        <v>71</v>
      </c>
      <c r="E190" t="s">
        <v>72</v>
      </c>
      <c r="F190" t="s">
        <v>73</v>
      </c>
    </row>
    <row r="191" spans="1:6" x14ac:dyDescent="0.45">
      <c r="A191">
        <v>0</v>
      </c>
      <c r="B191">
        <v>18</v>
      </c>
      <c r="C191">
        <v>45000</v>
      </c>
      <c r="D191" t="s">
        <v>71</v>
      </c>
      <c r="E191" t="s">
        <v>72</v>
      </c>
      <c r="F191" t="s">
        <v>73</v>
      </c>
    </row>
    <row r="192" spans="1:6" x14ac:dyDescent="0.45">
      <c r="A192">
        <v>40</v>
      </c>
      <c r="B192">
        <v>18</v>
      </c>
      <c r="C192">
        <v>45000</v>
      </c>
      <c r="D192" t="s">
        <v>71</v>
      </c>
      <c r="E192" t="s">
        <v>72</v>
      </c>
      <c r="F192" t="s">
        <v>73</v>
      </c>
    </row>
    <row r="193" spans="1:6" x14ac:dyDescent="0.45">
      <c r="A193">
        <v>40</v>
      </c>
      <c r="B193">
        <v>18</v>
      </c>
      <c r="C193">
        <v>45000</v>
      </c>
      <c r="D193" t="s">
        <v>71</v>
      </c>
      <c r="E193" t="s">
        <v>72</v>
      </c>
      <c r="F193" t="s">
        <v>73</v>
      </c>
    </row>
    <row r="194" spans="1:6" x14ac:dyDescent="0.45">
      <c r="A194">
        <v>40</v>
      </c>
      <c r="B194">
        <v>18</v>
      </c>
      <c r="C194">
        <v>45000</v>
      </c>
      <c r="D194" t="s">
        <v>71</v>
      </c>
      <c r="E194" t="s">
        <v>72</v>
      </c>
      <c r="F194" t="s">
        <v>73</v>
      </c>
    </row>
    <row r="195" spans="1:6" x14ac:dyDescent="0.45">
      <c r="A195">
        <v>45</v>
      </c>
      <c r="B195">
        <v>18</v>
      </c>
      <c r="C195">
        <v>45000</v>
      </c>
      <c r="D195" t="s">
        <v>71</v>
      </c>
      <c r="E195" t="s">
        <v>74</v>
      </c>
      <c r="F195" t="s">
        <v>73</v>
      </c>
    </row>
    <row r="196" spans="1:6" x14ac:dyDescent="0.45">
      <c r="A196">
        <v>0</v>
      </c>
      <c r="B196">
        <v>18</v>
      </c>
      <c r="C196">
        <v>45000</v>
      </c>
      <c r="D196" t="s">
        <v>71</v>
      </c>
      <c r="E196" t="s">
        <v>74</v>
      </c>
      <c r="F196" t="s">
        <v>73</v>
      </c>
    </row>
    <row r="197" spans="1:6" x14ac:dyDescent="0.45">
      <c r="A197">
        <v>50</v>
      </c>
      <c r="B197">
        <v>18</v>
      </c>
      <c r="C197">
        <v>45000</v>
      </c>
      <c r="D197" t="s">
        <v>71</v>
      </c>
      <c r="E197" t="s">
        <v>74</v>
      </c>
      <c r="F197" t="s">
        <v>73</v>
      </c>
    </row>
    <row r="198" spans="1:6" x14ac:dyDescent="0.45">
      <c r="A198">
        <v>40</v>
      </c>
      <c r="B198">
        <v>18</v>
      </c>
      <c r="C198">
        <v>45000</v>
      </c>
      <c r="D198" t="s">
        <v>76</v>
      </c>
      <c r="E198" t="s">
        <v>74</v>
      </c>
      <c r="F198" t="s">
        <v>73</v>
      </c>
    </row>
    <row r="199" spans="1:6" x14ac:dyDescent="0.45">
      <c r="A199">
        <v>50</v>
      </c>
      <c r="B199">
        <v>18</v>
      </c>
      <c r="C199">
        <v>45000</v>
      </c>
      <c r="D199" t="s">
        <v>71</v>
      </c>
      <c r="E199" t="s">
        <v>74</v>
      </c>
      <c r="F199" t="s">
        <v>73</v>
      </c>
    </row>
    <row r="200" spans="1:6" x14ac:dyDescent="0.45">
      <c r="A200">
        <v>50</v>
      </c>
      <c r="B200">
        <v>18</v>
      </c>
      <c r="C200">
        <v>45000</v>
      </c>
      <c r="D200" t="s">
        <v>71</v>
      </c>
      <c r="E200" t="s">
        <v>72</v>
      </c>
      <c r="F200" t="s">
        <v>73</v>
      </c>
    </row>
    <row r="201" spans="1:6" x14ac:dyDescent="0.45">
      <c r="A201">
        <v>40</v>
      </c>
      <c r="B201">
        <v>18</v>
      </c>
      <c r="C201">
        <v>45000</v>
      </c>
      <c r="D201" t="s">
        <v>75</v>
      </c>
      <c r="E201" t="s">
        <v>74</v>
      </c>
      <c r="F201" t="s">
        <v>73</v>
      </c>
    </row>
    <row r="202" spans="1:6" x14ac:dyDescent="0.45">
      <c r="A202">
        <v>40</v>
      </c>
      <c r="B202">
        <v>18</v>
      </c>
      <c r="C202">
        <v>45000</v>
      </c>
      <c r="D202" t="s">
        <v>71</v>
      </c>
      <c r="E202" t="s">
        <v>72</v>
      </c>
      <c r="F202" t="s">
        <v>73</v>
      </c>
    </row>
    <row r="203" spans="1:6" x14ac:dyDescent="0.45">
      <c r="A203">
        <v>0</v>
      </c>
      <c r="B203">
        <v>18</v>
      </c>
      <c r="C203">
        <v>45000</v>
      </c>
      <c r="D203" t="s">
        <v>71</v>
      </c>
      <c r="E203" t="s">
        <v>72</v>
      </c>
      <c r="F203" t="s">
        <v>73</v>
      </c>
    </row>
    <row r="204" spans="1:6" x14ac:dyDescent="0.45">
      <c r="A204">
        <v>40</v>
      </c>
      <c r="B204">
        <v>18</v>
      </c>
      <c r="C204">
        <v>45000</v>
      </c>
      <c r="D204" t="s">
        <v>71</v>
      </c>
      <c r="E204" t="s">
        <v>72</v>
      </c>
      <c r="F204" t="s">
        <v>73</v>
      </c>
    </row>
    <row r="205" spans="1:6" x14ac:dyDescent="0.45">
      <c r="A205">
        <v>50</v>
      </c>
      <c r="B205">
        <v>18</v>
      </c>
      <c r="C205">
        <v>45600</v>
      </c>
      <c r="D205" t="s">
        <v>71</v>
      </c>
      <c r="E205" t="s">
        <v>72</v>
      </c>
      <c r="F205" t="s">
        <v>73</v>
      </c>
    </row>
    <row r="206" spans="1:6" x14ac:dyDescent="0.45">
      <c r="A206">
        <v>50</v>
      </c>
      <c r="B206">
        <v>18</v>
      </c>
      <c r="C206">
        <v>45600</v>
      </c>
      <c r="D206" t="s">
        <v>71</v>
      </c>
      <c r="E206" t="s">
        <v>72</v>
      </c>
      <c r="F206" t="s">
        <v>73</v>
      </c>
    </row>
    <row r="207" spans="1:6" x14ac:dyDescent="0.45">
      <c r="A207">
        <v>0</v>
      </c>
      <c r="B207">
        <v>18</v>
      </c>
      <c r="C207">
        <v>46480</v>
      </c>
      <c r="D207" t="s">
        <v>71</v>
      </c>
      <c r="E207" t="s">
        <v>72</v>
      </c>
      <c r="F207" t="s">
        <v>73</v>
      </c>
    </row>
    <row r="208" spans="1:6" x14ac:dyDescent="0.45">
      <c r="A208">
        <v>40</v>
      </c>
      <c r="B208">
        <v>18</v>
      </c>
      <c r="C208">
        <v>47000</v>
      </c>
      <c r="D208" t="s">
        <v>71</v>
      </c>
      <c r="E208" t="s">
        <v>72</v>
      </c>
      <c r="F208" t="s">
        <v>73</v>
      </c>
    </row>
    <row r="209" spans="1:6" x14ac:dyDescent="0.45">
      <c r="A209">
        <v>0</v>
      </c>
      <c r="B209">
        <v>18</v>
      </c>
      <c r="C209">
        <v>47000</v>
      </c>
      <c r="D209" t="s">
        <v>71</v>
      </c>
      <c r="E209" t="s">
        <v>74</v>
      </c>
      <c r="F209" t="s">
        <v>73</v>
      </c>
    </row>
    <row r="210" spans="1:6" x14ac:dyDescent="0.45">
      <c r="A210">
        <v>45</v>
      </c>
      <c r="B210">
        <v>18</v>
      </c>
      <c r="C210">
        <v>47000</v>
      </c>
      <c r="D210" t="s">
        <v>71</v>
      </c>
      <c r="E210" t="s">
        <v>72</v>
      </c>
      <c r="F210" t="s">
        <v>73</v>
      </c>
    </row>
    <row r="211" spans="1:6" x14ac:dyDescent="0.45">
      <c r="A211">
        <v>45</v>
      </c>
      <c r="B211">
        <v>18</v>
      </c>
      <c r="C211">
        <v>47000</v>
      </c>
      <c r="D211" t="s">
        <v>71</v>
      </c>
      <c r="E211" t="s">
        <v>74</v>
      </c>
      <c r="F211" t="s">
        <v>73</v>
      </c>
    </row>
    <row r="212" spans="1:6" x14ac:dyDescent="0.45">
      <c r="A212">
        <v>40</v>
      </c>
      <c r="B212">
        <v>18</v>
      </c>
      <c r="C212">
        <v>47000</v>
      </c>
      <c r="D212" t="s">
        <v>71</v>
      </c>
      <c r="E212" t="s">
        <v>74</v>
      </c>
      <c r="F212" t="s">
        <v>73</v>
      </c>
    </row>
    <row r="213" spans="1:6" x14ac:dyDescent="0.45">
      <c r="A213">
        <v>44</v>
      </c>
      <c r="B213">
        <v>18</v>
      </c>
      <c r="C213">
        <v>47000</v>
      </c>
      <c r="D213" t="s">
        <v>71</v>
      </c>
      <c r="E213" t="s">
        <v>72</v>
      </c>
      <c r="F213" t="s">
        <v>73</v>
      </c>
    </row>
    <row r="214" spans="1:6" x14ac:dyDescent="0.45">
      <c r="A214">
        <v>50</v>
      </c>
      <c r="B214">
        <v>18</v>
      </c>
      <c r="C214">
        <v>47500</v>
      </c>
      <c r="D214" t="s">
        <v>71</v>
      </c>
      <c r="E214" t="s">
        <v>74</v>
      </c>
      <c r="F214" t="s">
        <v>73</v>
      </c>
    </row>
    <row r="215" spans="1:6" x14ac:dyDescent="0.45">
      <c r="A215">
        <v>75</v>
      </c>
      <c r="B215">
        <v>18</v>
      </c>
      <c r="C215">
        <v>47905</v>
      </c>
      <c r="D215" t="s">
        <v>71</v>
      </c>
      <c r="E215" t="s">
        <v>74</v>
      </c>
      <c r="F215" t="s">
        <v>73</v>
      </c>
    </row>
    <row r="216" spans="1:6" x14ac:dyDescent="0.45">
      <c r="A216">
        <v>48</v>
      </c>
      <c r="B216">
        <v>18</v>
      </c>
      <c r="C216">
        <v>47905</v>
      </c>
      <c r="D216" t="s">
        <v>71</v>
      </c>
      <c r="E216" t="s">
        <v>74</v>
      </c>
      <c r="F216" t="s">
        <v>73</v>
      </c>
    </row>
    <row r="217" spans="1:6" x14ac:dyDescent="0.45">
      <c r="A217">
        <v>60</v>
      </c>
      <c r="B217">
        <v>18</v>
      </c>
      <c r="C217">
        <v>48000</v>
      </c>
      <c r="D217" t="s">
        <v>71</v>
      </c>
      <c r="E217" t="s">
        <v>74</v>
      </c>
      <c r="F217" t="s">
        <v>73</v>
      </c>
    </row>
    <row r="218" spans="1:6" x14ac:dyDescent="0.45">
      <c r="A218">
        <v>40</v>
      </c>
      <c r="B218">
        <v>18</v>
      </c>
      <c r="C218">
        <v>48000</v>
      </c>
      <c r="D218" t="s">
        <v>71</v>
      </c>
      <c r="E218" t="s">
        <v>74</v>
      </c>
      <c r="F218" t="s">
        <v>73</v>
      </c>
    </row>
    <row r="219" spans="1:6" x14ac:dyDescent="0.45">
      <c r="A219">
        <v>50</v>
      </c>
      <c r="B219">
        <v>18</v>
      </c>
      <c r="C219">
        <v>48000</v>
      </c>
      <c r="D219" t="s">
        <v>71</v>
      </c>
      <c r="E219" t="s">
        <v>74</v>
      </c>
      <c r="F219" t="s">
        <v>73</v>
      </c>
    </row>
    <row r="220" spans="1:6" x14ac:dyDescent="0.45">
      <c r="A220">
        <v>0</v>
      </c>
      <c r="B220">
        <v>18</v>
      </c>
      <c r="C220">
        <v>48000</v>
      </c>
      <c r="D220" t="s">
        <v>71</v>
      </c>
      <c r="E220" t="s">
        <v>72</v>
      </c>
      <c r="F220" t="s">
        <v>73</v>
      </c>
    </row>
    <row r="221" spans="1:6" x14ac:dyDescent="0.45">
      <c r="A221">
        <v>50</v>
      </c>
      <c r="B221">
        <v>18</v>
      </c>
      <c r="C221">
        <v>48500</v>
      </c>
      <c r="D221" t="s">
        <v>71</v>
      </c>
      <c r="E221" t="s">
        <v>74</v>
      </c>
      <c r="F221" t="s">
        <v>73</v>
      </c>
    </row>
    <row r="222" spans="1:6" x14ac:dyDescent="0.45">
      <c r="A222">
        <v>40</v>
      </c>
      <c r="B222">
        <v>18</v>
      </c>
      <c r="C222">
        <v>48500</v>
      </c>
      <c r="D222" t="s">
        <v>71</v>
      </c>
      <c r="E222" t="s">
        <v>72</v>
      </c>
      <c r="F222" t="s">
        <v>73</v>
      </c>
    </row>
    <row r="223" spans="1:6" x14ac:dyDescent="0.45">
      <c r="A223">
        <v>47</v>
      </c>
      <c r="B223">
        <v>18</v>
      </c>
      <c r="C223">
        <v>48514</v>
      </c>
      <c r="D223" t="s">
        <v>71</v>
      </c>
      <c r="E223" t="s">
        <v>72</v>
      </c>
      <c r="F223" t="s">
        <v>73</v>
      </c>
    </row>
    <row r="224" spans="1:6" x14ac:dyDescent="0.45">
      <c r="A224">
        <v>45</v>
      </c>
      <c r="B224">
        <v>18</v>
      </c>
      <c r="C224">
        <v>48802</v>
      </c>
      <c r="D224" t="s">
        <v>71</v>
      </c>
      <c r="E224" t="s">
        <v>72</v>
      </c>
      <c r="F224" t="s">
        <v>73</v>
      </c>
    </row>
    <row r="225" spans="1:6" x14ac:dyDescent="0.45">
      <c r="A225">
        <v>40</v>
      </c>
      <c r="B225">
        <v>18</v>
      </c>
      <c r="C225">
        <v>49000</v>
      </c>
      <c r="D225" t="s">
        <v>71</v>
      </c>
      <c r="E225" t="s">
        <v>74</v>
      </c>
      <c r="F225" t="s">
        <v>73</v>
      </c>
    </row>
    <row r="226" spans="1:6" x14ac:dyDescent="0.45">
      <c r="A226">
        <v>40</v>
      </c>
      <c r="B226">
        <v>18</v>
      </c>
      <c r="C226">
        <v>49000</v>
      </c>
      <c r="D226" t="s">
        <v>71</v>
      </c>
      <c r="E226" t="s">
        <v>72</v>
      </c>
      <c r="F226" t="s">
        <v>73</v>
      </c>
    </row>
    <row r="227" spans="1:6" x14ac:dyDescent="0.45">
      <c r="A227">
        <v>40</v>
      </c>
      <c r="B227">
        <v>18</v>
      </c>
      <c r="C227">
        <v>49000</v>
      </c>
      <c r="D227" t="s">
        <v>71</v>
      </c>
      <c r="E227" t="s">
        <v>74</v>
      </c>
      <c r="F227" t="s">
        <v>73</v>
      </c>
    </row>
    <row r="228" spans="1:6" x14ac:dyDescent="0.45">
      <c r="A228">
        <v>40</v>
      </c>
      <c r="B228">
        <v>18</v>
      </c>
      <c r="C228">
        <v>49000</v>
      </c>
      <c r="D228" t="s">
        <v>71</v>
      </c>
      <c r="E228" t="s">
        <v>74</v>
      </c>
      <c r="F228" t="s">
        <v>73</v>
      </c>
    </row>
    <row r="229" spans="1:6" x14ac:dyDescent="0.45">
      <c r="A229">
        <v>60</v>
      </c>
      <c r="B229">
        <v>18</v>
      </c>
      <c r="C229">
        <v>49500</v>
      </c>
      <c r="D229" t="s">
        <v>71</v>
      </c>
      <c r="E229" t="s">
        <v>74</v>
      </c>
      <c r="F229" t="s">
        <v>73</v>
      </c>
    </row>
    <row r="230" spans="1:6" x14ac:dyDescent="0.45">
      <c r="A230">
        <v>42</v>
      </c>
      <c r="B230">
        <v>18</v>
      </c>
      <c r="C230">
        <v>49580</v>
      </c>
      <c r="D230" t="s">
        <v>71</v>
      </c>
      <c r="E230" t="s">
        <v>72</v>
      </c>
      <c r="F230" t="s">
        <v>73</v>
      </c>
    </row>
    <row r="231" spans="1:6" x14ac:dyDescent="0.45">
      <c r="A231">
        <v>40</v>
      </c>
      <c r="B231">
        <v>18</v>
      </c>
      <c r="C231">
        <v>50000</v>
      </c>
      <c r="D231" t="s">
        <v>71</v>
      </c>
      <c r="E231" t="s">
        <v>74</v>
      </c>
      <c r="F231" t="s">
        <v>73</v>
      </c>
    </row>
    <row r="232" spans="1:6" x14ac:dyDescent="0.45">
      <c r="A232">
        <v>0</v>
      </c>
      <c r="B232">
        <v>18</v>
      </c>
      <c r="C232">
        <v>50000</v>
      </c>
      <c r="D232" t="s">
        <v>71</v>
      </c>
      <c r="E232" t="s">
        <v>74</v>
      </c>
      <c r="F232" t="s">
        <v>73</v>
      </c>
    </row>
    <row r="233" spans="1:6" x14ac:dyDescent="0.45">
      <c r="A233">
        <v>0</v>
      </c>
      <c r="B233">
        <v>18</v>
      </c>
      <c r="C233">
        <v>50000</v>
      </c>
      <c r="D233" t="s">
        <v>75</v>
      </c>
      <c r="E233" t="s">
        <v>74</v>
      </c>
      <c r="F233" t="s">
        <v>73</v>
      </c>
    </row>
    <row r="234" spans="1:6" x14ac:dyDescent="0.45">
      <c r="A234">
        <v>0</v>
      </c>
      <c r="B234">
        <v>18</v>
      </c>
      <c r="C234">
        <v>50000</v>
      </c>
      <c r="D234" t="s">
        <v>71</v>
      </c>
      <c r="E234" t="s">
        <v>74</v>
      </c>
      <c r="F234" t="s">
        <v>73</v>
      </c>
    </row>
    <row r="235" spans="1:6" x14ac:dyDescent="0.45">
      <c r="A235">
        <v>35</v>
      </c>
      <c r="B235">
        <v>18</v>
      </c>
      <c r="C235">
        <v>50000</v>
      </c>
      <c r="D235" t="s">
        <v>71</v>
      </c>
      <c r="E235" t="s">
        <v>74</v>
      </c>
      <c r="F235" t="s">
        <v>73</v>
      </c>
    </row>
    <row r="236" spans="1:6" x14ac:dyDescent="0.45">
      <c r="A236">
        <v>40</v>
      </c>
      <c r="B236">
        <v>18</v>
      </c>
      <c r="C236">
        <v>50000</v>
      </c>
      <c r="D236" t="s">
        <v>71</v>
      </c>
      <c r="E236" t="s">
        <v>74</v>
      </c>
      <c r="F236" t="s">
        <v>73</v>
      </c>
    </row>
    <row r="237" spans="1:6" x14ac:dyDescent="0.45">
      <c r="A237">
        <v>60</v>
      </c>
      <c r="B237">
        <v>18</v>
      </c>
      <c r="C237">
        <v>50000</v>
      </c>
      <c r="D237" t="s">
        <v>71</v>
      </c>
      <c r="E237" t="s">
        <v>72</v>
      </c>
      <c r="F237" t="s">
        <v>73</v>
      </c>
    </row>
    <row r="238" spans="1:6" x14ac:dyDescent="0.45">
      <c r="A238">
        <v>50</v>
      </c>
      <c r="B238">
        <v>18</v>
      </c>
      <c r="C238">
        <v>50000</v>
      </c>
      <c r="D238" t="s">
        <v>71</v>
      </c>
      <c r="E238" t="s">
        <v>72</v>
      </c>
      <c r="F238" t="s">
        <v>73</v>
      </c>
    </row>
    <row r="239" spans="1:6" x14ac:dyDescent="0.45">
      <c r="A239">
        <v>60</v>
      </c>
      <c r="B239">
        <v>18</v>
      </c>
      <c r="C239">
        <v>50000</v>
      </c>
      <c r="D239" t="s">
        <v>71</v>
      </c>
      <c r="E239" t="s">
        <v>72</v>
      </c>
      <c r="F239" t="s">
        <v>73</v>
      </c>
    </row>
    <row r="240" spans="1:6" x14ac:dyDescent="0.45">
      <c r="A240">
        <v>80</v>
      </c>
      <c r="B240">
        <v>18</v>
      </c>
      <c r="C240">
        <v>50000</v>
      </c>
      <c r="D240" t="s">
        <v>71</v>
      </c>
      <c r="E240" t="s">
        <v>74</v>
      </c>
      <c r="F240" t="s">
        <v>73</v>
      </c>
    </row>
    <row r="241" spans="1:6" x14ac:dyDescent="0.45">
      <c r="A241">
        <v>40</v>
      </c>
      <c r="B241">
        <v>18</v>
      </c>
      <c r="C241">
        <v>50000</v>
      </c>
      <c r="D241" t="s">
        <v>71</v>
      </c>
      <c r="E241" t="s">
        <v>72</v>
      </c>
      <c r="F241" t="s">
        <v>73</v>
      </c>
    </row>
    <row r="242" spans="1:6" x14ac:dyDescent="0.45">
      <c r="A242">
        <v>45</v>
      </c>
      <c r="B242">
        <v>18</v>
      </c>
      <c r="C242">
        <v>50000</v>
      </c>
      <c r="D242" t="s">
        <v>71</v>
      </c>
      <c r="E242" t="s">
        <v>74</v>
      </c>
      <c r="F242" t="s">
        <v>73</v>
      </c>
    </row>
    <row r="243" spans="1:6" x14ac:dyDescent="0.45">
      <c r="A243">
        <v>50</v>
      </c>
      <c r="B243">
        <v>18</v>
      </c>
      <c r="C243">
        <v>50000</v>
      </c>
      <c r="D243" t="s">
        <v>71</v>
      </c>
      <c r="E243" t="s">
        <v>72</v>
      </c>
      <c r="F243" t="s">
        <v>73</v>
      </c>
    </row>
    <row r="244" spans="1:6" x14ac:dyDescent="0.45">
      <c r="A244">
        <v>35</v>
      </c>
      <c r="B244">
        <v>18</v>
      </c>
      <c r="C244">
        <v>50000</v>
      </c>
      <c r="D244" t="s">
        <v>76</v>
      </c>
      <c r="E244" t="s">
        <v>72</v>
      </c>
      <c r="F244" t="s">
        <v>73</v>
      </c>
    </row>
    <row r="245" spans="1:6" x14ac:dyDescent="0.45">
      <c r="A245">
        <v>40</v>
      </c>
      <c r="B245">
        <v>18</v>
      </c>
      <c r="C245">
        <v>50000</v>
      </c>
      <c r="D245" t="s">
        <v>71</v>
      </c>
      <c r="E245" t="s">
        <v>72</v>
      </c>
      <c r="F245" t="s">
        <v>73</v>
      </c>
    </row>
    <row r="246" spans="1:6" x14ac:dyDescent="0.45">
      <c r="A246">
        <v>45</v>
      </c>
      <c r="B246">
        <v>18</v>
      </c>
      <c r="C246">
        <v>50000</v>
      </c>
      <c r="D246" t="s">
        <v>71</v>
      </c>
      <c r="E246" t="s">
        <v>74</v>
      </c>
      <c r="F246" t="s">
        <v>73</v>
      </c>
    </row>
    <row r="247" spans="1:6" x14ac:dyDescent="0.45">
      <c r="A247">
        <v>40</v>
      </c>
      <c r="B247">
        <v>18</v>
      </c>
      <c r="C247">
        <v>50000</v>
      </c>
      <c r="D247" t="s">
        <v>71</v>
      </c>
      <c r="E247" t="s">
        <v>72</v>
      </c>
      <c r="F247" t="s">
        <v>73</v>
      </c>
    </row>
    <row r="248" spans="1:6" x14ac:dyDescent="0.45">
      <c r="A248">
        <v>40</v>
      </c>
      <c r="B248">
        <v>18</v>
      </c>
      <c r="C248">
        <v>50000</v>
      </c>
      <c r="D248" t="s">
        <v>71</v>
      </c>
      <c r="E248" t="s">
        <v>72</v>
      </c>
      <c r="F248" t="s">
        <v>73</v>
      </c>
    </row>
    <row r="249" spans="1:6" x14ac:dyDescent="0.45">
      <c r="A249">
        <v>45</v>
      </c>
      <c r="B249">
        <v>18</v>
      </c>
      <c r="C249">
        <v>50000</v>
      </c>
      <c r="D249" t="s">
        <v>71</v>
      </c>
      <c r="E249" t="s">
        <v>72</v>
      </c>
      <c r="F249" t="s">
        <v>73</v>
      </c>
    </row>
    <row r="250" spans="1:6" x14ac:dyDescent="0.45">
      <c r="A250">
        <v>40</v>
      </c>
      <c r="B250">
        <v>18</v>
      </c>
      <c r="C250">
        <v>50000</v>
      </c>
      <c r="D250" t="s">
        <v>75</v>
      </c>
      <c r="E250" t="s">
        <v>74</v>
      </c>
      <c r="F250" t="s">
        <v>73</v>
      </c>
    </row>
    <row r="251" spans="1:6" x14ac:dyDescent="0.45">
      <c r="A251">
        <v>55</v>
      </c>
      <c r="B251">
        <v>18</v>
      </c>
      <c r="C251">
        <v>50000</v>
      </c>
      <c r="D251" t="s">
        <v>71</v>
      </c>
      <c r="E251" t="s">
        <v>74</v>
      </c>
      <c r="F251" t="s">
        <v>73</v>
      </c>
    </row>
    <row r="252" spans="1:6" x14ac:dyDescent="0.45">
      <c r="A252">
        <v>40</v>
      </c>
      <c r="B252">
        <v>18</v>
      </c>
      <c r="C252">
        <v>50000</v>
      </c>
      <c r="D252" t="s">
        <v>75</v>
      </c>
      <c r="E252" t="s">
        <v>74</v>
      </c>
      <c r="F252" t="s">
        <v>73</v>
      </c>
    </row>
    <row r="253" spans="1:6" x14ac:dyDescent="0.45">
      <c r="A253">
        <v>37</v>
      </c>
      <c r="B253">
        <v>18</v>
      </c>
      <c r="C253">
        <v>50000</v>
      </c>
      <c r="D253" t="s">
        <v>71</v>
      </c>
      <c r="E253" t="s">
        <v>72</v>
      </c>
      <c r="F253" t="s">
        <v>73</v>
      </c>
    </row>
    <row r="254" spans="1:6" x14ac:dyDescent="0.45">
      <c r="A254">
        <v>40</v>
      </c>
      <c r="B254">
        <v>18</v>
      </c>
      <c r="C254">
        <v>50000</v>
      </c>
      <c r="D254" t="s">
        <v>71</v>
      </c>
      <c r="E254" t="s">
        <v>72</v>
      </c>
      <c r="F254" t="s">
        <v>73</v>
      </c>
    </row>
    <row r="255" spans="1:6" x14ac:dyDescent="0.45">
      <c r="A255">
        <v>40</v>
      </c>
      <c r="B255">
        <v>18</v>
      </c>
      <c r="C255">
        <v>50000</v>
      </c>
      <c r="D255" t="s">
        <v>71</v>
      </c>
      <c r="E255" t="s">
        <v>72</v>
      </c>
      <c r="F255" t="s">
        <v>73</v>
      </c>
    </row>
    <row r="256" spans="1:6" x14ac:dyDescent="0.45">
      <c r="A256">
        <v>40</v>
      </c>
      <c r="B256">
        <v>18</v>
      </c>
      <c r="C256">
        <v>50000</v>
      </c>
      <c r="D256" t="s">
        <v>71</v>
      </c>
      <c r="E256" t="s">
        <v>72</v>
      </c>
      <c r="F256" t="s">
        <v>73</v>
      </c>
    </row>
    <row r="257" spans="1:6" x14ac:dyDescent="0.45">
      <c r="A257">
        <v>50</v>
      </c>
      <c r="B257">
        <v>18</v>
      </c>
      <c r="C257">
        <v>50000</v>
      </c>
      <c r="D257" t="s">
        <v>71</v>
      </c>
      <c r="E257" t="s">
        <v>74</v>
      </c>
      <c r="F257" t="s">
        <v>73</v>
      </c>
    </row>
    <row r="258" spans="1:6" x14ac:dyDescent="0.45">
      <c r="A258">
        <v>40</v>
      </c>
      <c r="B258">
        <v>18</v>
      </c>
      <c r="C258">
        <v>50000</v>
      </c>
      <c r="D258" t="s">
        <v>75</v>
      </c>
      <c r="E258" t="s">
        <v>72</v>
      </c>
      <c r="F258" t="s">
        <v>73</v>
      </c>
    </row>
    <row r="259" spans="1:6" x14ac:dyDescent="0.45">
      <c r="A259">
        <v>45</v>
      </c>
      <c r="B259">
        <v>18</v>
      </c>
      <c r="C259">
        <v>50000</v>
      </c>
      <c r="D259" t="s">
        <v>71</v>
      </c>
      <c r="E259" t="s">
        <v>72</v>
      </c>
      <c r="F259" t="s">
        <v>73</v>
      </c>
    </row>
    <row r="260" spans="1:6" x14ac:dyDescent="0.45">
      <c r="A260">
        <v>40</v>
      </c>
      <c r="B260">
        <v>18</v>
      </c>
      <c r="C260">
        <v>50000</v>
      </c>
      <c r="D260" t="s">
        <v>71</v>
      </c>
      <c r="E260" t="s">
        <v>72</v>
      </c>
      <c r="F260" t="s">
        <v>73</v>
      </c>
    </row>
    <row r="261" spans="1:6" x14ac:dyDescent="0.45">
      <c r="A261">
        <v>70</v>
      </c>
      <c r="B261">
        <v>18</v>
      </c>
      <c r="C261">
        <v>50000</v>
      </c>
      <c r="D261" t="s">
        <v>71</v>
      </c>
      <c r="E261" t="s">
        <v>72</v>
      </c>
      <c r="F261" t="s">
        <v>73</v>
      </c>
    </row>
    <row r="262" spans="1:6" x14ac:dyDescent="0.45">
      <c r="A262">
        <v>35</v>
      </c>
      <c r="B262">
        <v>18</v>
      </c>
      <c r="C262">
        <v>51000</v>
      </c>
      <c r="D262" t="s">
        <v>76</v>
      </c>
      <c r="E262" t="s">
        <v>72</v>
      </c>
      <c r="F262" t="s">
        <v>73</v>
      </c>
    </row>
    <row r="263" spans="1:6" x14ac:dyDescent="0.45">
      <c r="A263">
        <v>40</v>
      </c>
      <c r="B263">
        <v>18</v>
      </c>
      <c r="C263">
        <v>51000</v>
      </c>
      <c r="D263" t="s">
        <v>71</v>
      </c>
      <c r="E263" t="s">
        <v>72</v>
      </c>
      <c r="F263" t="s">
        <v>73</v>
      </c>
    </row>
    <row r="264" spans="1:6" x14ac:dyDescent="0.45">
      <c r="A264">
        <v>50</v>
      </c>
      <c r="B264">
        <v>18</v>
      </c>
      <c r="C264">
        <v>51200</v>
      </c>
      <c r="D264" t="s">
        <v>71</v>
      </c>
      <c r="E264" t="s">
        <v>72</v>
      </c>
      <c r="F264" t="s">
        <v>73</v>
      </c>
    </row>
    <row r="265" spans="1:6" x14ac:dyDescent="0.45">
      <c r="A265">
        <v>38</v>
      </c>
      <c r="B265">
        <v>18</v>
      </c>
      <c r="C265">
        <v>51678</v>
      </c>
      <c r="D265" t="s">
        <v>71</v>
      </c>
      <c r="E265" t="s">
        <v>74</v>
      </c>
      <c r="F265" t="s">
        <v>73</v>
      </c>
    </row>
    <row r="266" spans="1:6" x14ac:dyDescent="0.45">
      <c r="A266">
        <v>40</v>
      </c>
      <c r="B266">
        <v>18</v>
      </c>
      <c r="C266">
        <v>51705</v>
      </c>
      <c r="D266" t="s">
        <v>71</v>
      </c>
      <c r="E266" t="s">
        <v>74</v>
      </c>
      <c r="F266" t="s">
        <v>73</v>
      </c>
    </row>
    <row r="267" spans="1:6" x14ac:dyDescent="0.45">
      <c r="A267">
        <v>40</v>
      </c>
      <c r="B267">
        <v>18</v>
      </c>
      <c r="C267">
        <v>52000</v>
      </c>
      <c r="D267" t="s">
        <v>71</v>
      </c>
      <c r="E267" t="s">
        <v>72</v>
      </c>
      <c r="F267" t="s">
        <v>73</v>
      </c>
    </row>
    <row r="268" spans="1:6" x14ac:dyDescent="0.45">
      <c r="A268">
        <v>40</v>
      </c>
      <c r="B268">
        <v>18</v>
      </c>
      <c r="C268">
        <v>52000</v>
      </c>
      <c r="D268" t="s">
        <v>71</v>
      </c>
      <c r="E268" t="s">
        <v>72</v>
      </c>
      <c r="F268" t="s">
        <v>73</v>
      </c>
    </row>
    <row r="269" spans="1:6" x14ac:dyDescent="0.45">
      <c r="A269">
        <v>45</v>
      </c>
      <c r="B269">
        <v>18</v>
      </c>
      <c r="C269">
        <v>52000</v>
      </c>
      <c r="D269" t="s">
        <v>71</v>
      </c>
      <c r="E269" t="s">
        <v>74</v>
      </c>
      <c r="F269" t="s">
        <v>73</v>
      </c>
    </row>
    <row r="270" spans="1:6" x14ac:dyDescent="0.45">
      <c r="A270">
        <v>40</v>
      </c>
      <c r="B270">
        <v>18</v>
      </c>
      <c r="C270">
        <v>52000</v>
      </c>
      <c r="D270" t="s">
        <v>75</v>
      </c>
      <c r="E270" t="s">
        <v>72</v>
      </c>
      <c r="F270" t="s">
        <v>73</v>
      </c>
    </row>
    <row r="271" spans="1:6" x14ac:dyDescent="0.45">
      <c r="A271">
        <v>60</v>
      </c>
      <c r="B271">
        <v>18</v>
      </c>
      <c r="C271">
        <v>52000</v>
      </c>
      <c r="D271" t="s">
        <v>71</v>
      </c>
      <c r="E271" t="s">
        <v>72</v>
      </c>
      <c r="F271" t="s">
        <v>73</v>
      </c>
    </row>
    <row r="272" spans="1:6" x14ac:dyDescent="0.45">
      <c r="A272">
        <v>40</v>
      </c>
      <c r="B272">
        <v>18</v>
      </c>
      <c r="C272">
        <v>52000</v>
      </c>
      <c r="D272" t="s">
        <v>71</v>
      </c>
      <c r="E272" t="s">
        <v>74</v>
      </c>
      <c r="F272" t="s">
        <v>73</v>
      </c>
    </row>
    <row r="273" spans="1:6" x14ac:dyDescent="0.45">
      <c r="A273">
        <v>40</v>
      </c>
      <c r="B273">
        <v>18</v>
      </c>
      <c r="C273">
        <v>52000</v>
      </c>
      <c r="D273" t="s">
        <v>71</v>
      </c>
      <c r="E273" t="s">
        <v>74</v>
      </c>
      <c r="F273" t="s">
        <v>73</v>
      </c>
    </row>
    <row r="274" spans="1:6" x14ac:dyDescent="0.45">
      <c r="A274">
        <v>45</v>
      </c>
      <c r="B274">
        <v>18</v>
      </c>
      <c r="C274">
        <v>52000</v>
      </c>
      <c r="D274" t="s">
        <v>71</v>
      </c>
      <c r="E274" t="s">
        <v>74</v>
      </c>
      <c r="F274" t="s">
        <v>73</v>
      </c>
    </row>
    <row r="275" spans="1:6" x14ac:dyDescent="0.45">
      <c r="A275">
        <v>40</v>
      </c>
      <c r="B275">
        <v>18</v>
      </c>
      <c r="C275">
        <v>52000</v>
      </c>
      <c r="D275" t="s">
        <v>76</v>
      </c>
      <c r="E275" t="s">
        <v>72</v>
      </c>
      <c r="F275" t="s">
        <v>73</v>
      </c>
    </row>
    <row r="276" spans="1:6" x14ac:dyDescent="0.45">
      <c r="A276">
        <v>52</v>
      </c>
      <c r="B276">
        <v>18</v>
      </c>
      <c r="C276">
        <v>52000</v>
      </c>
      <c r="D276" t="s">
        <v>77</v>
      </c>
      <c r="E276" t="s">
        <v>74</v>
      </c>
      <c r="F276" t="s">
        <v>73</v>
      </c>
    </row>
    <row r="277" spans="1:6" x14ac:dyDescent="0.45">
      <c r="A277">
        <v>80</v>
      </c>
      <c r="B277">
        <v>18</v>
      </c>
      <c r="C277">
        <v>52500</v>
      </c>
      <c r="D277" t="s">
        <v>76</v>
      </c>
      <c r="E277" t="s">
        <v>74</v>
      </c>
      <c r="F277" t="s">
        <v>73</v>
      </c>
    </row>
    <row r="278" spans="1:6" x14ac:dyDescent="0.45">
      <c r="A278">
        <v>40</v>
      </c>
      <c r="B278">
        <v>18</v>
      </c>
      <c r="C278">
        <v>52500</v>
      </c>
      <c r="D278" t="s">
        <v>75</v>
      </c>
      <c r="E278" t="s">
        <v>72</v>
      </c>
      <c r="F278" t="s">
        <v>73</v>
      </c>
    </row>
    <row r="279" spans="1:6" x14ac:dyDescent="0.45">
      <c r="A279">
        <v>45</v>
      </c>
      <c r="B279">
        <v>18</v>
      </c>
      <c r="C279">
        <v>53000</v>
      </c>
      <c r="D279" t="s">
        <v>71</v>
      </c>
      <c r="E279" t="s">
        <v>72</v>
      </c>
      <c r="F279" t="s">
        <v>73</v>
      </c>
    </row>
    <row r="280" spans="1:6" x14ac:dyDescent="0.45">
      <c r="A280">
        <v>45</v>
      </c>
      <c r="B280">
        <v>18</v>
      </c>
      <c r="C280">
        <v>53000</v>
      </c>
      <c r="D280" t="s">
        <v>76</v>
      </c>
      <c r="E280" t="s">
        <v>72</v>
      </c>
      <c r="F280" t="s">
        <v>73</v>
      </c>
    </row>
    <row r="281" spans="1:6" x14ac:dyDescent="0.45">
      <c r="A281">
        <v>40</v>
      </c>
      <c r="B281">
        <v>18</v>
      </c>
      <c r="C281">
        <v>53000</v>
      </c>
      <c r="D281" t="s">
        <v>71</v>
      </c>
      <c r="E281" t="s">
        <v>72</v>
      </c>
      <c r="F281" t="s">
        <v>73</v>
      </c>
    </row>
    <row r="282" spans="1:6" x14ac:dyDescent="0.45">
      <c r="A282">
        <v>40</v>
      </c>
      <c r="B282">
        <v>18</v>
      </c>
      <c r="C282">
        <v>53000</v>
      </c>
      <c r="D282" t="s">
        <v>76</v>
      </c>
      <c r="E282" t="s">
        <v>72</v>
      </c>
      <c r="F282" t="s">
        <v>73</v>
      </c>
    </row>
    <row r="283" spans="1:6" x14ac:dyDescent="0.45">
      <c r="A283">
        <v>50</v>
      </c>
      <c r="B283">
        <v>18</v>
      </c>
      <c r="C283">
        <v>53000</v>
      </c>
      <c r="D283" t="s">
        <v>71</v>
      </c>
      <c r="E283" t="s">
        <v>74</v>
      </c>
      <c r="F283" t="s">
        <v>73</v>
      </c>
    </row>
    <row r="284" spans="1:6" x14ac:dyDescent="0.45">
      <c r="A284">
        <v>45</v>
      </c>
      <c r="B284">
        <v>18</v>
      </c>
      <c r="C284">
        <v>53000</v>
      </c>
      <c r="D284" t="s">
        <v>71</v>
      </c>
      <c r="E284" t="s">
        <v>74</v>
      </c>
      <c r="F284" t="s">
        <v>73</v>
      </c>
    </row>
    <row r="285" spans="1:6" x14ac:dyDescent="0.45">
      <c r="A285">
        <v>40</v>
      </c>
      <c r="B285">
        <v>18</v>
      </c>
      <c r="C285">
        <v>54000</v>
      </c>
      <c r="D285" t="s">
        <v>76</v>
      </c>
      <c r="E285" t="s">
        <v>72</v>
      </c>
      <c r="F285" t="s">
        <v>73</v>
      </c>
    </row>
    <row r="286" spans="1:6" x14ac:dyDescent="0.45">
      <c r="A286">
        <v>40</v>
      </c>
      <c r="B286">
        <v>18</v>
      </c>
      <c r="C286">
        <v>54000</v>
      </c>
      <c r="D286" t="s">
        <v>71</v>
      </c>
      <c r="E286" t="s">
        <v>74</v>
      </c>
      <c r="F286" t="s">
        <v>73</v>
      </c>
    </row>
    <row r="287" spans="1:6" x14ac:dyDescent="0.45">
      <c r="A287">
        <v>40</v>
      </c>
      <c r="B287">
        <v>18</v>
      </c>
      <c r="C287">
        <v>54000</v>
      </c>
      <c r="D287" t="s">
        <v>71</v>
      </c>
      <c r="E287" t="s">
        <v>74</v>
      </c>
      <c r="F287" t="s">
        <v>73</v>
      </c>
    </row>
    <row r="288" spans="1:6" x14ac:dyDescent="0.45">
      <c r="A288">
        <v>70</v>
      </c>
      <c r="B288">
        <v>18</v>
      </c>
      <c r="C288">
        <v>54000</v>
      </c>
      <c r="D288" t="s">
        <v>71</v>
      </c>
      <c r="E288" t="s">
        <v>72</v>
      </c>
      <c r="F288" t="s">
        <v>73</v>
      </c>
    </row>
    <row r="289" spans="1:6" x14ac:dyDescent="0.45">
      <c r="A289">
        <v>40</v>
      </c>
      <c r="B289">
        <v>18</v>
      </c>
      <c r="C289">
        <v>54044</v>
      </c>
      <c r="D289" t="s">
        <v>71</v>
      </c>
      <c r="E289" t="s">
        <v>72</v>
      </c>
      <c r="F289" t="s">
        <v>73</v>
      </c>
    </row>
    <row r="290" spans="1:6" x14ac:dyDescent="0.45">
      <c r="A290">
        <v>50</v>
      </c>
      <c r="B290">
        <v>18</v>
      </c>
      <c r="C290">
        <v>54617</v>
      </c>
      <c r="D290" t="s">
        <v>71</v>
      </c>
      <c r="E290" t="s">
        <v>72</v>
      </c>
      <c r="F290" t="s">
        <v>73</v>
      </c>
    </row>
    <row r="291" spans="1:6" x14ac:dyDescent="0.45">
      <c r="A291">
        <v>47</v>
      </c>
      <c r="B291">
        <v>18</v>
      </c>
      <c r="C291">
        <v>55000</v>
      </c>
      <c r="D291" t="s">
        <v>71</v>
      </c>
      <c r="E291" t="s">
        <v>72</v>
      </c>
      <c r="F291" t="s">
        <v>73</v>
      </c>
    </row>
    <row r="292" spans="1:6" x14ac:dyDescent="0.45">
      <c r="A292">
        <v>40</v>
      </c>
      <c r="B292">
        <v>18</v>
      </c>
      <c r="C292">
        <v>55000</v>
      </c>
      <c r="D292" t="s">
        <v>71</v>
      </c>
      <c r="E292" t="s">
        <v>74</v>
      </c>
      <c r="F292" t="s">
        <v>73</v>
      </c>
    </row>
    <row r="293" spans="1:6" x14ac:dyDescent="0.45">
      <c r="A293">
        <v>40</v>
      </c>
      <c r="B293">
        <v>18</v>
      </c>
      <c r="C293">
        <v>55000</v>
      </c>
      <c r="D293" t="s">
        <v>71</v>
      </c>
      <c r="E293" t="s">
        <v>74</v>
      </c>
      <c r="F293" t="s">
        <v>73</v>
      </c>
    </row>
    <row r="294" spans="1:6" x14ac:dyDescent="0.45">
      <c r="A294">
        <v>40</v>
      </c>
      <c r="B294">
        <v>18</v>
      </c>
      <c r="C294">
        <v>55000</v>
      </c>
      <c r="D294" t="s">
        <v>71</v>
      </c>
      <c r="E294" t="s">
        <v>74</v>
      </c>
      <c r="F294" t="s">
        <v>73</v>
      </c>
    </row>
    <row r="295" spans="1:6" x14ac:dyDescent="0.45">
      <c r="A295">
        <v>60</v>
      </c>
      <c r="B295">
        <v>18</v>
      </c>
      <c r="C295">
        <v>55000</v>
      </c>
      <c r="D295" t="s">
        <v>71</v>
      </c>
      <c r="E295" t="s">
        <v>72</v>
      </c>
      <c r="F295" t="s">
        <v>73</v>
      </c>
    </row>
    <row r="296" spans="1:6" x14ac:dyDescent="0.45">
      <c r="A296">
        <v>40</v>
      </c>
      <c r="B296">
        <v>18</v>
      </c>
      <c r="C296">
        <v>55000</v>
      </c>
      <c r="D296" t="s">
        <v>76</v>
      </c>
      <c r="E296" t="s">
        <v>74</v>
      </c>
      <c r="F296" t="s">
        <v>73</v>
      </c>
    </row>
    <row r="297" spans="1:6" x14ac:dyDescent="0.45">
      <c r="A297">
        <v>40</v>
      </c>
      <c r="B297">
        <v>18</v>
      </c>
      <c r="C297">
        <v>55000</v>
      </c>
      <c r="D297" t="s">
        <v>71</v>
      </c>
      <c r="E297" t="s">
        <v>74</v>
      </c>
      <c r="F297" t="s">
        <v>73</v>
      </c>
    </row>
    <row r="298" spans="1:6" x14ac:dyDescent="0.45">
      <c r="A298">
        <v>40</v>
      </c>
      <c r="B298">
        <v>18</v>
      </c>
      <c r="C298">
        <v>55000</v>
      </c>
      <c r="D298" t="s">
        <v>71</v>
      </c>
      <c r="E298" t="s">
        <v>72</v>
      </c>
      <c r="F298" t="s">
        <v>73</v>
      </c>
    </row>
    <row r="299" spans="1:6" x14ac:dyDescent="0.45">
      <c r="A299">
        <v>50</v>
      </c>
      <c r="B299">
        <v>18</v>
      </c>
      <c r="C299">
        <v>55000</v>
      </c>
      <c r="D299" t="s">
        <v>71</v>
      </c>
      <c r="E299" t="s">
        <v>74</v>
      </c>
      <c r="F299" t="s">
        <v>73</v>
      </c>
    </row>
    <row r="300" spans="1:6" x14ac:dyDescent="0.45">
      <c r="A300">
        <v>40</v>
      </c>
      <c r="B300">
        <v>18</v>
      </c>
      <c r="C300">
        <v>55000</v>
      </c>
      <c r="D300" t="s">
        <v>71</v>
      </c>
      <c r="E300" t="s">
        <v>74</v>
      </c>
      <c r="F300" t="s">
        <v>73</v>
      </c>
    </row>
    <row r="301" spans="1:6" x14ac:dyDescent="0.45">
      <c r="A301">
        <v>50</v>
      </c>
      <c r="B301">
        <v>18</v>
      </c>
      <c r="C301">
        <v>55000</v>
      </c>
      <c r="D301" t="s">
        <v>71</v>
      </c>
      <c r="E301" t="s">
        <v>72</v>
      </c>
      <c r="F301" t="s">
        <v>73</v>
      </c>
    </row>
    <row r="302" spans="1:6" x14ac:dyDescent="0.45">
      <c r="A302">
        <v>40</v>
      </c>
      <c r="B302">
        <v>18</v>
      </c>
      <c r="C302">
        <v>55000</v>
      </c>
      <c r="D302" t="s">
        <v>75</v>
      </c>
      <c r="E302" t="s">
        <v>74</v>
      </c>
      <c r="F302" t="s">
        <v>73</v>
      </c>
    </row>
    <row r="303" spans="1:6" x14ac:dyDescent="0.45">
      <c r="A303">
        <v>80</v>
      </c>
      <c r="B303">
        <v>18</v>
      </c>
      <c r="C303">
        <v>55000</v>
      </c>
      <c r="D303" t="s">
        <v>71</v>
      </c>
      <c r="E303" t="s">
        <v>74</v>
      </c>
      <c r="F303" t="s">
        <v>73</v>
      </c>
    </row>
    <row r="304" spans="1:6" x14ac:dyDescent="0.45">
      <c r="A304">
        <v>40</v>
      </c>
      <c r="B304">
        <v>18</v>
      </c>
      <c r="C304">
        <v>55000</v>
      </c>
      <c r="D304" t="s">
        <v>71</v>
      </c>
      <c r="E304" t="s">
        <v>74</v>
      </c>
      <c r="F304" t="s">
        <v>73</v>
      </c>
    </row>
    <row r="305" spans="1:6" x14ac:dyDescent="0.45">
      <c r="A305">
        <v>40</v>
      </c>
      <c r="B305">
        <v>18</v>
      </c>
      <c r="C305">
        <v>55800</v>
      </c>
      <c r="D305" t="s">
        <v>71</v>
      </c>
      <c r="E305" t="s">
        <v>72</v>
      </c>
      <c r="F305" t="s">
        <v>73</v>
      </c>
    </row>
    <row r="306" spans="1:6" x14ac:dyDescent="0.45">
      <c r="A306">
        <v>0</v>
      </c>
      <c r="B306">
        <v>18</v>
      </c>
      <c r="C306">
        <v>56000</v>
      </c>
      <c r="D306" t="s">
        <v>71</v>
      </c>
      <c r="E306" t="s">
        <v>72</v>
      </c>
      <c r="F306" t="s">
        <v>73</v>
      </c>
    </row>
    <row r="307" spans="1:6" x14ac:dyDescent="0.45">
      <c r="A307">
        <v>40</v>
      </c>
      <c r="B307">
        <v>18</v>
      </c>
      <c r="C307">
        <v>56000</v>
      </c>
      <c r="D307" t="s">
        <v>71</v>
      </c>
      <c r="E307" t="s">
        <v>72</v>
      </c>
      <c r="F307" t="s">
        <v>73</v>
      </c>
    </row>
    <row r="308" spans="1:6" x14ac:dyDescent="0.45">
      <c r="A308">
        <v>70</v>
      </c>
      <c r="B308">
        <v>18</v>
      </c>
      <c r="C308">
        <v>56000</v>
      </c>
      <c r="D308" t="s">
        <v>71</v>
      </c>
      <c r="E308" t="s">
        <v>74</v>
      </c>
      <c r="F308" t="s">
        <v>73</v>
      </c>
    </row>
    <row r="309" spans="1:6" x14ac:dyDescent="0.45">
      <c r="A309">
        <v>40</v>
      </c>
      <c r="B309">
        <v>18</v>
      </c>
      <c r="C309">
        <v>56535</v>
      </c>
      <c r="D309" t="s">
        <v>71</v>
      </c>
      <c r="E309" t="s">
        <v>74</v>
      </c>
      <c r="F309" t="s">
        <v>73</v>
      </c>
    </row>
    <row r="310" spans="1:6" x14ac:dyDescent="0.45">
      <c r="A310">
        <v>36</v>
      </c>
      <c r="B310">
        <v>18</v>
      </c>
      <c r="C310">
        <v>57000</v>
      </c>
      <c r="D310" t="s">
        <v>71</v>
      </c>
      <c r="E310" t="s">
        <v>74</v>
      </c>
      <c r="F310" t="s">
        <v>73</v>
      </c>
    </row>
    <row r="311" spans="1:6" x14ac:dyDescent="0.45">
      <c r="A311">
        <v>50</v>
      </c>
      <c r="B311">
        <v>18</v>
      </c>
      <c r="C311">
        <v>57000</v>
      </c>
      <c r="D311" t="s">
        <v>76</v>
      </c>
      <c r="E311" t="s">
        <v>74</v>
      </c>
      <c r="F311" t="s">
        <v>73</v>
      </c>
    </row>
    <row r="312" spans="1:6" x14ac:dyDescent="0.45">
      <c r="A312">
        <v>50</v>
      </c>
      <c r="B312">
        <v>18</v>
      </c>
      <c r="C312">
        <v>57000</v>
      </c>
      <c r="D312" t="s">
        <v>71</v>
      </c>
      <c r="E312" t="s">
        <v>74</v>
      </c>
      <c r="F312" t="s">
        <v>73</v>
      </c>
    </row>
    <row r="313" spans="1:6" x14ac:dyDescent="0.45">
      <c r="A313">
        <v>37</v>
      </c>
      <c r="B313">
        <v>18</v>
      </c>
      <c r="C313">
        <v>57000</v>
      </c>
      <c r="D313" t="s">
        <v>71</v>
      </c>
      <c r="E313" t="s">
        <v>72</v>
      </c>
      <c r="F313" t="s">
        <v>73</v>
      </c>
    </row>
    <row r="314" spans="1:6" x14ac:dyDescent="0.45">
      <c r="A314">
        <v>40</v>
      </c>
      <c r="B314">
        <v>18</v>
      </c>
      <c r="C314">
        <v>57000</v>
      </c>
      <c r="D314" t="s">
        <v>71</v>
      </c>
      <c r="E314" t="s">
        <v>72</v>
      </c>
      <c r="F314" t="s">
        <v>73</v>
      </c>
    </row>
    <row r="315" spans="1:6" x14ac:dyDescent="0.45">
      <c r="A315">
        <v>40</v>
      </c>
      <c r="B315">
        <v>18</v>
      </c>
      <c r="C315">
        <v>57000</v>
      </c>
      <c r="D315" t="s">
        <v>71</v>
      </c>
      <c r="E315" t="s">
        <v>74</v>
      </c>
      <c r="F315" t="s">
        <v>73</v>
      </c>
    </row>
    <row r="316" spans="1:6" x14ac:dyDescent="0.45">
      <c r="A316">
        <v>40</v>
      </c>
      <c r="B316">
        <v>18</v>
      </c>
      <c r="C316">
        <v>57000</v>
      </c>
      <c r="D316" t="s">
        <v>71</v>
      </c>
      <c r="E316" t="s">
        <v>72</v>
      </c>
      <c r="F316" t="s">
        <v>73</v>
      </c>
    </row>
    <row r="317" spans="1:6" x14ac:dyDescent="0.45">
      <c r="A317">
        <v>40</v>
      </c>
      <c r="B317">
        <v>18</v>
      </c>
      <c r="C317">
        <v>57240</v>
      </c>
      <c r="D317" t="s">
        <v>71</v>
      </c>
      <c r="E317" t="s">
        <v>72</v>
      </c>
      <c r="F317" t="s">
        <v>73</v>
      </c>
    </row>
    <row r="318" spans="1:6" x14ac:dyDescent="0.45">
      <c r="A318">
        <v>40</v>
      </c>
      <c r="B318">
        <v>18</v>
      </c>
      <c r="C318">
        <v>57500</v>
      </c>
      <c r="D318" t="s">
        <v>76</v>
      </c>
      <c r="E318" t="s">
        <v>74</v>
      </c>
      <c r="F318" t="s">
        <v>73</v>
      </c>
    </row>
    <row r="319" spans="1:6" x14ac:dyDescent="0.45">
      <c r="A319">
        <v>40</v>
      </c>
      <c r="B319">
        <v>18</v>
      </c>
      <c r="C319">
        <v>57800</v>
      </c>
      <c r="D319" t="s">
        <v>71</v>
      </c>
      <c r="E319" t="s">
        <v>74</v>
      </c>
      <c r="F319" t="s">
        <v>73</v>
      </c>
    </row>
    <row r="320" spans="1:6" x14ac:dyDescent="0.45">
      <c r="A320">
        <v>45</v>
      </c>
      <c r="B320">
        <v>18</v>
      </c>
      <c r="C320">
        <v>58000</v>
      </c>
      <c r="D320" t="s">
        <v>71</v>
      </c>
      <c r="E320" t="s">
        <v>72</v>
      </c>
      <c r="F320" t="s">
        <v>73</v>
      </c>
    </row>
    <row r="321" spans="1:6" x14ac:dyDescent="0.45">
      <c r="A321">
        <v>40</v>
      </c>
      <c r="B321">
        <v>18</v>
      </c>
      <c r="C321">
        <v>58000</v>
      </c>
      <c r="D321" t="s">
        <v>71</v>
      </c>
      <c r="E321" t="s">
        <v>74</v>
      </c>
      <c r="F321" t="s">
        <v>73</v>
      </c>
    </row>
    <row r="322" spans="1:6" x14ac:dyDescent="0.45">
      <c r="A322">
        <v>50</v>
      </c>
      <c r="B322">
        <v>18</v>
      </c>
      <c r="C322">
        <v>58000</v>
      </c>
      <c r="D322" t="s">
        <v>71</v>
      </c>
      <c r="E322" t="s">
        <v>74</v>
      </c>
      <c r="F322" t="s">
        <v>73</v>
      </c>
    </row>
    <row r="323" spans="1:6" x14ac:dyDescent="0.45">
      <c r="A323">
        <v>40</v>
      </c>
      <c r="B323">
        <v>18</v>
      </c>
      <c r="C323">
        <v>58000</v>
      </c>
      <c r="D323" t="s">
        <v>71</v>
      </c>
      <c r="E323" t="s">
        <v>74</v>
      </c>
      <c r="F323" t="s">
        <v>73</v>
      </c>
    </row>
    <row r="324" spans="1:6" x14ac:dyDescent="0.45">
      <c r="A324">
        <v>50</v>
      </c>
      <c r="B324">
        <v>18</v>
      </c>
      <c r="C324">
        <v>58000</v>
      </c>
      <c r="D324" t="s">
        <v>76</v>
      </c>
      <c r="E324" t="s">
        <v>72</v>
      </c>
      <c r="F324" t="s">
        <v>73</v>
      </c>
    </row>
    <row r="325" spans="1:6" x14ac:dyDescent="0.45">
      <c r="A325">
        <v>63</v>
      </c>
      <c r="B325">
        <v>18</v>
      </c>
      <c r="C325">
        <v>58700</v>
      </c>
      <c r="D325" t="s">
        <v>71</v>
      </c>
      <c r="E325" t="s">
        <v>74</v>
      </c>
      <c r="F325" t="s">
        <v>73</v>
      </c>
    </row>
    <row r="326" spans="1:6" x14ac:dyDescent="0.45">
      <c r="A326">
        <v>40</v>
      </c>
      <c r="B326">
        <v>18</v>
      </c>
      <c r="C326">
        <v>59000</v>
      </c>
      <c r="D326" t="s">
        <v>71</v>
      </c>
      <c r="E326" t="s">
        <v>72</v>
      </c>
      <c r="F326" t="s">
        <v>73</v>
      </c>
    </row>
    <row r="327" spans="1:6" x14ac:dyDescent="0.45">
      <c r="A327">
        <v>45</v>
      </c>
      <c r="B327">
        <v>18</v>
      </c>
      <c r="C327">
        <v>59000</v>
      </c>
      <c r="D327" t="s">
        <v>71</v>
      </c>
      <c r="E327" t="s">
        <v>72</v>
      </c>
      <c r="F327" t="s">
        <v>73</v>
      </c>
    </row>
    <row r="328" spans="1:6" x14ac:dyDescent="0.45">
      <c r="A328">
        <v>40</v>
      </c>
      <c r="B328">
        <v>18</v>
      </c>
      <c r="C328">
        <v>59000</v>
      </c>
      <c r="D328" t="s">
        <v>71</v>
      </c>
      <c r="E328" t="s">
        <v>72</v>
      </c>
      <c r="F328" t="s">
        <v>73</v>
      </c>
    </row>
    <row r="329" spans="1:6" x14ac:dyDescent="0.45">
      <c r="A329">
        <v>45</v>
      </c>
      <c r="B329">
        <v>18</v>
      </c>
      <c r="C329">
        <v>59500</v>
      </c>
      <c r="D329" t="s">
        <v>71</v>
      </c>
      <c r="E329" t="s">
        <v>74</v>
      </c>
      <c r="F329" t="s">
        <v>73</v>
      </c>
    </row>
    <row r="330" spans="1:6" x14ac:dyDescent="0.45">
      <c r="A330">
        <v>40</v>
      </c>
      <c r="B330">
        <v>18</v>
      </c>
      <c r="C330">
        <v>59925</v>
      </c>
      <c r="D330" t="s">
        <v>71</v>
      </c>
      <c r="E330" t="s">
        <v>74</v>
      </c>
      <c r="F330" t="s">
        <v>73</v>
      </c>
    </row>
    <row r="331" spans="1:6" x14ac:dyDescent="0.45">
      <c r="A331">
        <v>62</v>
      </c>
      <c r="B331">
        <v>18</v>
      </c>
      <c r="C331">
        <v>59925</v>
      </c>
      <c r="D331" t="s">
        <v>71</v>
      </c>
      <c r="E331" t="s">
        <v>74</v>
      </c>
      <c r="F331" t="s">
        <v>73</v>
      </c>
    </row>
    <row r="332" spans="1:6" x14ac:dyDescent="0.45">
      <c r="A332">
        <v>40</v>
      </c>
      <c r="B332">
        <v>18</v>
      </c>
      <c r="C332">
        <v>60000</v>
      </c>
      <c r="D332" t="s">
        <v>71</v>
      </c>
      <c r="E332" t="s">
        <v>72</v>
      </c>
      <c r="F332" t="s">
        <v>73</v>
      </c>
    </row>
    <row r="333" spans="1:6" x14ac:dyDescent="0.45">
      <c r="A333">
        <v>40</v>
      </c>
      <c r="B333">
        <v>18</v>
      </c>
      <c r="C333">
        <v>60000</v>
      </c>
      <c r="D333" t="s">
        <v>71</v>
      </c>
      <c r="E333" t="s">
        <v>74</v>
      </c>
      <c r="F333" t="s">
        <v>73</v>
      </c>
    </row>
    <row r="334" spans="1:6" x14ac:dyDescent="0.45">
      <c r="A334">
        <v>40</v>
      </c>
      <c r="B334">
        <v>18</v>
      </c>
      <c r="C334">
        <v>60000</v>
      </c>
      <c r="D334" t="s">
        <v>77</v>
      </c>
      <c r="E334" t="s">
        <v>74</v>
      </c>
      <c r="F334" t="s">
        <v>73</v>
      </c>
    </row>
    <row r="335" spans="1:6" x14ac:dyDescent="0.45">
      <c r="A335">
        <v>50</v>
      </c>
      <c r="B335">
        <v>18</v>
      </c>
      <c r="C335">
        <v>60000</v>
      </c>
      <c r="D335" t="s">
        <v>71</v>
      </c>
      <c r="E335" t="s">
        <v>74</v>
      </c>
      <c r="F335" t="s">
        <v>73</v>
      </c>
    </row>
    <row r="336" spans="1:6" x14ac:dyDescent="0.45">
      <c r="A336">
        <v>40</v>
      </c>
      <c r="B336">
        <v>18</v>
      </c>
      <c r="C336">
        <v>60000</v>
      </c>
      <c r="D336" t="s">
        <v>71</v>
      </c>
      <c r="E336" t="s">
        <v>74</v>
      </c>
      <c r="F336" t="s">
        <v>73</v>
      </c>
    </row>
    <row r="337" spans="1:6" x14ac:dyDescent="0.45">
      <c r="A337">
        <v>40</v>
      </c>
      <c r="B337">
        <v>18</v>
      </c>
      <c r="C337">
        <v>60000</v>
      </c>
      <c r="D337" t="s">
        <v>71</v>
      </c>
      <c r="E337" t="s">
        <v>74</v>
      </c>
      <c r="F337" t="s">
        <v>73</v>
      </c>
    </row>
    <row r="338" spans="1:6" x14ac:dyDescent="0.45">
      <c r="A338">
        <v>40</v>
      </c>
      <c r="B338">
        <v>18</v>
      </c>
      <c r="C338">
        <v>60000</v>
      </c>
      <c r="D338" t="s">
        <v>71</v>
      </c>
      <c r="E338" t="s">
        <v>74</v>
      </c>
      <c r="F338" t="s">
        <v>73</v>
      </c>
    </row>
    <row r="339" spans="1:6" x14ac:dyDescent="0.45">
      <c r="A339">
        <v>40</v>
      </c>
      <c r="B339">
        <v>18</v>
      </c>
      <c r="C339">
        <v>60000</v>
      </c>
      <c r="D339" t="s">
        <v>71</v>
      </c>
      <c r="E339" t="s">
        <v>74</v>
      </c>
      <c r="F339" t="s">
        <v>73</v>
      </c>
    </row>
    <row r="340" spans="1:6" x14ac:dyDescent="0.45">
      <c r="A340">
        <v>40</v>
      </c>
      <c r="B340">
        <v>18</v>
      </c>
      <c r="C340">
        <v>60000</v>
      </c>
      <c r="D340" t="s">
        <v>71</v>
      </c>
      <c r="E340" t="s">
        <v>74</v>
      </c>
      <c r="F340" t="s">
        <v>73</v>
      </c>
    </row>
    <row r="341" spans="1:6" x14ac:dyDescent="0.45">
      <c r="A341">
        <v>50</v>
      </c>
      <c r="B341">
        <v>18</v>
      </c>
      <c r="C341">
        <v>60000</v>
      </c>
      <c r="D341" t="s">
        <v>76</v>
      </c>
      <c r="E341" t="s">
        <v>74</v>
      </c>
      <c r="F341" t="s">
        <v>73</v>
      </c>
    </row>
    <row r="342" spans="1:6" x14ac:dyDescent="0.45">
      <c r="A342">
        <v>60</v>
      </c>
      <c r="B342">
        <v>18</v>
      </c>
      <c r="C342">
        <v>60000</v>
      </c>
      <c r="D342" t="s">
        <v>76</v>
      </c>
      <c r="E342" t="s">
        <v>72</v>
      </c>
      <c r="F342" t="s">
        <v>73</v>
      </c>
    </row>
    <row r="343" spans="1:6" x14ac:dyDescent="0.45">
      <c r="A343">
        <v>40</v>
      </c>
      <c r="B343">
        <v>18</v>
      </c>
      <c r="C343">
        <v>60000</v>
      </c>
      <c r="D343" t="s">
        <v>71</v>
      </c>
      <c r="E343" t="s">
        <v>72</v>
      </c>
      <c r="F343" t="s">
        <v>73</v>
      </c>
    </row>
    <row r="344" spans="1:6" x14ac:dyDescent="0.45">
      <c r="A344">
        <v>50</v>
      </c>
      <c r="B344">
        <v>18</v>
      </c>
      <c r="C344">
        <v>60000</v>
      </c>
      <c r="D344" t="s">
        <v>71</v>
      </c>
      <c r="E344" t="s">
        <v>74</v>
      </c>
      <c r="F344" t="s">
        <v>73</v>
      </c>
    </row>
    <row r="345" spans="1:6" x14ac:dyDescent="0.45">
      <c r="A345">
        <v>60</v>
      </c>
      <c r="B345">
        <v>18</v>
      </c>
      <c r="C345">
        <v>62000</v>
      </c>
      <c r="D345" t="s">
        <v>71</v>
      </c>
      <c r="E345" t="s">
        <v>72</v>
      </c>
      <c r="F345" t="s">
        <v>73</v>
      </c>
    </row>
    <row r="346" spans="1:6" x14ac:dyDescent="0.45">
      <c r="A346">
        <v>45</v>
      </c>
      <c r="B346">
        <v>18</v>
      </c>
      <c r="C346">
        <v>62000</v>
      </c>
      <c r="D346" t="s">
        <v>71</v>
      </c>
      <c r="E346" t="s">
        <v>74</v>
      </c>
      <c r="F346" t="s">
        <v>73</v>
      </c>
    </row>
    <row r="347" spans="1:6" x14ac:dyDescent="0.45">
      <c r="A347">
        <v>40</v>
      </c>
      <c r="B347">
        <v>18</v>
      </c>
      <c r="C347">
        <v>62000</v>
      </c>
      <c r="D347" t="s">
        <v>71</v>
      </c>
      <c r="E347" t="s">
        <v>74</v>
      </c>
      <c r="F347" t="s">
        <v>73</v>
      </c>
    </row>
    <row r="348" spans="1:6" x14ac:dyDescent="0.45">
      <c r="A348">
        <v>50</v>
      </c>
      <c r="B348">
        <v>18</v>
      </c>
      <c r="C348">
        <v>62000</v>
      </c>
      <c r="D348" t="s">
        <v>71</v>
      </c>
      <c r="E348" t="s">
        <v>74</v>
      </c>
      <c r="F348" t="s">
        <v>73</v>
      </c>
    </row>
    <row r="349" spans="1:6" x14ac:dyDescent="0.45">
      <c r="A349">
        <v>58</v>
      </c>
      <c r="B349">
        <v>18</v>
      </c>
      <c r="C349">
        <v>62000</v>
      </c>
      <c r="D349" t="s">
        <v>71</v>
      </c>
      <c r="E349" t="s">
        <v>74</v>
      </c>
      <c r="F349" t="s">
        <v>73</v>
      </c>
    </row>
    <row r="350" spans="1:6" x14ac:dyDescent="0.45">
      <c r="A350">
        <v>60</v>
      </c>
      <c r="B350">
        <v>18</v>
      </c>
      <c r="C350">
        <v>62000</v>
      </c>
      <c r="D350" t="s">
        <v>71</v>
      </c>
      <c r="E350" t="s">
        <v>74</v>
      </c>
      <c r="F350" t="s">
        <v>73</v>
      </c>
    </row>
    <row r="351" spans="1:6" x14ac:dyDescent="0.45">
      <c r="A351">
        <v>40</v>
      </c>
      <c r="B351">
        <v>18</v>
      </c>
      <c r="C351">
        <v>62200</v>
      </c>
      <c r="D351" t="s">
        <v>71</v>
      </c>
      <c r="E351" t="s">
        <v>74</v>
      </c>
      <c r="F351" t="s">
        <v>73</v>
      </c>
    </row>
    <row r="352" spans="1:6" x14ac:dyDescent="0.45">
      <c r="A352">
        <v>45</v>
      </c>
      <c r="B352">
        <v>18</v>
      </c>
      <c r="C352">
        <v>63000</v>
      </c>
      <c r="D352" t="s">
        <v>71</v>
      </c>
      <c r="E352" t="s">
        <v>74</v>
      </c>
      <c r="F352" t="s">
        <v>73</v>
      </c>
    </row>
    <row r="353" spans="1:6" x14ac:dyDescent="0.45">
      <c r="A353">
        <v>40</v>
      </c>
      <c r="B353">
        <v>18</v>
      </c>
      <c r="C353">
        <v>63000</v>
      </c>
      <c r="D353" t="s">
        <v>71</v>
      </c>
      <c r="E353" t="s">
        <v>74</v>
      </c>
      <c r="F353" t="s">
        <v>73</v>
      </c>
    </row>
    <row r="354" spans="1:6" x14ac:dyDescent="0.45">
      <c r="A354">
        <v>40</v>
      </c>
      <c r="B354">
        <v>18</v>
      </c>
      <c r="C354">
        <v>63000</v>
      </c>
      <c r="D354" t="s">
        <v>75</v>
      </c>
      <c r="E354" t="s">
        <v>74</v>
      </c>
      <c r="F354" t="s">
        <v>73</v>
      </c>
    </row>
    <row r="355" spans="1:6" x14ac:dyDescent="0.45">
      <c r="A355">
        <v>40</v>
      </c>
      <c r="B355">
        <v>18</v>
      </c>
      <c r="C355">
        <v>63826</v>
      </c>
      <c r="D355" t="s">
        <v>76</v>
      </c>
      <c r="E355" t="s">
        <v>72</v>
      </c>
      <c r="F355" t="s">
        <v>73</v>
      </c>
    </row>
    <row r="356" spans="1:6" x14ac:dyDescent="0.45">
      <c r="A356">
        <v>50</v>
      </c>
      <c r="B356">
        <v>18</v>
      </c>
      <c r="C356">
        <v>64000</v>
      </c>
      <c r="D356" t="s">
        <v>71</v>
      </c>
      <c r="E356" t="s">
        <v>74</v>
      </c>
      <c r="F356" t="s">
        <v>73</v>
      </c>
    </row>
    <row r="357" spans="1:6" x14ac:dyDescent="0.45">
      <c r="A357">
        <v>40</v>
      </c>
      <c r="B357">
        <v>18</v>
      </c>
      <c r="C357">
        <v>64000</v>
      </c>
      <c r="D357" t="s">
        <v>71</v>
      </c>
      <c r="E357" t="s">
        <v>72</v>
      </c>
      <c r="F357" t="s">
        <v>73</v>
      </c>
    </row>
    <row r="358" spans="1:6" x14ac:dyDescent="0.45">
      <c r="A358">
        <v>43</v>
      </c>
      <c r="B358">
        <v>18</v>
      </c>
      <c r="C358">
        <v>64000</v>
      </c>
      <c r="D358" t="s">
        <v>71</v>
      </c>
      <c r="E358" t="s">
        <v>74</v>
      </c>
      <c r="F358" t="s">
        <v>73</v>
      </c>
    </row>
    <row r="359" spans="1:6" x14ac:dyDescent="0.45">
      <c r="A359">
        <v>40</v>
      </c>
      <c r="B359">
        <v>18</v>
      </c>
      <c r="C359">
        <v>64400</v>
      </c>
      <c r="D359" t="s">
        <v>71</v>
      </c>
      <c r="E359" t="s">
        <v>74</v>
      </c>
      <c r="F359" t="s">
        <v>73</v>
      </c>
    </row>
    <row r="360" spans="1:6" x14ac:dyDescent="0.45">
      <c r="A360">
        <v>65</v>
      </c>
      <c r="B360">
        <v>18</v>
      </c>
      <c r="C360">
        <v>65000</v>
      </c>
      <c r="D360" t="s">
        <v>71</v>
      </c>
      <c r="E360" t="s">
        <v>74</v>
      </c>
      <c r="F360" t="s">
        <v>73</v>
      </c>
    </row>
    <row r="361" spans="1:6" x14ac:dyDescent="0.45">
      <c r="A361">
        <v>42</v>
      </c>
      <c r="B361">
        <v>18</v>
      </c>
      <c r="C361">
        <v>65000</v>
      </c>
      <c r="D361" t="s">
        <v>71</v>
      </c>
      <c r="E361" t="s">
        <v>74</v>
      </c>
      <c r="F361" t="s">
        <v>73</v>
      </c>
    </row>
    <row r="362" spans="1:6" x14ac:dyDescent="0.45">
      <c r="A362">
        <v>0</v>
      </c>
      <c r="B362">
        <v>18</v>
      </c>
      <c r="C362">
        <v>65000</v>
      </c>
      <c r="D362" t="s">
        <v>71</v>
      </c>
      <c r="E362" t="s">
        <v>72</v>
      </c>
      <c r="F362" t="s">
        <v>73</v>
      </c>
    </row>
    <row r="363" spans="1:6" x14ac:dyDescent="0.45">
      <c r="A363">
        <v>40</v>
      </c>
      <c r="B363">
        <v>18</v>
      </c>
      <c r="C363">
        <v>65000</v>
      </c>
      <c r="D363" t="s">
        <v>71</v>
      </c>
      <c r="E363" t="s">
        <v>74</v>
      </c>
      <c r="F363" t="s">
        <v>73</v>
      </c>
    </row>
    <row r="364" spans="1:6" x14ac:dyDescent="0.45">
      <c r="A364">
        <v>50</v>
      </c>
      <c r="B364">
        <v>18</v>
      </c>
      <c r="C364">
        <v>65000</v>
      </c>
      <c r="D364" t="s">
        <v>71</v>
      </c>
      <c r="E364" t="s">
        <v>74</v>
      </c>
      <c r="F364" t="s">
        <v>73</v>
      </c>
    </row>
    <row r="365" spans="1:6" x14ac:dyDescent="0.45">
      <c r="A365">
        <v>72</v>
      </c>
      <c r="B365">
        <v>18</v>
      </c>
      <c r="C365">
        <v>65000</v>
      </c>
      <c r="D365" t="s">
        <v>71</v>
      </c>
      <c r="E365" t="s">
        <v>74</v>
      </c>
      <c r="F365" t="s">
        <v>73</v>
      </c>
    </row>
    <row r="366" spans="1:6" x14ac:dyDescent="0.45">
      <c r="A366">
        <v>40</v>
      </c>
      <c r="B366">
        <v>18</v>
      </c>
      <c r="C366">
        <v>65000</v>
      </c>
      <c r="D366" t="s">
        <v>71</v>
      </c>
      <c r="E366" t="s">
        <v>72</v>
      </c>
      <c r="F366" t="s">
        <v>73</v>
      </c>
    </row>
    <row r="367" spans="1:6" x14ac:dyDescent="0.45">
      <c r="A367">
        <v>60</v>
      </c>
      <c r="B367">
        <v>18</v>
      </c>
      <c r="C367">
        <v>65000</v>
      </c>
      <c r="D367" t="s">
        <v>71</v>
      </c>
      <c r="E367" t="s">
        <v>74</v>
      </c>
      <c r="F367" t="s">
        <v>73</v>
      </c>
    </row>
    <row r="368" spans="1:6" x14ac:dyDescent="0.45">
      <c r="A368">
        <v>50</v>
      </c>
      <c r="B368">
        <v>18</v>
      </c>
      <c r="C368">
        <v>65000</v>
      </c>
      <c r="D368" t="s">
        <v>71</v>
      </c>
      <c r="E368" t="s">
        <v>74</v>
      </c>
      <c r="F368" t="s">
        <v>73</v>
      </c>
    </row>
    <row r="369" spans="1:6" x14ac:dyDescent="0.45">
      <c r="A369">
        <v>50</v>
      </c>
      <c r="B369">
        <v>18</v>
      </c>
      <c r="C369">
        <v>65000</v>
      </c>
      <c r="D369" t="s">
        <v>71</v>
      </c>
      <c r="E369" t="s">
        <v>74</v>
      </c>
      <c r="F369" t="s">
        <v>73</v>
      </c>
    </row>
    <row r="370" spans="1:6" x14ac:dyDescent="0.45">
      <c r="A370">
        <v>50</v>
      </c>
      <c r="B370">
        <v>18</v>
      </c>
      <c r="C370">
        <v>65000</v>
      </c>
      <c r="D370" t="s">
        <v>71</v>
      </c>
      <c r="E370" t="s">
        <v>72</v>
      </c>
      <c r="F370" t="s">
        <v>73</v>
      </c>
    </row>
    <row r="371" spans="1:6" x14ac:dyDescent="0.45">
      <c r="A371">
        <v>50</v>
      </c>
      <c r="B371">
        <v>18</v>
      </c>
      <c r="C371">
        <v>65000</v>
      </c>
      <c r="D371" t="s">
        <v>71</v>
      </c>
      <c r="E371" t="s">
        <v>72</v>
      </c>
      <c r="F371" t="s">
        <v>73</v>
      </c>
    </row>
    <row r="372" spans="1:6" x14ac:dyDescent="0.45">
      <c r="A372">
        <v>50</v>
      </c>
      <c r="B372">
        <v>18</v>
      </c>
      <c r="C372">
        <v>65000</v>
      </c>
      <c r="D372" t="s">
        <v>71</v>
      </c>
      <c r="E372" t="s">
        <v>72</v>
      </c>
      <c r="F372" t="s">
        <v>73</v>
      </c>
    </row>
    <row r="373" spans="1:6" x14ac:dyDescent="0.45">
      <c r="A373">
        <v>60</v>
      </c>
      <c r="B373">
        <v>18</v>
      </c>
      <c r="C373">
        <v>65000</v>
      </c>
      <c r="D373" t="s">
        <v>71</v>
      </c>
      <c r="E373" t="s">
        <v>74</v>
      </c>
      <c r="F373" t="s">
        <v>73</v>
      </c>
    </row>
    <row r="374" spans="1:6" x14ac:dyDescent="0.45">
      <c r="A374">
        <v>40</v>
      </c>
      <c r="B374">
        <v>18</v>
      </c>
      <c r="C374">
        <v>65000</v>
      </c>
      <c r="D374" t="s">
        <v>71</v>
      </c>
      <c r="E374" t="s">
        <v>72</v>
      </c>
      <c r="F374" t="s">
        <v>73</v>
      </c>
    </row>
    <row r="375" spans="1:6" x14ac:dyDescent="0.45">
      <c r="A375">
        <v>60</v>
      </c>
      <c r="B375">
        <v>18</v>
      </c>
      <c r="C375">
        <v>65000</v>
      </c>
      <c r="D375" t="s">
        <v>71</v>
      </c>
      <c r="E375" t="s">
        <v>74</v>
      </c>
      <c r="F375" t="s">
        <v>73</v>
      </c>
    </row>
    <row r="376" spans="1:6" x14ac:dyDescent="0.45">
      <c r="A376">
        <v>50</v>
      </c>
      <c r="B376">
        <v>18</v>
      </c>
      <c r="C376">
        <v>65000</v>
      </c>
      <c r="D376" t="s">
        <v>71</v>
      </c>
      <c r="E376" t="s">
        <v>74</v>
      </c>
      <c r="F376" t="s">
        <v>73</v>
      </c>
    </row>
    <row r="377" spans="1:6" x14ac:dyDescent="0.45">
      <c r="A377">
        <v>40</v>
      </c>
      <c r="B377">
        <v>18</v>
      </c>
      <c r="C377">
        <v>65000</v>
      </c>
      <c r="D377" t="s">
        <v>71</v>
      </c>
      <c r="E377" t="s">
        <v>74</v>
      </c>
      <c r="F377" t="s">
        <v>73</v>
      </c>
    </row>
    <row r="378" spans="1:6" x14ac:dyDescent="0.45">
      <c r="A378">
        <v>40</v>
      </c>
      <c r="B378">
        <v>18</v>
      </c>
      <c r="C378">
        <v>65045</v>
      </c>
      <c r="D378" t="s">
        <v>71</v>
      </c>
      <c r="E378" t="s">
        <v>74</v>
      </c>
      <c r="F378" t="s">
        <v>73</v>
      </c>
    </row>
    <row r="379" spans="1:6" x14ac:dyDescent="0.45">
      <c r="A379">
        <v>47</v>
      </c>
      <c r="B379">
        <v>18</v>
      </c>
      <c r="C379">
        <v>65500</v>
      </c>
      <c r="D379" t="s">
        <v>71</v>
      </c>
      <c r="E379" t="s">
        <v>74</v>
      </c>
      <c r="F379" t="s">
        <v>73</v>
      </c>
    </row>
    <row r="380" spans="1:6" x14ac:dyDescent="0.45">
      <c r="A380">
        <v>45</v>
      </c>
      <c r="B380">
        <v>18</v>
      </c>
      <c r="C380">
        <v>65583</v>
      </c>
      <c r="D380" t="s">
        <v>71</v>
      </c>
      <c r="E380" t="s">
        <v>72</v>
      </c>
      <c r="F380" t="s">
        <v>73</v>
      </c>
    </row>
    <row r="381" spans="1:6" x14ac:dyDescent="0.45">
      <c r="A381">
        <v>60</v>
      </c>
      <c r="B381">
        <v>18</v>
      </c>
      <c r="C381">
        <v>65628</v>
      </c>
      <c r="D381" t="s">
        <v>71</v>
      </c>
      <c r="E381" t="s">
        <v>72</v>
      </c>
      <c r="F381" t="s">
        <v>73</v>
      </c>
    </row>
    <row r="382" spans="1:6" x14ac:dyDescent="0.45">
      <c r="A382">
        <v>48</v>
      </c>
      <c r="B382">
        <v>18</v>
      </c>
      <c r="C382">
        <v>66000</v>
      </c>
      <c r="D382" t="s">
        <v>71</v>
      </c>
      <c r="E382" t="s">
        <v>72</v>
      </c>
      <c r="F382" t="s">
        <v>73</v>
      </c>
    </row>
    <row r="383" spans="1:6" x14ac:dyDescent="0.45">
      <c r="A383">
        <v>40</v>
      </c>
      <c r="B383">
        <v>18</v>
      </c>
      <c r="C383">
        <v>67000</v>
      </c>
      <c r="D383" t="s">
        <v>71</v>
      </c>
      <c r="E383" t="s">
        <v>74</v>
      </c>
      <c r="F383" t="s">
        <v>73</v>
      </c>
    </row>
    <row r="384" spans="1:6" x14ac:dyDescent="0.45">
      <c r="A384">
        <v>45</v>
      </c>
      <c r="B384">
        <v>18</v>
      </c>
      <c r="C384">
        <v>67000</v>
      </c>
      <c r="D384" t="s">
        <v>71</v>
      </c>
      <c r="E384" t="s">
        <v>74</v>
      </c>
      <c r="F384" t="s">
        <v>73</v>
      </c>
    </row>
    <row r="385" spans="1:6" x14ac:dyDescent="0.45">
      <c r="A385">
        <v>45</v>
      </c>
      <c r="B385">
        <v>18</v>
      </c>
      <c r="C385">
        <v>67100</v>
      </c>
      <c r="D385" t="s">
        <v>71</v>
      </c>
      <c r="E385" t="s">
        <v>72</v>
      </c>
      <c r="F385" t="s">
        <v>73</v>
      </c>
    </row>
    <row r="386" spans="1:6" x14ac:dyDescent="0.45">
      <c r="A386">
        <v>45</v>
      </c>
      <c r="B386">
        <v>18</v>
      </c>
      <c r="C386">
        <v>67600</v>
      </c>
      <c r="D386" t="s">
        <v>76</v>
      </c>
      <c r="E386" t="s">
        <v>74</v>
      </c>
      <c r="F386" t="s">
        <v>73</v>
      </c>
    </row>
    <row r="387" spans="1:6" x14ac:dyDescent="0.45">
      <c r="A387">
        <v>40</v>
      </c>
      <c r="B387">
        <v>18</v>
      </c>
      <c r="C387">
        <v>67600</v>
      </c>
      <c r="D387" t="s">
        <v>76</v>
      </c>
      <c r="E387" t="s">
        <v>74</v>
      </c>
      <c r="F387" t="s">
        <v>73</v>
      </c>
    </row>
    <row r="388" spans="1:6" x14ac:dyDescent="0.45">
      <c r="A388">
        <v>42</v>
      </c>
      <c r="B388">
        <v>18</v>
      </c>
      <c r="C388">
        <v>68000</v>
      </c>
      <c r="D388" t="s">
        <v>71</v>
      </c>
      <c r="E388" t="s">
        <v>74</v>
      </c>
      <c r="F388" t="s">
        <v>73</v>
      </c>
    </row>
    <row r="389" spans="1:6" x14ac:dyDescent="0.45">
      <c r="A389">
        <v>45</v>
      </c>
      <c r="B389">
        <v>18</v>
      </c>
      <c r="C389">
        <v>68002</v>
      </c>
      <c r="D389" t="s">
        <v>71</v>
      </c>
      <c r="E389" t="s">
        <v>74</v>
      </c>
      <c r="F389" t="s">
        <v>73</v>
      </c>
    </row>
    <row r="390" spans="1:6" x14ac:dyDescent="0.45">
      <c r="A390">
        <v>60</v>
      </c>
      <c r="B390">
        <v>18</v>
      </c>
      <c r="C390">
        <v>69000</v>
      </c>
      <c r="D390" t="s">
        <v>71</v>
      </c>
      <c r="E390" t="s">
        <v>74</v>
      </c>
      <c r="F390" t="s">
        <v>73</v>
      </c>
    </row>
    <row r="391" spans="1:6" x14ac:dyDescent="0.45">
      <c r="A391">
        <v>50</v>
      </c>
      <c r="B391">
        <v>18</v>
      </c>
      <c r="C391">
        <v>69000</v>
      </c>
      <c r="D391" t="s">
        <v>71</v>
      </c>
      <c r="E391" t="s">
        <v>74</v>
      </c>
      <c r="F391" t="s">
        <v>73</v>
      </c>
    </row>
    <row r="392" spans="1:6" x14ac:dyDescent="0.45">
      <c r="A392">
        <v>46</v>
      </c>
      <c r="B392">
        <v>18</v>
      </c>
      <c r="C392">
        <v>69000</v>
      </c>
      <c r="D392" t="s">
        <v>71</v>
      </c>
      <c r="E392" t="s">
        <v>74</v>
      </c>
      <c r="F392" t="s">
        <v>73</v>
      </c>
    </row>
    <row r="393" spans="1:6" x14ac:dyDescent="0.45">
      <c r="A393">
        <v>55</v>
      </c>
      <c r="B393">
        <v>18</v>
      </c>
      <c r="C393">
        <v>69000</v>
      </c>
      <c r="D393" t="s">
        <v>71</v>
      </c>
      <c r="E393" t="s">
        <v>74</v>
      </c>
      <c r="F393" t="s">
        <v>73</v>
      </c>
    </row>
    <row r="394" spans="1:6" x14ac:dyDescent="0.45">
      <c r="A394">
        <v>60</v>
      </c>
      <c r="B394">
        <v>18</v>
      </c>
      <c r="C394">
        <v>70000</v>
      </c>
      <c r="D394" t="s">
        <v>71</v>
      </c>
      <c r="E394" t="s">
        <v>72</v>
      </c>
      <c r="F394" t="s">
        <v>73</v>
      </c>
    </row>
    <row r="395" spans="1:6" x14ac:dyDescent="0.45">
      <c r="A395">
        <v>40</v>
      </c>
      <c r="B395">
        <v>18</v>
      </c>
      <c r="C395">
        <v>70000</v>
      </c>
      <c r="D395" t="s">
        <v>71</v>
      </c>
      <c r="E395" t="s">
        <v>74</v>
      </c>
      <c r="F395" t="s">
        <v>73</v>
      </c>
    </row>
    <row r="396" spans="1:6" x14ac:dyDescent="0.45">
      <c r="A396">
        <v>40</v>
      </c>
      <c r="B396">
        <v>18</v>
      </c>
      <c r="C396">
        <v>70000</v>
      </c>
      <c r="D396" t="s">
        <v>71</v>
      </c>
      <c r="E396" t="s">
        <v>72</v>
      </c>
      <c r="F396" t="s">
        <v>73</v>
      </c>
    </row>
    <row r="397" spans="1:6" x14ac:dyDescent="0.45">
      <c r="A397">
        <v>40</v>
      </c>
      <c r="B397">
        <v>18</v>
      </c>
      <c r="C397">
        <v>70000</v>
      </c>
      <c r="D397" t="s">
        <v>71</v>
      </c>
      <c r="E397" t="s">
        <v>72</v>
      </c>
      <c r="F397" t="s">
        <v>73</v>
      </c>
    </row>
    <row r="398" spans="1:6" x14ac:dyDescent="0.45">
      <c r="A398">
        <v>0</v>
      </c>
      <c r="B398">
        <v>18</v>
      </c>
      <c r="C398">
        <v>70000</v>
      </c>
      <c r="D398" t="s">
        <v>71</v>
      </c>
      <c r="E398" t="s">
        <v>74</v>
      </c>
      <c r="F398" t="s">
        <v>73</v>
      </c>
    </row>
    <row r="399" spans="1:6" x14ac:dyDescent="0.45">
      <c r="A399">
        <v>40</v>
      </c>
      <c r="B399">
        <v>18</v>
      </c>
      <c r="C399">
        <v>70000</v>
      </c>
      <c r="D399" t="s">
        <v>71</v>
      </c>
      <c r="E399" t="s">
        <v>72</v>
      </c>
      <c r="F399" t="s">
        <v>73</v>
      </c>
    </row>
    <row r="400" spans="1:6" x14ac:dyDescent="0.45">
      <c r="A400">
        <v>45</v>
      </c>
      <c r="B400">
        <v>18</v>
      </c>
      <c r="C400">
        <v>70000</v>
      </c>
      <c r="D400" t="s">
        <v>71</v>
      </c>
      <c r="E400" t="s">
        <v>74</v>
      </c>
      <c r="F400" t="s">
        <v>73</v>
      </c>
    </row>
    <row r="401" spans="1:6" x14ac:dyDescent="0.45">
      <c r="A401">
        <v>40</v>
      </c>
      <c r="B401">
        <v>18</v>
      </c>
      <c r="C401">
        <v>70000</v>
      </c>
      <c r="D401" t="s">
        <v>71</v>
      </c>
      <c r="E401" t="s">
        <v>72</v>
      </c>
      <c r="F401" t="s">
        <v>73</v>
      </c>
    </row>
    <row r="402" spans="1:6" x14ac:dyDescent="0.45">
      <c r="A402">
        <v>38</v>
      </c>
      <c r="B402">
        <v>18</v>
      </c>
      <c r="C402">
        <v>70000</v>
      </c>
      <c r="D402" t="s">
        <v>76</v>
      </c>
      <c r="E402" t="s">
        <v>72</v>
      </c>
      <c r="F402" t="s">
        <v>73</v>
      </c>
    </row>
    <row r="403" spans="1:6" x14ac:dyDescent="0.45">
      <c r="A403">
        <v>40</v>
      </c>
      <c r="B403">
        <v>18</v>
      </c>
      <c r="C403">
        <v>70000</v>
      </c>
      <c r="D403" t="s">
        <v>71</v>
      </c>
      <c r="E403" t="s">
        <v>74</v>
      </c>
      <c r="F403" t="s">
        <v>73</v>
      </c>
    </row>
    <row r="404" spans="1:6" x14ac:dyDescent="0.45">
      <c r="A404">
        <v>55</v>
      </c>
      <c r="B404">
        <v>18</v>
      </c>
      <c r="C404">
        <v>70000</v>
      </c>
      <c r="D404" t="s">
        <v>71</v>
      </c>
      <c r="E404" t="s">
        <v>74</v>
      </c>
      <c r="F404" t="s">
        <v>73</v>
      </c>
    </row>
    <row r="405" spans="1:6" x14ac:dyDescent="0.45">
      <c r="A405">
        <v>60</v>
      </c>
      <c r="B405">
        <v>18</v>
      </c>
      <c r="C405">
        <v>70000</v>
      </c>
      <c r="D405" t="s">
        <v>71</v>
      </c>
      <c r="E405" t="s">
        <v>72</v>
      </c>
      <c r="F405" t="s">
        <v>73</v>
      </c>
    </row>
    <row r="406" spans="1:6" x14ac:dyDescent="0.45">
      <c r="A406">
        <v>40</v>
      </c>
      <c r="B406">
        <v>18</v>
      </c>
      <c r="C406">
        <v>70000</v>
      </c>
      <c r="D406" t="s">
        <v>71</v>
      </c>
      <c r="E406" t="s">
        <v>74</v>
      </c>
      <c r="F406" t="s">
        <v>73</v>
      </c>
    </row>
    <row r="407" spans="1:6" x14ac:dyDescent="0.45">
      <c r="A407">
        <v>56</v>
      </c>
      <c r="B407">
        <v>18</v>
      </c>
      <c r="C407">
        <v>70000</v>
      </c>
      <c r="D407" t="s">
        <v>71</v>
      </c>
      <c r="E407" t="s">
        <v>74</v>
      </c>
      <c r="F407" t="s">
        <v>73</v>
      </c>
    </row>
    <row r="408" spans="1:6" x14ac:dyDescent="0.45">
      <c r="A408">
        <v>40</v>
      </c>
      <c r="B408">
        <v>18</v>
      </c>
      <c r="C408">
        <v>70000</v>
      </c>
      <c r="D408" t="s">
        <v>71</v>
      </c>
      <c r="E408" t="s">
        <v>74</v>
      </c>
      <c r="F408" t="s">
        <v>73</v>
      </c>
    </row>
    <row r="409" spans="1:6" x14ac:dyDescent="0.45">
      <c r="A409">
        <v>40</v>
      </c>
      <c r="B409">
        <v>18</v>
      </c>
      <c r="C409">
        <v>70000</v>
      </c>
      <c r="D409" t="s">
        <v>75</v>
      </c>
      <c r="E409" t="s">
        <v>74</v>
      </c>
      <c r="F409" t="s">
        <v>73</v>
      </c>
    </row>
    <row r="410" spans="1:6" x14ac:dyDescent="0.45">
      <c r="A410">
        <v>40</v>
      </c>
      <c r="B410">
        <v>18</v>
      </c>
      <c r="C410">
        <v>70000</v>
      </c>
      <c r="D410" t="s">
        <v>71</v>
      </c>
      <c r="E410" t="s">
        <v>74</v>
      </c>
      <c r="F410" t="s">
        <v>73</v>
      </c>
    </row>
    <row r="411" spans="1:6" x14ac:dyDescent="0.45">
      <c r="A411">
        <v>50</v>
      </c>
      <c r="B411">
        <v>18</v>
      </c>
      <c r="C411">
        <v>70261</v>
      </c>
      <c r="D411" t="s">
        <v>71</v>
      </c>
      <c r="E411" t="s">
        <v>72</v>
      </c>
      <c r="F411" t="s">
        <v>73</v>
      </c>
    </row>
    <row r="412" spans="1:6" x14ac:dyDescent="0.45">
      <c r="A412">
        <v>50</v>
      </c>
      <c r="B412">
        <v>18</v>
      </c>
      <c r="C412">
        <v>70500</v>
      </c>
      <c r="D412" t="s">
        <v>71</v>
      </c>
      <c r="E412" t="s">
        <v>74</v>
      </c>
      <c r="F412" t="s">
        <v>73</v>
      </c>
    </row>
    <row r="413" spans="1:6" x14ac:dyDescent="0.45">
      <c r="A413">
        <v>40</v>
      </c>
      <c r="B413">
        <v>18</v>
      </c>
      <c r="C413">
        <v>72000</v>
      </c>
      <c r="D413" t="s">
        <v>71</v>
      </c>
      <c r="E413" t="s">
        <v>74</v>
      </c>
      <c r="F413" t="s">
        <v>73</v>
      </c>
    </row>
    <row r="414" spans="1:6" x14ac:dyDescent="0.45">
      <c r="A414">
        <v>40</v>
      </c>
      <c r="B414">
        <v>18</v>
      </c>
      <c r="C414">
        <v>72000</v>
      </c>
      <c r="D414" t="s">
        <v>71</v>
      </c>
      <c r="E414" t="s">
        <v>74</v>
      </c>
      <c r="F414" t="s">
        <v>73</v>
      </c>
    </row>
    <row r="415" spans="1:6" x14ac:dyDescent="0.45">
      <c r="A415">
        <v>45</v>
      </c>
      <c r="B415">
        <v>18</v>
      </c>
      <c r="C415">
        <v>72000</v>
      </c>
      <c r="D415" t="s">
        <v>71</v>
      </c>
      <c r="E415" t="s">
        <v>74</v>
      </c>
      <c r="F415" t="s">
        <v>73</v>
      </c>
    </row>
    <row r="416" spans="1:6" x14ac:dyDescent="0.45">
      <c r="A416">
        <v>60</v>
      </c>
      <c r="B416">
        <v>18</v>
      </c>
      <c r="C416">
        <v>72000</v>
      </c>
      <c r="D416" t="s">
        <v>71</v>
      </c>
      <c r="E416" t="s">
        <v>74</v>
      </c>
      <c r="F416" t="s">
        <v>73</v>
      </c>
    </row>
    <row r="417" spans="1:6" x14ac:dyDescent="0.45">
      <c r="A417">
        <v>40</v>
      </c>
      <c r="B417">
        <v>18</v>
      </c>
      <c r="C417">
        <v>72000</v>
      </c>
      <c r="D417" t="s">
        <v>76</v>
      </c>
      <c r="E417" t="s">
        <v>72</v>
      </c>
      <c r="F417" t="s">
        <v>73</v>
      </c>
    </row>
    <row r="418" spans="1:6" x14ac:dyDescent="0.45">
      <c r="A418">
        <v>40</v>
      </c>
      <c r="B418">
        <v>18</v>
      </c>
      <c r="C418">
        <v>72000</v>
      </c>
      <c r="D418" t="s">
        <v>71</v>
      </c>
      <c r="E418" t="s">
        <v>74</v>
      </c>
      <c r="F418" t="s">
        <v>73</v>
      </c>
    </row>
    <row r="419" spans="1:6" x14ac:dyDescent="0.45">
      <c r="A419">
        <v>40</v>
      </c>
      <c r="B419">
        <v>18</v>
      </c>
      <c r="C419">
        <v>72160</v>
      </c>
      <c r="D419" t="s">
        <v>71</v>
      </c>
      <c r="E419" t="s">
        <v>72</v>
      </c>
      <c r="F419" t="s">
        <v>73</v>
      </c>
    </row>
    <row r="420" spans="1:6" x14ac:dyDescent="0.45">
      <c r="A420">
        <v>40</v>
      </c>
      <c r="B420">
        <v>18</v>
      </c>
      <c r="C420">
        <v>72200</v>
      </c>
      <c r="D420" t="s">
        <v>71</v>
      </c>
      <c r="E420" t="s">
        <v>74</v>
      </c>
      <c r="F420" t="s">
        <v>73</v>
      </c>
    </row>
    <row r="421" spans="1:6" x14ac:dyDescent="0.45">
      <c r="A421">
        <v>45</v>
      </c>
      <c r="B421">
        <v>18</v>
      </c>
      <c r="C421">
        <v>72474</v>
      </c>
      <c r="D421" t="s">
        <v>71</v>
      </c>
      <c r="E421" t="s">
        <v>74</v>
      </c>
      <c r="F421" t="s">
        <v>73</v>
      </c>
    </row>
    <row r="422" spans="1:6" x14ac:dyDescent="0.45">
      <c r="A422">
        <v>40</v>
      </c>
      <c r="B422">
        <v>18</v>
      </c>
      <c r="C422">
        <v>72539</v>
      </c>
      <c r="D422" t="s">
        <v>71</v>
      </c>
      <c r="E422" t="s">
        <v>72</v>
      </c>
      <c r="F422" t="s">
        <v>73</v>
      </c>
    </row>
    <row r="423" spans="1:6" x14ac:dyDescent="0.45">
      <c r="A423">
        <v>60</v>
      </c>
      <c r="B423">
        <v>18</v>
      </c>
      <c r="C423">
        <v>73500</v>
      </c>
      <c r="D423" t="s">
        <v>71</v>
      </c>
      <c r="E423" t="s">
        <v>74</v>
      </c>
      <c r="F423" t="s">
        <v>73</v>
      </c>
    </row>
    <row r="424" spans="1:6" x14ac:dyDescent="0.45">
      <c r="A424">
        <v>40</v>
      </c>
      <c r="B424">
        <v>18</v>
      </c>
      <c r="C424">
        <v>74800</v>
      </c>
      <c r="D424" t="s">
        <v>71</v>
      </c>
      <c r="E424" t="s">
        <v>74</v>
      </c>
      <c r="F424" t="s">
        <v>73</v>
      </c>
    </row>
    <row r="425" spans="1:6" x14ac:dyDescent="0.45">
      <c r="A425">
        <v>45</v>
      </c>
      <c r="B425">
        <v>18</v>
      </c>
      <c r="C425">
        <v>74925</v>
      </c>
      <c r="D425" t="s">
        <v>77</v>
      </c>
      <c r="E425" t="s">
        <v>74</v>
      </c>
      <c r="F425" t="s">
        <v>73</v>
      </c>
    </row>
    <row r="426" spans="1:6" x14ac:dyDescent="0.45">
      <c r="A426">
        <v>40</v>
      </c>
      <c r="B426">
        <v>18</v>
      </c>
      <c r="C426">
        <v>75000</v>
      </c>
      <c r="D426" t="s">
        <v>71</v>
      </c>
      <c r="E426" t="s">
        <v>74</v>
      </c>
      <c r="F426" t="s">
        <v>73</v>
      </c>
    </row>
    <row r="427" spans="1:6" x14ac:dyDescent="0.45">
      <c r="A427">
        <v>40</v>
      </c>
      <c r="B427">
        <v>18</v>
      </c>
      <c r="C427">
        <v>75000</v>
      </c>
      <c r="D427" t="s">
        <v>71</v>
      </c>
      <c r="E427" t="s">
        <v>72</v>
      </c>
      <c r="F427" t="s">
        <v>73</v>
      </c>
    </row>
    <row r="428" spans="1:6" x14ac:dyDescent="0.45">
      <c r="A428">
        <v>40</v>
      </c>
      <c r="B428">
        <v>18</v>
      </c>
      <c r="C428">
        <v>75000</v>
      </c>
      <c r="D428" t="s">
        <v>71</v>
      </c>
      <c r="E428" t="s">
        <v>74</v>
      </c>
      <c r="F428" t="s">
        <v>73</v>
      </c>
    </row>
    <row r="429" spans="1:6" x14ac:dyDescent="0.45">
      <c r="A429">
        <v>40</v>
      </c>
      <c r="B429">
        <v>18</v>
      </c>
      <c r="C429">
        <v>75000</v>
      </c>
      <c r="D429" t="s">
        <v>71</v>
      </c>
      <c r="E429" t="s">
        <v>74</v>
      </c>
      <c r="F429" t="s">
        <v>73</v>
      </c>
    </row>
    <row r="430" spans="1:6" x14ac:dyDescent="0.45">
      <c r="A430">
        <v>40</v>
      </c>
      <c r="B430">
        <v>18</v>
      </c>
      <c r="C430">
        <v>75000</v>
      </c>
      <c r="D430" t="s">
        <v>76</v>
      </c>
      <c r="E430" t="s">
        <v>74</v>
      </c>
      <c r="F430" t="s">
        <v>73</v>
      </c>
    </row>
    <row r="431" spans="1:6" x14ac:dyDescent="0.45">
      <c r="A431">
        <v>40</v>
      </c>
      <c r="B431">
        <v>18</v>
      </c>
      <c r="C431">
        <v>75000</v>
      </c>
      <c r="D431" t="s">
        <v>76</v>
      </c>
      <c r="E431" t="s">
        <v>74</v>
      </c>
      <c r="F431" t="s">
        <v>73</v>
      </c>
    </row>
    <row r="432" spans="1:6" x14ac:dyDescent="0.45">
      <c r="A432">
        <v>35</v>
      </c>
      <c r="B432">
        <v>18</v>
      </c>
      <c r="C432">
        <v>75000</v>
      </c>
      <c r="D432" t="s">
        <v>71</v>
      </c>
      <c r="E432" t="s">
        <v>74</v>
      </c>
      <c r="F432" t="s">
        <v>73</v>
      </c>
    </row>
    <row r="433" spans="1:6" x14ac:dyDescent="0.45">
      <c r="A433">
        <v>50</v>
      </c>
      <c r="B433">
        <v>18</v>
      </c>
      <c r="C433">
        <v>75000</v>
      </c>
      <c r="D433" t="s">
        <v>71</v>
      </c>
      <c r="E433" t="s">
        <v>74</v>
      </c>
      <c r="F433" t="s">
        <v>73</v>
      </c>
    </row>
    <row r="434" spans="1:6" x14ac:dyDescent="0.45">
      <c r="A434">
        <v>90</v>
      </c>
      <c r="B434">
        <v>18</v>
      </c>
      <c r="C434">
        <v>75000</v>
      </c>
      <c r="D434" t="s">
        <v>71</v>
      </c>
      <c r="E434" t="s">
        <v>74</v>
      </c>
      <c r="F434" t="s">
        <v>73</v>
      </c>
    </row>
    <row r="435" spans="1:6" x14ac:dyDescent="0.45">
      <c r="A435">
        <v>40</v>
      </c>
      <c r="B435">
        <v>18</v>
      </c>
      <c r="C435">
        <v>75000</v>
      </c>
      <c r="D435" t="s">
        <v>71</v>
      </c>
      <c r="E435" t="s">
        <v>74</v>
      </c>
      <c r="F435" t="s">
        <v>73</v>
      </c>
    </row>
    <row r="436" spans="1:6" x14ac:dyDescent="0.45">
      <c r="A436">
        <v>50</v>
      </c>
      <c r="B436">
        <v>18</v>
      </c>
      <c r="C436">
        <v>75000</v>
      </c>
      <c r="D436" t="s">
        <v>75</v>
      </c>
      <c r="E436" t="s">
        <v>74</v>
      </c>
      <c r="F436" t="s">
        <v>73</v>
      </c>
    </row>
    <row r="437" spans="1:6" x14ac:dyDescent="0.45">
      <c r="A437">
        <v>40</v>
      </c>
      <c r="B437">
        <v>18</v>
      </c>
      <c r="C437">
        <v>75000</v>
      </c>
      <c r="D437" t="s">
        <v>71</v>
      </c>
      <c r="E437" t="s">
        <v>74</v>
      </c>
      <c r="F437" t="s">
        <v>73</v>
      </c>
    </row>
    <row r="438" spans="1:6" x14ac:dyDescent="0.45">
      <c r="A438">
        <v>40</v>
      </c>
      <c r="B438">
        <v>18</v>
      </c>
      <c r="C438">
        <v>75000</v>
      </c>
      <c r="D438" t="s">
        <v>71</v>
      </c>
      <c r="E438" t="s">
        <v>74</v>
      </c>
      <c r="F438" t="s">
        <v>73</v>
      </c>
    </row>
    <row r="439" spans="1:6" x14ac:dyDescent="0.45">
      <c r="A439">
        <v>60</v>
      </c>
      <c r="B439">
        <v>18</v>
      </c>
      <c r="C439">
        <v>76000</v>
      </c>
      <c r="D439" t="s">
        <v>71</v>
      </c>
      <c r="E439" t="s">
        <v>74</v>
      </c>
      <c r="F439" t="s">
        <v>73</v>
      </c>
    </row>
    <row r="440" spans="1:6" x14ac:dyDescent="0.45">
      <c r="A440">
        <v>40</v>
      </c>
      <c r="B440">
        <v>18</v>
      </c>
      <c r="C440">
        <v>76300</v>
      </c>
      <c r="D440" t="s">
        <v>71</v>
      </c>
      <c r="E440" t="s">
        <v>72</v>
      </c>
      <c r="F440" t="s">
        <v>73</v>
      </c>
    </row>
    <row r="441" spans="1:6" x14ac:dyDescent="0.45">
      <c r="A441">
        <v>40</v>
      </c>
      <c r="B441">
        <v>18</v>
      </c>
      <c r="C441">
        <v>76500</v>
      </c>
      <c r="D441" t="s">
        <v>71</v>
      </c>
      <c r="E441" t="s">
        <v>74</v>
      </c>
      <c r="F441" t="s">
        <v>73</v>
      </c>
    </row>
    <row r="442" spans="1:6" x14ac:dyDescent="0.45">
      <c r="A442">
        <v>60</v>
      </c>
      <c r="B442">
        <v>18</v>
      </c>
      <c r="C442">
        <v>77000</v>
      </c>
      <c r="D442" t="s">
        <v>71</v>
      </c>
      <c r="E442" t="s">
        <v>74</v>
      </c>
      <c r="F442" t="s">
        <v>73</v>
      </c>
    </row>
    <row r="443" spans="1:6" x14ac:dyDescent="0.45">
      <c r="A443">
        <v>40</v>
      </c>
      <c r="B443">
        <v>18</v>
      </c>
      <c r="C443">
        <v>77000</v>
      </c>
      <c r="D443" t="s">
        <v>75</v>
      </c>
      <c r="E443" t="s">
        <v>72</v>
      </c>
      <c r="F443" t="s">
        <v>73</v>
      </c>
    </row>
    <row r="444" spans="1:6" x14ac:dyDescent="0.45">
      <c r="A444">
        <v>40</v>
      </c>
      <c r="B444">
        <v>18</v>
      </c>
      <c r="C444">
        <v>77500</v>
      </c>
      <c r="D444" t="s">
        <v>71</v>
      </c>
      <c r="E444" t="s">
        <v>72</v>
      </c>
      <c r="F444" t="s">
        <v>73</v>
      </c>
    </row>
    <row r="445" spans="1:6" x14ac:dyDescent="0.45">
      <c r="A445">
        <v>50</v>
      </c>
      <c r="B445">
        <v>18</v>
      </c>
      <c r="C445">
        <v>77925</v>
      </c>
      <c r="D445" t="s">
        <v>71</v>
      </c>
      <c r="E445" t="s">
        <v>74</v>
      </c>
      <c r="F445" t="s">
        <v>73</v>
      </c>
    </row>
    <row r="446" spans="1:6" x14ac:dyDescent="0.45">
      <c r="A446">
        <v>0</v>
      </c>
      <c r="B446">
        <v>18</v>
      </c>
      <c r="C446">
        <v>77925</v>
      </c>
      <c r="D446" t="s">
        <v>71</v>
      </c>
      <c r="E446" t="s">
        <v>74</v>
      </c>
      <c r="F446" t="s">
        <v>73</v>
      </c>
    </row>
    <row r="447" spans="1:6" x14ac:dyDescent="0.45">
      <c r="A447">
        <v>42</v>
      </c>
      <c r="B447">
        <v>18</v>
      </c>
      <c r="C447">
        <v>78000</v>
      </c>
      <c r="D447" t="s">
        <v>71</v>
      </c>
      <c r="E447" t="s">
        <v>74</v>
      </c>
      <c r="F447" t="s">
        <v>73</v>
      </c>
    </row>
    <row r="448" spans="1:6" x14ac:dyDescent="0.45">
      <c r="A448">
        <v>55</v>
      </c>
      <c r="B448">
        <v>18</v>
      </c>
      <c r="C448">
        <v>79000</v>
      </c>
      <c r="D448" t="s">
        <v>71</v>
      </c>
      <c r="E448" t="s">
        <v>74</v>
      </c>
      <c r="F448" t="s">
        <v>73</v>
      </c>
    </row>
    <row r="449" spans="1:6" x14ac:dyDescent="0.45">
      <c r="A449">
        <v>40</v>
      </c>
      <c r="B449">
        <v>18</v>
      </c>
      <c r="C449">
        <v>80000</v>
      </c>
      <c r="D449" t="s">
        <v>71</v>
      </c>
      <c r="E449" t="s">
        <v>74</v>
      </c>
      <c r="F449" t="s">
        <v>73</v>
      </c>
    </row>
    <row r="450" spans="1:6" x14ac:dyDescent="0.45">
      <c r="A450">
        <v>50</v>
      </c>
      <c r="B450">
        <v>18</v>
      </c>
      <c r="C450">
        <v>80000</v>
      </c>
      <c r="D450" t="s">
        <v>71</v>
      </c>
      <c r="E450" t="s">
        <v>72</v>
      </c>
      <c r="F450" t="s">
        <v>73</v>
      </c>
    </row>
    <row r="451" spans="1:6" x14ac:dyDescent="0.45">
      <c r="A451">
        <v>40</v>
      </c>
      <c r="B451">
        <v>18</v>
      </c>
      <c r="C451">
        <v>80000</v>
      </c>
      <c r="D451" t="s">
        <v>75</v>
      </c>
      <c r="E451" t="s">
        <v>72</v>
      </c>
      <c r="F451" t="s">
        <v>73</v>
      </c>
    </row>
    <row r="452" spans="1:6" x14ac:dyDescent="0.45">
      <c r="A452">
        <v>60</v>
      </c>
      <c r="B452">
        <v>18</v>
      </c>
      <c r="C452">
        <v>80000</v>
      </c>
      <c r="D452" t="s">
        <v>71</v>
      </c>
      <c r="E452" t="s">
        <v>74</v>
      </c>
      <c r="F452" t="s">
        <v>73</v>
      </c>
    </row>
    <row r="453" spans="1:6" x14ac:dyDescent="0.45">
      <c r="A453">
        <v>50</v>
      </c>
      <c r="B453">
        <v>18</v>
      </c>
      <c r="C453">
        <v>80000</v>
      </c>
      <c r="D453" t="s">
        <v>71</v>
      </c>
      <c r="E453" t="s">
        <v>74</v>
      </c>
      <c r="F453" t="s">
        <v>73</v>
      </c>
    </row>
    <row r="454" spans="1:6" x14ac:dyDescent="0.45">
      <c r="A454">
        <v>50</v>
      </c>
      <c r="B454">
        <v>18</v>
      </c>
      <c r="C454">
        <v>80000</v>
      </c>
      <c r="D454" t="s">
        <v>71</v>
      </c>
      <c r="E454" t="s">
        <v>74</v>
      </c>
      <c r="F454" t="s">
        <v>73</v>
      </c>
    </row>
    <row r="455" spans="1:6" x14ac:dyDescent="0.45">
      <c r="A455">
        <v>0</v>
      </c>
      <c r="B455">
        <v>18</v>
      </c>
      <c r="C455">
        <v>80000</v>
      </c>
      <c r="D455" t="s">
        <v>71</v>
      </c>
      <c r="E455" t="s">
        <v>74</v>
      </c>
      <c r="F455" t="s">
        <v>73</v>
      </c>
    </row>
    <row r="456" spans="1:6" x14ac:dyDescent="0.45">
      <c r="A456">
        <v>40</v>
      </c>
      <c r="B456">
        <v>18</v>
      </c>
      <c r="C456">
        <v>80000</v>
      </c>
      <c r="D456" t="s">
        <v>71</v>
      </c>
      <c r="E456" t="s">
        <v>74</v>
      </c>
      <c r="F456" t="s">
        <v>73</v>
      </c>
    </row>
    <row r="457" spans="1:6" x14ac:dyDescent="0.45">
      <c r="A457">
        <v>50</v>
      </c>
      <c r="B457">
        <v>18</v>
      </c>
      <c r="C457">
        <v>80000</v>
      </c>
      <c r="D457" t="s">
        <v>71</v>
      </c>
      <c r="E457" t="s">
        <v>72</v>
      </c>
      <c r="F457" t="s">
        <v>73</v>
      </c>
    </row>
    <row r="458" spans="1:6" x14ac:dyDescent="0.45">
      <c r="A458">
        <v>40</v>
      </c>
      <c r="B458">
        <v>18</v>
      </c>
      <c r="C458">
        <v>80000</v>
      </c>
      <c r="D458" t="s">
        <v>75</v>
      </c>
      <c r="E458" t="s">
        <v>74</v>
      </c>
      <c r="F458" t="s">
        <v>73</v>
      </c>
    </row>
    <row r="459" spans="1:6" x14ac:dyDescent="0.45">
      <c r="A459">
        <v>45</v>
      </c>
      <c r="B459">
        <v>18</v>
      </c>
      <c r="C459">
        <v>80000</v>
      </c>
      <c r="D459" t="s">
        <v>71</v>
      </c>
      <c r="E459" t="s">
        <v>74</v>
      </c>
      <c r="F459" t="s">
        <v>73</v>
      </c>
    </row>
    <row r="460" spans="1:6" x14ac:dyDescent="0.45">
      <c r="A460">
        <v>0</v>
      </c>
      <c r="B460">
        <v>18</v>
      </c>
      <c r="C460">
        <v>80000</v>
      </c>
      <c r="D460" t="s">
        <v>71</v>
      </c>
      <c r="E460" t="s">
        <v>72</v>
      </c>
      <c r="F460" t="s">
        <v>73</v>
      </c>
    </row>
    <row r="461" spans="1:6" x14ac:dyDescent="0.45">
      <c r="A461">
        <v>40</v>
      </c>
      <c r="B461">
        <v>18</v>
      </c>
      <c r="C461">
        <v>81000</v>
      </c>
      <c r="D461" t="s">
        <v>71</v>
      </c>
      <c r="E461" t="s">
        <v>74</v>
      </c>
      <c r="F461" t="s">
        <v>73</v>
      </c>
    </row>
    <row r="462" spans="1:6" x14ac:dyDescent="0.45">
      <c r="A462">
        <v>50</v>
      </c>
      <c r="B462">
        <v>18</v>
      </c>
      <c r="C462">
        <v>81000</v>
      </c>
      <c r="D462" t="s">
        <v>71</v>
      </c>
      <c r="E462" t="s">
        <v>74</v>
      </c>
      <c r="F462" t="s">
        <v>73</v>
      </c>
    </row>
    <row r="463" spans="1:6" x14ac:dyDescent="0.45">
      <c r="A463">
        <v>40</v>
      </c>
      <c r="B463">
        <v>18</v>
      </c>
      <c r="C463">
        <v>81360</v>
      </c>
      <c r="D463" t="s">
        <v>71</v>
      </c>
      <c r="E463" t="s">
        <v>74</v>
      </c>
      <c r="F463" t="s">
        <v>73</v>
      </c>
    </row>
    <row r="464" spans="1:6" x14ac:dyDescent="0.45">
      <c r="A464">
        <v>45</v>
      </c>
      <c r="B464">
        <v>18</v>
      </c>
      <c r="C464">
        <v>83000</v>
      </c>
      <c r="D464" t="s">
        <v>71</v>
      </c>
      <c r="E464" t="s">
        <v>74</v>
      </c>
      <c r="F464" t="s">
        <v>73</v>
      </c>
    </row>
    <row r="465" spans="1:6" x14ac:dyDescent="0.45">
      <c r="A465">
        <v>60</v>
      </c>
      <c r="B465">
        <v>18</v>
      </c>
      <c r="C465">
        <v>83000</v>
      </c>
      <c r="D465" t="s">
        <v>71</v>
      </c>
      <c r="E465" t="s">
        <v>74</v>
      </c>
      <c r="F465" t="s">
        <v>73</v>
      </c>
    </row>
    <row r="466" spans="1:6" x14ac:dyDescent="0.45">
      <c r="A466">
        <v>0</v>
      </c>
      <c r="B466">
        <v>18</v>
      </c>
      <c r="C466">
        <v>83000</v>
      </c>
      <c r="D466" t="s">
        <v>71</v>
      </c>
      <c r="E466" t="s">
        <v>74</v>
      </c>
      <c r="F466" t="s">
        <v>73</v>
      </c>
    </row>
    <row r="467" spans="1:6" x14ac:dyDescent="0.45">
      <c r="A467">
        <v>98</v>
      </c>
      <c r="B467">
        <v>18</v>
      </c>
      <c r="C467">
        <v>83200</v>
      </c>
      <c r="D467" t="s">
        <v>71</v>
      </c>
      <c r="E467" t="s">
        <v>74</v>
      </c>
      <c r="F467" t="s">
        <v>73</v>
      </c>
    </row>
    <row r="468" spans="1:6" x14ac:dyDescent="0.45">
      <c r="A468">
        <v>40</v>
      </c>
      <c r="B468">
        <v>18</v>
      </c>
      <c r="C468">
        <v>83500</v>
      </c>
      <c r="D468" t="s">
        <v>76</v>
      </c>
      <c r="E468" t="s">
        <v>72</v>
      </c>
      <c r="F468" t="s">
        <v>73</v>
      </c>
    </row>
    <row r="469" spans="1:6" x14ac:dyDescent="0.45">
      <c r="A469">
        <v>60</v>
      </c>
      <c r="B469">
        <v>18</v>
      </c>
      <c r="C469">
        <v>84849</v>
      </c>
      <c r="D469" t="s">
        <v>71</v>
      </c>
      <c r="E469" t="s">
        <v>72</v>
      </c>
      <c r="F469" t="s">
        <v>73</v>
      </c>
    </row>
    <row r="470" spans="1:6" x14ac:dyDescent="0.45">
      <c r="A470">
        <v>60</v>
      </c>
      <c r="B470">
        <v>18</v>
      </c>
      <c r="C470">
        <v>85000</v>
      </c>
      <c r="D470" t="s">
        <v>71</v>
      </c>
      <c r="E470" t="s">
        <v>72</v>
      </c>
      <c r="F470" t="s">
        <v>73</v>
      </c>
    </row>
    <row r="471" spans="1:6" x14ac:dyDescent="0.45">
      <c r="A471">
        <v>50</v>
      </c>
      <c r="B471">
        <v>18</v>
      </c>
      <c r="C471">
        <v>85000</v>
      </c>
      <c r="D471" t="s">
        <v>71</v>
      </c>
      <c r="E471" t="s">
        <v>72</v>
      </c>
      <c r="F471" t="s">
        <v>73</v>
      </c>
    </row>
    <row r="472" spans="1:6" x14ac:dyDescent="0.45">
      <c r="A472">
        <v>50</v>
      </c>
      <c r="B472">
        <v>18</v>
      </c>
      <c r="C472">
        <v>85000</v>
      </c>
      <c r="D472" t="s">
        <v>71</v>
      </c>
      <c r="E472" t="s">
        <v>72</v>
      </c>
      <c r="F472" t="s">
        <v>73</v>
      </c>
    </row>
    <row r="473" spans="1:6" x14ac:dyDescent="0.45">
      <c r="A473">
        <v>50</v>
      </c>
      <c r="B473">
        <v>18</v>
      </c>
      <c r="C473">
        <v>85000</v>
      </c>
      <c r="D473" t="s">
        <v>76</v>
      </c>
      <c r="E473" t="s">
        <v>74</v>
      </c>
      <c r="F473" t="s">
        <v>73</v>
      </c>
    </row>
    <row r="474" spans="1:6" x14ac:dyDescent="0.45">
      <c r="A474">
        <v>50</v>
      </c>
      <c r="B474">
        <v>18</v>
      </c>
      <c r="C474">
        <v>85000</v>
      </c>
      <c r="D474" t="s">
        <v>71</v>
      </c>
      <c r="E474" t="s">
        <v>74</v>
      </c>
      <c r="F474" t="s">
        <v>73</v>
      </c>
    </row>
    <row r="475" spans="1:6" x14ac:dyDescent="0.45">
      <c r="A475">
        <v>50</v>
      </c>
      <c r="B475">
        <v>18</v>
      </c>
      <c r="C475">
        <v>86000</v>
      </c>
      <c r="D475" t="s">
        <v>71</v>
      </c>
      <c r="E475" t="s">
        <v>72</v>
      </c>
      <c r="F475" t="s">
        <v>73</v>
      </c>
    </row>
    <row r="476" spans="1:6" x14ac:dyDescent="0.45">
      <c r="A476">
        <v>74</v>
      </c>
      <c r="B476">
        <v>18</v>
      </c>
      <c r="C476">
        <v>86000</v>
      </c>
      <c r="D476" t="s">
        <v>71</v>
      </c>
      <c r="E476" t="s">
        <v>74</v>
      </c>
      <c r="F476" t="s">
        <v>73</v>
      </c>
    </row>
    <row r="477" spans="1:6" x14ac:dyDescent="0.45">
      <c r="A477">
        <v>60</v>
      </c>
      <c r="B477">
        <v>18</v>
      </c>
      <c r="C477">
        <v>88000</v>
      </c>
      <c r="D477" t="s">
        <v>71</v>
      </c>
      <c r="E477" t="s">
        <v>74</v>
      </c>
      <c r="F477" t="s">
        <v>73</v>
      </c>
    </row>
    <row r="478" spans="1:6" x14ac:dyDescent="0.45">
      <c r="A478">
        <v>40</v>
      </c>
      <c r="B478">
        <v>18</v>
      </c>
      <c r="C478">
        <v>88000</v>
      </c>
      <c r="D478" t="s">
        <v>71</v>
      </c>
      <c r="E478" t="s">
        <v>74</v>
      </c>
      <c r="F478" t="s">
        <v>73</v>
      </c>
    </row>
    <row r="479" spans="1:6" x14ac:dyDescent="0.45">
      <c r="A479">
        <v>50</v>
      </c>
      <c r="B479">
        <v>18</v>
      </c>
      <c r="C479">
        <v>88000</v>
      </c>
      <c r="D479" t="s">
        <v>71</v>
      </c>
      <c r="E479" t="s">
        <v>74</v>
      </c>
      <c r="F479" t="s">
        <v>73</v>
      </c>
    </row>
    <row r="480" spans="1:6" x14ac:dyDescent="0.45">
      <c r="A480">
        <v>70</v>
      </c>
      <c r="B480">
        <v>18</v>
      </c>
      <c r="C480">
        <v>88000</v>
      </c>
      <c r="D480" t="s">
        <v>71</v>
      </c>
      <c r="E480" t="s">
        <v>74</v>
      </c>
      <c r="F480" t="s">
        <v>73</v>
      </c>
    </row>
    <row r="481" spans="1:6" x14ac:dyDescent="0.45">
      <c r="A481">
        <v>45</v>
      </c>
      <c r="B481">
        <v>18</v>
      </c>
      <c r="C481">
        <v>88000</v>
      </c>
      <c r="D481" t="s">
        <v>71</v>
      </c>
      <c r="E481" t="s">
        <v>74</v>
      </c>
      <c r="F481" t="s">
        <v>73</v>
      </c>
    </row>
    <row r="482" spans="1:6" x14ac:dyDescent="0.45">
      <c r="A482">
        <v>40</v>
      </c>
      <c r="B482">
        <v>18</v>
      </c>
      <c r="C482">
        <v>89925</v>
      </c>
      <c r="D482" t="s">
        <v>71</v>
      </c>
      <c r="E482" t="s">
        <v>74</v>
      </c>
      <c r="F482" t="s">
        <v>73</v>
      </c>
    </row>
    <row r="483" spans="1:6" x14ac:dyDescent="0.45">
      <c r="A483">
        <v>60</v>
      </c>
      <c r="B483">
        <v>18</v>
      </c>
      <c r="C483">
        <v>90000</v>
      </c>
      <c r="D483" t="s">
        <v>76</v>
      </c>
      <c r="E483" t="s">
        <v>74</v>
      </c>
      <c r="F483" t="s">
        <v>73</v>
      </c>
    </row>
    <row r="484" spans="1:6" x14ac:dyDescent="0.45">
      <c r="A484">
        <v>70</v>
      </c>
      <c r="B484">
        <v>18</v>
      </c>
      <c r="C484">
        <v>90000</v>
      </c>
      <c r="D484" t="s">
        <v>71</v>
      </c>
      <c r="E484" t="s">
        <v>74</v>
      </c>
      <c r="F484" t="s">
        <v>73</v>
      </c>
    </row>
    <row r="485" spans="1:6" x14ac:dyDescent="0.45">
      <c r="A485">
        <v>50</v>
      </c>
      <c r="B485">
        <v>18</v>
      </c>
      <c r="C485">
        <v>90000</v>
      </c>
      <c r="D485" t="s">
        <v>71</v>
      </c>
      <c r="E485" t="s">
        <v>74</v>
      </c>
      <c r="F485" t="s">
        <v>73</v>
      </c>
    </row>
    <row r="486" spans="1:6" x14ac:dyDescent="0.45">
      <c r="A486">
        <v>40</v>
      </c>
      <c r="B486">
        <v>18</v>
      </c>
      <c r="C486">
        <v>90000</v>
      </c>
      <c r="D486" t="s">
        <v>71</v>
      </c>
      <c r="E486" t="s">
        <v>74</v>
      </c>
      <c r="F486" t="s">
        <v>73</v>
      </c>
    </row>
    <row r="487" spans="1:6" x14ac:dyDescent="0.45">
      <c r="A487">
        <v>60</v>
      </c>
      <c r="B487">
        <v>18</v>
      </c>
      <c r="C487">
        <v>90000</v>
      </c>
      <c r="D487" t="s">
        <v>71</v>
      </c>
      <c r="E487" t="s">
        <v>74</v>
      </c>
      <c r="F487" t="s">
        <v>73</v>
      </c>
    </row>
    <row r="488" spans="1:6" x14ac:dyDescent="0.45">
      <c r="A488">
        <v>55</v>
      </c>
      <c r="B488">
        <v>18</v>
      </c>
      <c r="C488">
        <v>90000</v>
      </c>
      <c r="D488" t="s">
        <v>71</v>
      </c>
      <c r="E488" t="s">
        <v>74</v>
      </c>
      <c r="F488" t="s">
        <v>73</v>
      </c>
    </row>
    <row r="489" spans="1:6" x14ac:dyDescent="0.45">
      <c r="A489">
        <v>50</v>
      </c>
      <c r="B489">
        <v>18</v>
      </c>
      <c r="C489">
        <v>90002</v>
      </c>
      <c r="D489" t="s">
        <v>71</v>
      </c>
      <c r="E489" t="s">
        <v>74</v>
      </c>
      <c r="F489" t="s">
        <v>73</v>
      </c>
    </row>
    <row r="490" spans="1:6" x14ac:dyDescent="0.45">
      <c r="A490">
        <v>40</v>
      </c>
      <c r="B490">
        <v>18</v>
      </c>
      <c r="C490">
        <v>90578</v>
      </c>
      <c r="D490" t="s">
        <v>71</v>
      </c>
      <c r="E490" t="s">
        <v>74</v>
      </c>
      <c r="F490" t="s">
        <v>73</v>
      </c>
    </row>
    <row r="491" spans="1:6" x14ac:dyDescent="0.45">
      <c r="A491">
        <v>0</v>
      </c>
      <c r="B491">
        <v>18</v>
      </c>
      <c r="C491">
        <v>92000</v>
      </c>
      <c r="D491" t="s">
        <v>71</v>
      </c>
      <c r="E491" t="s">
        <v>74</v>
      </c>
      <c r="F491" t="s">
        <v>73</v>
      </c>
    </row>
    <row r="492" spans="1:6" x14ac:dyDescent="0.45">
      <c r="A492">
        <v>60</v>
      </c>
      <c r="B492">
        <v>18</v>
      </c>
      <c r="C492">
        <v>92000</v>
      </c>
      <c r="D492" t="s">
        <v>76</v>
      </c>
      <c r="E492" t="s">
        <v>74</v>
      </c>
      <c r="F492" t="s">
        <v>73</v>
      </c>
    </row>
    <row r="493" spans="1:6" x14ac:dyDescent="0.45">
      <c r="A493">
        <v>40</v>
      </c>
      <c r="B493">
        <v>18</v>
      </c>
      <c r="C493">
        <v>92500</v>
      </c>
      <c r="D493" t="s">
        <v>75</v>
      </c>
      <c r="E493" t="s">
        <v>74</v>
      </c>
      <c r="F493" t="s">
        <v>73</v>
      </c>
    </row>
    <row r="494" spans="1:6" x14ac:dyDescent="0.45">
      <c r="A494">
        <v>70</v>
      </c>
      <c r="B494">
        <v>18</v>
      </c>
      <c r="C494">
        <v>95000</v>
      </c>
      <c r="D494" t="s">
        <v>71</v>
      </c>
      <c r="E494" t="s">
        <v>74</v>
      </c>
      <c r="F494" t="s">
        <v>73</v>
      </c>
    </row>
    <row r="495" spans="1:6" x14ac:dyDescent="0.45">
      <c r="A495">
        <v>40</v>
      </c>
      <c r="B495">
        <v>18</v>
      </c>
      <c r="C495">
        <v>95000</v>
      </c>
      <c r="D495" t="s">
        <v>71</v>
      </c>
      <c r="E495" t="s">
        <v>74</v>
      </c>
      <c r="F495" t="s">
        <v>73</v>
      </c>
    </row>
    <row r="496" spans="1:6" x14ac:dyDescent="0.45">
      <c r="A496">
        <v>55</v>
      </c>
      <c r="B496">
        <v>18</v>
      </c>
      <c r="C496">
        <v>98000</v>
      </c>
      <c r="D496" t="s">
        <v>71</v>
      </c>
      <c r="E496" t="s">
        <v>72</v>
      </c>
      <c r="F496" t="s">
        <v>73</v>
      </c>
    </row>
    <row r="497" spans="1:6" x14ac:dyDescent="0.45">
      <c r="A497">
        <v>40</v>
      </c>
      <c r="B497">
        <v>18</v>
      </c>
      <c r="C497">
        <v>98000</v>
      </c>
      <c r="D497" t="s">
        <v>75</v>
      </c>
      <c r="E497" t="s">
        <v>74</v>
      </c>
      <c r="F497" t="s">
        <v>73</v>
      </c>
    </row>
    <row r="498" spans="1:6" x14ac:dyDescent="0.45">
      <c r="A498">
        <v>47</v>
      </c>
      <c r="B498">
        <v>18</v>
      </c>
      <c r="C498">
        <v>98453</v>
      </c>
      <c r="D498" t="s">
        <v>71</v>
      </c>
      <c r="E498" t="s">
        <v>74</v>
      </c>
      <c r="F498" t="s">
        <v>73</v>
      </c>
    </row>
    <row r="499" spans="1:6" x14ac:dyDescent="0.45">
      <c r="A499">
        <v>40</v>
      </c>
      <c r="B499">
        <v>18</v>
      </c>
      <c r="C499">
        <v>98500</v>
      </c>
      <c r="D499" t="s">
        <v>71</v>
      </c>
      <c r="E499" t="s">
        <v>74</v>
      </c>
      <c r="F499" t="s">
        <v>73</v>
      </c>
    </row>
    <row r="500" spans="1:6" x14ac:dyDescent="0.45">
      <c r="A500">
        <v>40</v>
      </c>
      <c r="B500">
        <v>18</v>
      </c>
      <c r="C500">
        <v>99000</v>
      </c>
      <c r="D500" t="s">
        <v>71</v>
      </c>
      <c r="E500" t="s">
        <v>74</v>
      </c>
      <c r="F500" t="s">
        <v>73</v>
      </c>
    </row>
    <row r="501" spans="1:6" x14ac:dyDescent="0.45">
      <c r="A501">
        <v>50</v>
      </c>
      <c r="B501">
        <v>18</v>
      </c>
      <c r="C501">
        <v>99925</v>
      </c>
      <c r="D501" t="s">
        <v>71</v>
      </c>
      <c r="E501" t="s">
        <v>74</v>
      </c>
      <c r="F501" t="s">
        <v>73</v>
      </c>
    </row>
    <row r="502" spans="1:6" x14ac:dyDescent="0.45">
      <c r="A502">
        <v>70</v>
      </c>
      <c r="B502">
        <v>18</v>
      </c>
      <c r="C502">
        <v>100000</v>
      </c>
      <c r="D502" t="s">
        <v>71</v>
      </c>
      <c r="E502" t="s">
        <v>74</v>
      </c>
      <c r="F502" t="s">
        <v>73</v>
      </c>
    </row>
    <row r="503" spans="1:6" x14ac:dyDescent="0.45">
      <c r="A503">
        <v>60</v>
      </c>
      <c r="B503">
        <v>18</v>
      </c>
      <c r="C503">
        <v>100000</v>
      </c>
      <c r="D503" t="s">
        <v>71</v>
      </c>
      <c r="E503" t="s">
        <v>72</v>
      </c>
      <c r="F503" t="s">
        <v>73</v>
      </c>
    </row>
    <row r="504" spans="1:6" x14ac:dyDescent="0.45">
      <c r="A504">
        <v>40</v>
      </c>
      <c r="B504">
        <v>18</v>
      </c>
      <c r="C504">
        <v>100000</v>
      </c>
      <c r="D504" t="s">
        <v>71</v>
      </c>
      <c r="E504" t="s">
        <v>74</v>
      </c>
      <c r="F504" t="s">
        <v>73</v>
      </c>
    </row>
    <row r="505" spans="1:6" x14ac:dyDescent="0.45">
      <c r="A505">
        <v>60</v>
      </c>
      <c r="B505">
        <v>18</v>
      </c>
      <c r="C505">
        <v>100000</v>
      </c>
      <c r="D505" t="s">
        <v>71</v>
      </c>
      <c r="E505" t="s">
        <v>74</v>
      </c>
      <c r="F505" t="s">
        <v>73</v>
      </c>
    </row>
    <row r="506" spans="1:6" x14ac:dyDescent="0.45">
      <c r="A506">
        <v>50</v>
      </c>
      <c r="B506">
        <v>18</v>
      </c>
      <c r="C506">
        <v>100000</v>
      </c>
      <c r="D506" t="s">
        <v>71</v>
      </c>
      <c r="E506" t="s">
        <v>74</v>
      </c>
      <c r="F506" t="s">
        <v>73</v>
      </c>
    </row>
    <row r="507" spans="1:6" x14ac:dyDescent="0.45">
      <c r="A507">
        <v>40</v>
      </c>
      <c r="B507">
        <v>18</v>
      </c>
      <c r="C507">
        <v>100000</v>
      </c>
      <c r="D507" t="s">
        <v>71</v>
      </c>
      <c r="E507" t="s">
        <v>72</v>
      </c>
      <c r="F507" t="s">
        <v>73</v>
      </c>
    </row>
    <row r="508" spans="1:6" x14ac:dyDescent="0.45">
      <c r="A508">
        <v>50</v>
      </c>
      <c r="B508">
        <v>18</v>
      </c>
      <c r="C508">
        <v>100000</v>
      </c>
      <c r="D508" t="s">
        <v>76</v>
      </c>
      <c r="E508" t="s">
        <v>74</v>
      </c>
      <c r="F508" t="s">
        <v>73</v>
      </c>
    </row>
    <row r="509" spans="1:6" x14ac:dyDescent="0.45">
      <c r="A509">
        <v>60</v>
      </c>
      <c r="B509">
        <v>18</v>
      </c>
      <c r="C509">
        <v>100000</v>
      </c>
      <c r="D509" t="s">
        <v>71</v>
      </c>
      <c r="E509" t="s">
        <v>74</v>
      </c>
      <c r="F509" t="s">
        <v>73</v>
      </c>
    </row>
    <row r="510" spans="1:6" x14ac:dyDescent="0.45">
      <c r="A510">
        <v>50</v>
      </c>
      <c r="B510">
        <v>18</v>
      </c>
      <c r="C510">
        <v>100000</v>
      </c>
      <c r="D510" t="s">
        <v>71</v>
      </c>
      <c r="E510" t="s">
        <v>74</v>
      </c>
      <c r="F510" t="s">
        <v>73</v>
      </c>
    </row>
    <row r="511" spans="1:6" x14ac:dyDescent="0.45">
      <c r="A511">
        <v>40</v>
      </c>
      <c r="B511">
        <v>18</v>
      </c>
      <c r="C511">
        <v>100000</v>
      </c>
      <c r="D511" t="s">
        <v>71</v>
      </c>
      <c r="E511" t="s">
        <v>74</v>
      </c>
      <c r="F511" t="s">
        <v>73</v>
      </c>
    </row>
    <row r="512" spans="1:6" x14ac:dyDescent="0.45">
      <c r="A512">
        <v>56</v>
      </c>
      <c r="B512">
        <v>18</v>
      </c>
      <c r="C512">
        <v>100000</v>
      </c>
      <c r="D512" t="s">
        <v>71</v>
      </c>
      <c r="E512" t="s">
        <v>74</v>
      </c>
      <c r="F512" t="s">
        <v>73</v>
      </c>
    </row>
    <row r="513" spans="1:6" x14ac:dyDescent="0.45">
      <c r="A513">
        <v>40</v>
      </c>
      <c r="B513">
        <v>18</v>
      </c>
      <c r="C513">
        <v>100000</v>
      </c>
      <c r="D513" t="s">
        <v>71</v>
      </c>
      <c r="E513" t="s">
        <v>72</v>
      </c>
      <c r="F513" t="s">
        <v>73</v>
      </c>
    </row>
    <row r="514" spans="1:6" x14ac:dyDescent="0.45">
      <c r="A514">
        <v>50</v>
      </c>
      <c r="B514">
        <v>18</v>
      </c>
      <c r="C514">
        <v>100000</v>
      </c>
      <c r="D514" t="s">
        <v>71</v>
      </c>
      <c r="E514" t="s">
        <v>74</v>
      </c>
      <c r="F514" t="s">
        <v>73</v>
      </c>
    </row>
    <row r="515" spans="1:6" x14ac:dyDescent="0.45">
      <c r="A515">
        <v>40</v>
      </c>
      <c r="B515">
        <v>18</v>
      </c>
      <c r="C515">
        <v>100000</v>
      </c>
      <c r="D515" t="s">
        <v>71</v>
      </c>
      <c r="E515" t="s">
        <v>74</v>
      </c>
      <c r="F515" t="s">
        <v>73</v>
      </c>
    </row>
    <row r="516" spans="1:6" x14ac:dyDescent="0.45">
      <c r="A516">
        <v>65</v>
      </c>
      <c r="B516">
        <v>18</v>
      </c>
      <c r="C516">
        <v>100000</v>
      </c>
      <c r="D516" t="s">
        <v>71</v>
      </c>
      <c r="E516" t="s">
        <v>74</v>
      </c>
      <c r="F516" t="s">
        <v>73</v>
      </c>
    </row>
    <row r="517" spans="1:6" x14ac:dyDescent="0.45">
      <c r="A517">
        <v>0</v>
      </c>
      <c r="B517">
        <v>18</v>
      </c>
      <c r="C517">
        <v>100000</v>
      </c>
      <c r="D517" t="s">
        <v>71</v>
      </c>
      <c r="E517" t="s">
        <v>74</v>
      </c>
      <c r="F517" t="s">
        <v>73</v>
      </c>
    </row>
    <row r="518" spans="1:6" x14ac:dyDescent="0.45">
      <c r="A518">
        <v>60</v>
      </c>
      <c r="B518">
        <v>18</v>
      </c>
      <c r="C518">
        <v>100231</v>
      </c>
      <c r="D518" t="s">
        <v>71</v>
      </c>
      <c r="E518" t="s">
        <v>74</v>
      </c>
      <c r="F518" t="s">
        <v>73</v>
      </c>
    </row>
    <row r="519" spans="1:6" x14ac:dyDescent="0.45">
      <c r="A519">
        <v>60</v>
      </c>
      <c r="B519">
        <v>18</v>
      </c>
      <c r="C519">
        <v>103000</v>
      </c>
      <c r="D519" t="s">
        <v>71</v>
      </c>
      <c r="E519" t="s">
        <v>74</v>
      </c>
      <c r="F519" t="s">
        <v>73</v>
      </c>
    </row>
    <row r="520" spans="1:6" x14ac:dyDescent="0.45">
      <c r="A520">
        <v>50</v>
      </c>
      <c r="B520">
        <v>18</v>
      </c>
      <c r="C520">
        <v>103000</v>
      </c>
      <c r="D520" t="s">
        <v>71</v>
      </c>
      <c r="E520" t="s">
        <v>74</v>
      </c>
      <c r="F520" t="s">
        <v>73</v>
      </c>
    </row>
    <row r="521" spans="1:6" x14ac:dyDescent="0.45">
      <c r="A521">
        <v>40</v>
      </c>
      <c r="B521">
        <v>18</v>
      </c>
      <c r="C521">
        <v>103000</v>
      </c>
      <c r="D521" t="s">
        <v>71</v>
      </c>
      <c r="E521" t="s">
        <v>74</v>
      </c>
      <c r="F521" t="s">
        <v>73</v>
      </c>
    </row>
    <row r="522" spans="1:6" x14ac:dyDescent="0.45">
      <c r="A522">
        <v>50</v>
      </c>
      <c r="B522">
        <v>18</v>
      </c>
      <c r="C522">
        <v>103500</v>
      </c>
      <c r="D522" t="s">
        <v>71</v>
      </c>
      <c r="E522" t="s">
        <v>72</v>
      </c>
      <c r="F522" t="s">
        <v>73</v>
      </c>
    </row>
    <row r="523" spans="1:6" x14ac:dyDescent="0.45">
      <c r="A523">
        <v>53</v>
      </c>
      <c r="B523">
        <v>18</v>
      </c>
      <c r="C523">
        <v>103925</v>
      </c>
      <c r="D523" t="s">
        <v>71</v>
      </c>
      <c r="E523" t="s">
        <v>74</v>
      </c>
      <c r="F523" t="s">
        <v>73</v>
      </c>
    </row>
    <row r="524" spans="1:6" x14ac:dyDescent="0.45">
      <c r="A524">
        <v>50</v>
      </c>
      <c r="B524">
        <v>18</v>
      </c>
      <c r="C524">
        <v>108000</v>
      </c>
      <c r="D524" t="s">
        <v>71</v>
      </c>
      <c r="E524" t="s">
        <v>74</v>
      </c>
      <c r="F524" t="s">
        <v>73</v>
      </c>
    </row>
    <row r="525" spans="1:6" x14ac:dyDescent="0.45">
      <c r="A525">
        <v>40</v>
      </c>
      <c r="B525">
        <v>18</v>
      </c>
      <c r="C525">
        <v>110000</v>
      </c>
      <c r="D525" t="s">
        <v>71</v>
      </c>
      <c r="E525" t="s">
        <v>72</v>
      </c>
      <c r="F525" t="s">
        <v>73</v>
      </c>
    </row>
    <row r="526" spans="1:6" x14ac:dyDescent="0.45">
      <c r="A526">
        <v>0</v>
      </c>
      <c r="B526">
        <v>18</v>
      </c>
      <c r="C526">
        <v>110000</v>
      </c>
      <c r="D526" t="s">
        <v>71</v>
      </c>
      <c r="E526" t="s">
        <v>74</v>
      </c>
      <c r="F526" t="s">
        <v>73</v>
      </c>
    </row>
    <row r="527" spans="1:6" x14ac:dyDescent="0.45">
      <c r="A527">
        <v>55</v>
      </c>
      <c r="B527">
        <v>18</v>
      </c>
      <c r="C527">
        <v>110000</v>
      </c>
      <c r="D527" t="s">
        <v>71</v>
      </c>
      <c r="E527" t="s">
        <v>74</v>
      </c>
      <c r="F527" t="s">
        <v>73</v>
      </c>
    </row>
    <row r="528" spans="1:6" x14ac:dyDescent="0.45">
      <c r="A528">
        <v>50</v>
      </c>
      <c r="B528">
        <v>18</v>
      </c>
      <c r="C528">
        <v>110000</v>
      </c>
      <c r="D528" t="s">
        <v>71</v>
      </c>
      <c r="E528" t="s">
        <v>72</v>
      </c>
      <c r="F528" t="s">
        <v>73</v>
      </c>
    </row>
    <row r="529" spans="1:6" x14ac:dyDescent="0.45">
      <c r="A529">
        <v>38</v>
      </c>
      <c r="B529">
        <v>18</v>
      </c>
      <c r="C529">
        <v>110000</v>
      </c>
      <c r="D529" t="s">
        <v>71</v>
      </c>
      <c r="E529" t="s">
        <v>74</v>
      </c>
      <c r="F529" t="s">
        <v>73</v>
      </c>
    </row>
    <row r="530" spans="1:6" x14ac:dyDescent="0.45">
      <c r="A530">
        <v>40</v>
      </c>
      <c r="B530">
        <v>18</v>
      </c>
      <c r="C530">
        <v>110000</v>
      </c>
      <c r="D530" t="s">
        <v>71</v>
      </c>
      <c r="E530" t="s">
        <v>74</v>
      </c>
      <c r="F530" t="s">
        <v>73</v>
      </c>
    </row>
    <row r="531" spans="1:6" x14ac:dyDescent="0.45">
      <c r="A531">
        <v>40</v>
      </c>
      <c r="B531">
        <v>18</v>
      </c>
      <c r="C531">
        <v>110000</v>
      </c>
      <c r="D531" t="s">
        <v>71</v>
      </c>
      <c r="E531" t="s">
        <v>74</v>
      </c>
      <c r="F531" t="s">
        <v>73</v>
      </c>
    </row>
    <row r="532" spans="1:6" x14ac:dyDescent="0.45">
      <c r="A532">
        <v>55</v>
      </c>
      <c r="B532">
        <v>18</v>
      </c>
      <c r="C532">
        <v>110000</v>
      </c>
      <c r="D532" t="s">
        <v>71</v>
      </c>
      <c r="E532" t="s">
        <v>74</v>
      </c>
      <c r="F532" t="s">
        <v>73</v>
      </c>
    </row>
    <row r="533" spans="1:6" x14ac:dyDescent="0.45">
      <c r="A533">
        <v>40</v>
      </c>
      <c r="B533">
        <v>18</v>
      </c>
      <c r="C533">
        <v>110000</v>
      </c>
      <c r="D533" t="s">
        <v>71</v>
      </c>
      <c r="E533" t="s">
        <v>74</v>
      </c>
      <c r="F533" t="s">
        <v>73</v>
      </c>
    </row>
    <row r="534" spans="1:6" x14ac:dyDescent="0.45">
      <c r="A534">
        <v>60</v>
      </c>
      <c r="B534">
        <v>18</v>
      </c>
      <c r="C534">
        <v>111000</v>
      </c>
      <c r="D534" t="s">
        <v>76</v>
      </c>
      <c r="E534" t="s">
        <v>74</v>
      </c>
      <c r="F534" t="s">
        <v>73</v>
      </c>
    </row>
    <row r="535" spans="1:6" x14ac:dyDescent="0.45">
      <c r="A535">
        <v>40</v>
      </c>
      <c r="B535">
        <v>18</v>
      </c>
      <c r="C535">
        <v>113925</v>
      </c>
      <c r="D535" t="s">
        <v>71</v>
      </c>
      <c r="E535" t="s">
        <v>74</v>
      </c>
      <c r="F535" t="s">
        <v>73</v>
      </c>
    </row>
    <row r="536" spans="1:6" x14ac:dyDescent="0.45">
      <c r="A536">
        <v>45</v>
      </c>
      <c r="B536">
        <v>18</v>
      </c>
      <c r="C536">
        <v>115000</v>
      </c>
      <c r="D536" t="s">
        <v>75</v>
      </c>
      <c r="E536" t="s">
        <v>74</v>
      </c>
      <c r="F536" t="s">
        <v>73</v>
      </c>
    </row>
    <row r="537" spans="1:6" x14ac:dyDescent="0.45">
      <c r="A537">
        <v>40</v>
      </c>
      <c r="B537">
        <v>18</v>
      </c>
      <c r="C537">
        <v>115000</v>
      </c>
      <c r="D537" t="s">
        <v>71</v>
      </c>
      <c r="E537" t="s">
        <v>74</v>
      </c>
      <c r="F537" t="s">
        <v>73</v>
      </c>
    </row>
    <row r="538" spans="1:6" x14ac:dyDescent="0.45">
      <c r="A538">
        <v>60</v>
      </c>
      <c r="B538">
        <v>18</v>
      </c>
      <c r="C538">
        <v>117136</v>
      </c>
      <c r="D538" t="s">
        <v>71</v>
      </c>
      <c r="E538" t="s">
        <v>74</v>
      </c>
      <c r="F538" t="s">
        <v>73</v>
      </c>
    </row>
    <row r="539" spans="1:6" x14ac:dyDescent="0.45">
      <c r="A539">
        <v>65</v>
      </c>
      <c r="B539">
        <v>18</v>
      </c>
      <c r="C539">
        <v>119925</v>
      </c>
      <c r="D539" t="s">
        <v>71</v>
      </c>
      <c r="E539" t="s">
        <v>74</v>
      </c>
      <c r="F539" t="s">
        <v>73</v>
      </c>
    </row>
    <row r="540" spans="1:6" x14ac:dyDescent="0.45">
      <c r="A540">
        <v>0</v>
      </c>
      <c r="B540">
        <v>18</v>
      </c>
      <c r="C540">
        <v>120000</v>
      </c>
      <c r="D540" t="s">
        <v>71</v>
      </c>
      <c r="E540" t="s">
        <v>74</v>
      </c>
      <c r="F540" t="s">
        <v>73</v>
      </c>
    </row>
    <row r="541" spans="1:6" x14ac:dyDescent="0.45">
      <c r="A541">
        <v>55</v>
      </c>
      <c r="B541">
        <v>18</v>
      </c>
      <c r="C541">
        <v>120000</v>
      </c>
      <c r="D541" t="s">
        <v>71</v>
      </c>
      <c r="E541" t="s">
        <v>74</v>
      </c>
      <c r="F541" t="s">
        <v>73</v>
      </c>
    </row>
    <row r="542" spans="1:6" x14ac:dyDescent="0.45">
      <c r="A542">
        <v>0</v>
      </c>
      <c r="B542">
        <v>18</v>
      </c>
      <c r="C542">
        <v>120000</v>
      </c>
      <c r="D542" t="s">
        <v>71</v>
      </c>
      <c r="E542" t="s">
        <v>74</v>
      </c>
      <c r="F542" t="s">
        <v>73</v>
      </c>
    </row>
    <row r="543" spans="1:6" x14ac:dyDescent="0.45">
      <c r="A543">
        <v>50</v>
      </c>
      <c r="B543">
        <v>18</v>
      </c>
      <c r="C543">
        <v>120000</v>
      </c>
      <c r="D543" t="s">
        <v>71</v>
      </c>
      <c r="E543" t="s">
        <v>74</v>
      </c>
      <c r="F543" t="s">
        <v>73</v>
      </c>
    </row>
    <row r="544" spans="1:6" x14ac:dyDescent="0.45">
      <c r="A544">
        <v>50</v>
      </c>
      <c r="B544">
        <v>18</v>
      </c>
      <c r="C544">
        <v>120000</v>
      </c>
      <c r="D544" t="s">
        <v>71</v>
      </c>
      <c r="E544" t="s">
        <v>72</v>
      </c>
      <c r="F544" t="s">
        <v>73</v>
      </c>
    </row>
    <row r="545" spans="1:6" x14ac:dyDescent="0.45">
      <c r="A545">
        <v>48</v>
      </c>
      <c r="B545">
        <v>18</v>
      </c>
      <c r="C545">
        <v>120000</v>
      </c>
      <c r="D545" t="s">
        <v>71</v>
      </c>
      <c r="E545" t="s">
        <v>74</v>
      </c>
      <c r="F545" t="s">
        <v>73</v>
      </c>
    </row>
    <row r="546" spans="1:6" x14ac:dyDescent="0.45">
      <c r="A546">
        <v>40</v>
      </c>
      <c r="B546">
        <v>18</v>
      </c>
      <c r="C546">
        <v>120000</v>
      </c>
      <c r="D546" t="s">
        <v>71</v>
      </c>
      <c r="E546" t="s">
        <v>74</v>
      </c>
      <c r="F546" t="s">
        <v>73</v>
      </c>
    </row>
    <row r="547" spans="1:6" x14ac:dyDescent="0.45">
      <c r="A547">
        <v>50</v>
      </c>
      <c r="B547">
        <v>18</v>
      </c>
      <c r="C547">
        <v>125000</v>
      </c>
      <c r="D547" t="s">
        <v>71</v>
      </c>
      <c r="E547" t="s">
        <v>74</v>
      </c>
      <c r="F547" t="s">
        <v>73</v>
      </c>
    </row>
    <row r="548" spans="1:6" x14ac:dyDescent="0.45">
      <c r="A548">
        <v>40</v>
      </c>
      <c r="B548">
        <v>18</v>
      </c>
      <c r="C548">
        <v>128000</v>
      </c>
      <c r="D548" t="s">
        <v>71</v>
      </c>
      <c r="E548" t="s">
        <v>72</v>
      </c>
      <c r="F548" t="s">
        <v>73</v>
      </c>
    </row>
    <row r="549" spans="1:6" x14ac:dyDescent="0.45">
      <c r="A549">
        <v>50</v>
      </c>
      <c r="B549">
        <v>18</v>
      </c>
      <c r="C549">
        <v>128000</v>
      </c>
      <c r="D549" t="s">
        <v>71</v>
      </c>
      <c r="E549" t="s">
        <v>74</v>
      </c>
      <c r="F549" t="s">
        <v>73</v>
      </c>
    </row>
    <row r="550" spans="1:6" x14ac:dyDescent="0.45">
      <c r="A550">
        <v>45</v>
      </c>
      <c r="B550">
        <v>18</v>
      </c>
      <c r="C550">
        <v>129500</v>
      </c>
      <c r="D550" t="s">
        <v>71</v>
      </c>
      <c r="E550" t="s">
        <v>74</v>
      </c>
      <c r="F550" t="s">
        <v>73</v>
      </c>
    </row>
    <row r="551" spans="1:6" x14ac:dyDescent="0.45">
      <c r="A551">
        <v>50</v>
      </c>
      <c r="B551">
        <v>18</v>
      </c>
      <c r="C551">
        <v>130000</v>
      </c>
      <c r="D551" t="s">
        <v>71</v>
      </c>
      <c r="E551" t="s">
        <v>74</v>
      </c>
      <c r="F551" t="s">
        <v>73</v>
      </c>
    </row>
    <row r="552" spans="1:6" x14ac:dyDescent="0.45">
      <c r="A552">
        <v>60</v>
      </c>
      <c r="B552">
        <v>18</v>
      </c>
      <c r="C552">
        <v>131925</v>
      </c>
      <c r="D552" t="s">
        <v>71</v>
      </c>
      <c r="E552" t="s">
        <v>74</v>
      </c>
      <c r="F552" t="s">
        <v>73</v>
      </c>
    </row>
    <row r="553" spans="1:6" x14ac:dyDescent="0.45">
      <c r="A553">
        <v>60</v>
      </c>
      <c r="B553">
        <v>18</v>
      </c>
      <c r="C553">
        <v>132000</v>
      </c>
      <c r="D553" t="s">
        <v>71</v>
      </c>
      <c r="E553" t="s">
        <v>74</v>
      </c>
      <c r="F553" t="s">
        <v>73</v>
      </c>
    </row>
    <row r="554" spans="1:6" x14ac:dyDescent="0.45">
      <c r="A554">
        <v>98</v>
      </c>
      <c r="B554">
        <v>18</v>
      </c>
      <c r="C554">
        <v>134400</v>
      </c>
      <c r="D554" t="s">
        <v>71</v>
      </c>
      <c r="E554" t="s">
        <v>72</v>
      </c>
      <c r="F554" t="s">
        <v>73</v>
      </c>
    </row>
    <row r="555" spans="1:6" x14ac:dyDescent="0.45">
      <c r="A555">
        <v>40</v>
      </c>
      <c r="B555">
        <v>18</v>
      </c>
      <c r="C555">
        <v>135000</v>
      </c>
      <c r="D555" t="s">
        <v>71</v>
      </c>
      <c r="E555" t="s">
        <v>72</v>
      </c>
      <c r="F555" t="s">
        <v>73</v>
      </c>
    </row>
    <row r="556" spans="1:6" x14ac:dyDescent="0.45">
      <c r="A556">
        <v>60</v>
      </c>
      <c r="B556">
        <v>18</v>
      </c>
      <c r="C556">
        <v>135000</v>
      </c>
      <c r="D556" t="s">
        <v>71</v>
      </c>
      <c r="E556" t="s">
        <v>74</v>
      </c>
      <c r="F556" t="s">
        <v>73</v>
      </c>
    </row>
    <row r="557" spans="1:6" x14ac:dyDescent="0.45">
      <c r="A557">
        <v>40</v>
      </c>
      <c r="B557">
        <v>18</v>
      </c>
      <c r="C557">
        <v>140000</v>
      </c>
      <c r="D557" t="s">
        <v>71</v>
      </c>
      <c r="E557" t="s">
        <v>74</v>
      </c>
      <c r="F557" t="s">
        <v>73</v>
      </c>
    </row>
    <row r="558" spans="1:6" x14ac:dyDescent="0.45">
      <c r="A558">
        <v>70</v>
      </c>
      <c r="B558">
        <v>18</v>
      </c>
      <c r="C558">
        <v>140000</v>
      </c>
      <c r="D558" t="s">
        <v>76</v>
      </c>
      <c r="E558" t="s">
        <v>74</v>
      </c>
      <c r="F558" t="s">
        <v>73</v>
      </c>
    </row>
    <row r="559" spans="1:6" x14ac:dyDescent="0.45">
      <c r="A559">
        <v>40</v>
      </c>
      <c r="B559">
        <v>18</v>
      </c>
      <c r="C559">
        <v>150000</v>
      </c>
      <c r="D559" t="s">
        <v>71</v>
      </c>
      <c r="E559" t="s">
        <v>74</v>
      </c>
      <c r="F559" t="s">
        <v>73</v>
      </c>
    </row>
    <row r="560" spans="1:6" x14ac:dyDescent="0.45">
      <c r="A560">
        <v>55</v>
      </c>
      <c r="B560">
        <v>18</v>
      </c>
      <c r="C560">
        <v>150000</v>
      </c>
      <c r="D560" t="s">
        <v>76</v>
      </c>
      <c r="E560" t="s">
        <v>74</v>
      </c>
      <c r="F560" t="s">
        <v>73</v>
      </c>
    </row>
    <row r="561" spans="1:6" x14ac:dyDescent="0.45">
      <c r="A561">
        <v>60</v>
      </c>
      <c r="B561">
        <v>18</v>
      </c>
      <c r="C561">
        <v>150000</v>
      </c>
      <c r="D561" t="s">
        <v>71</v>
      </c>
      <c r="E561" t="s">
        <v>74</v>
      </c>
      <c r="F561" t="s">
        <v>73</v>
      </c>
    </row>
    <row r="562" spans="1:6" x14ac:dyDescent="0.45">
      <c r="A562">
        <v>55</v>
      </c>
      <c r="B562">
        <v>18</v>
      </c>
      <c r="C562">
        <v>150000</v>
      </c>
      <c r="D562" t="s">
        <v>71</v>
      </c>
      <c r="E562" t="s">
        <v>74</v>
      </c>
      <c r="F562" t="s">
        <v>73</v>
      </c>
    </row>
    <row r="563" spans="1:6" x14ac:dyDescent="0.45">
      <c r="A563">
        <v>0</v>
      </c>
      <c r="B563">
        <v>18</v>
      </c>
      <c r="C563">
        <v>150000</v>
      </c>
      <c r="D563" t="s">
        <v>71</v>
      </c>
      <c r="E563" t="s">
        <v>74</v>
      </c>
      <c r="F563" t="s">
        <v>73</v>
      </c>
    </row>
    <row r="564" spans="1:6" x14ac:dyDescent="0.45">
      <c r="A564">
        <v>0</v>
      </c>
      <c r="B564">
        <v>18</v>
      </c>
      <c r="C564">
        <v>150000</v>
      </c>
      <c r="D564" t="s">
        <v>71</v>
      </c>
      <c r="E564" t="s">
        <v>72</v>
      </c>
      <c r="F564" t="s">
        <v>73</v>
      </c>
    </row>
    <row r="565" spans="1:6" x14ac:dyDescent="0.45">
      <c r="A565">
        <v>35</v>
      </c>
      <c r="B565">
        <v>18</v>
      </c>
      <c r="C565">
        <v>150000</v>
      </c>
      <c r="D565" t="s">
        <v>71</v>
      </c>
      <c r="E565" t="s">
        <v>74</v>
      </c>
      <c r="F565" t="s">
        <v>73</v>
      </c>
    </row>
    <row r="566" spans="1:6" x14ac:dyDescent="0.45">
      <c r="A566">
        <v>50</v>
      </c>
      <c r="B566">
        <v>18</v>
      </c>
      <c r="C566">
        <v>155000</v>
      </c>
      <c r="D566" t="s">
        <v>71</v>
      </c>
      <c r="E566" t="s">
        <v>72</v>
      </c>
      <c r="F566" t="s">
        <v>73</v>
      </c>
    </row>
    <row r="567" spans="1:6" x14ac:dyDescent="0.45">
      <c r="A567">
        <v>0</v>
      </c>
      <c r="B567">
        <v>18</v>
      </c>
      <c r="C567">
        <v>160000</v>
      </c>
      <c r="D567" t="s">
        <v>76</v>
      </c>
      <c r="E567" t="s">
        <v>74</v>
      </c>
      <c r="F567" t="s">
        <v>73</v>
      </c>
    </row>
    <row r="568" spans="1:6" x14ac:dyDescent="0.45">
      <c r="A568">
        <v>50</v>
      </c>
      <c r="B568">
        <v>18</v>
      </c>
      <c r="C568">
        <v>209925</v>
      </c>
      <c r="D568" t="s">
        <v>71</v>
      </c>
      <c r="E568" t="s">
        <v>74</v>
      </c>
      <c r="F568" t="s">
        <v>73</v>
      </c>
    </row>
    <row r="569" spans="1:6" x14ac:dyDescent="0.45">
      <c r="A569">
        <v>40</v>
      </c>
      <c r="B569">
        <v>18</v>
      </c>
      <c r="C569">
        <v>306731</v>
      </c>
      <c r="D569" t="s">
        <v>71</v>
      </c>
      <c r="E569" t="s">
        <v>74</v>
      </c>
      <c r="F569" t="s">
        <v>73</v>
      </c>
    </row>
    <row r="570" spans="1:6" x14ac:dyDescent="0.45">
      <c r="A570">
        <v>70</v>
      </c>
      <c r="B570">
        <v>18</v>
      </c>
      <c r="C570">
        <v>306731</v>
      </c>
      <c r="D570" t="s">
        <v>71</v>
      </c>
      <c r="E570" t="s">
        <v>74</v>
      </c>
      <c r="F570" t="s">
        <v>73</v>
      </c>
    </row>
    <row r="571" spans="1:6" x14ac:dyDescent="0.45">
      <c r="A571">
        <v>60</v>
      </c>
      <c r="B571">
        <v>18</v>
      </c>
      <c r="C571">
        <v>306731</v>
      </c>
      <c r="D571" t="s">
        <v>71</v>
      </c>
      <c r="E571" t="s">
        <v>74</v>
      </c>
      <c r="F571" t="s">
        <v>73</v>
      </c>
    </row>
    <row r="572" spans="1:6" x14ac:dyDescent="0.45">
      <c r="A572">
        <v>60</v>
      </c>
      <c r="B572">
        <v>18</v>
      </c>
      <c r="C572">
        <v>306731</v>
      </c>
      <c r="D572" t="s">
        <v>71</v>
      </c>
      <c r="E572" t="s">
        <v>74</v>
      </c>
      <c r="F572" t="s">
        <v>73</v>
      </c>
    </row>
    <row r="573" spans="1:6" x14ac:dyDescent="0.45">
      <c r="A573">
        <v>60</v>
      </c>
      <c r="B573">
        <v>18</v>
      </c>
      <c r="C573">
        <v>306731</v>
      </c>
      <c r="D573" t="s">
        <v>75</v>
      </c>
      <c r="E573" t="s">
        <v>74</v>
      </c>
      <c r="F573" t="s">
        <v>73</v>
      </c>
    </row>
    <row r="574" spans="1:6" x14ac:dyDescent="0.45">
      <c r="A574">
        <v>70</v>
      </c>
      <c r="B574">
        <v>18</v>
      </c>
      <c r="C574">
        <v>306731</v>
      </c>
      <c r="D574" t="s">
        <v>71</v>
      </c>
      <c r="E574" t="s">
        <v>74</v>
      </c>
      <c r="F574" t="s">
        <v>73</v>
      </c>
    </row>
    <row r="575" spans="1:6" x14ac:dyDescent="0.45">
      <c r="A575">
        <v>55</v>
      </c>
      <c r="B575">
        <v>18</v>
      </c>
      <c r="C575">
        <v>306731</v>
      </c>
      <c r="D575" t="s">
        <v>71</v>
      </c>
      <c r="E575" t="s">
        <v>74</v>
      </c>
      <c r="F575" t="s">
        <v>73</v>
      </c>
    </row>
    <row r="576" spans="1:6" x14ac:dyDescent="0.45">
      <c r="A576">
        <v>47</v>
      </c>
      <c r="B576">
        <v>18</v>
      </c>
      <c r="C576">
        <v>306731</v>
      </c>
      <c r="D576" t="s">
        <v>71</v>
      </c>
      <c r="E576" t="s">
        <v>74</v>
      </c>
      <c r="F576" t="s">
        <v>73</v>
      </c>
    </row>
    <row r="577" spans="1:6" x14ac:dyDescent="0.45">
      <c r="A577">
        <v>0</v>
      </c>
      <c r="B577">
        <v>18</v>
      </c>
      <c r="C577">
        <v>306731</v>
      </c>
      <c r="D577" t="s">
        <v>71</v>
      </c>
      <c r="E577" t="s">
        <v>74</v>
      </c>
      <c r="F577" t="s">
        <v>73</v>
      </c>
    </row>
    <row r="578" spans="1:6" x14ac:dyDescent="0.45">
      <c r="A578">
        <v>50</v>
      </c>
      <c r="B578">
        <v>18</v>
      </c>
      <c r="C578">
        <v>306731</v>
      </c>
      <c r="D578" t="s">
        <v>71</v>
      </c>
      <c r="E578" t="s">
        <v>74</v>
      </c>
      <c r="F578" t="s">
        <v>73</v>
      </c>
    </row>
    <row r="579" spans="1:6" x14ac:dyDescent="0.45">
      <c r="A579">
        <v>40</v>
      </c>
      <c r="B579">
        <v>18</v>
      </c>
      <c r="C579">
        <v>306731</v>
      </c>
      <c r="D579" t="s">
        <v>71</v>
      </c>
      <c r="E579" t="s">
        <v>74</v>
      </c>
      <c r="F579" t="s">
        <v>73</v>
      </c>
    </row>
    <row r="580" spans="1:6" x14ac:dyDescent="0.45">
      <c r="A580">
        <v>99</v>
      </c>
      <c r="B580">
        <v>18</v>
      </c>
      <c r="C580">
        <v>306731</v>
      </c>
      <c r="D580" t="s">
        <v>71</v>
      </c>
      <c r="E580" t="s">
        <v>74</v>
      </c>
      <c r="F580" t="s">
        <v>73</v>
      </c>
    </row>
    <row r="581" spans="1:6" x14ac:dyDescent="0.45">
      <c r="A581">
        <v>45</v>
      </c>
      <c r="B581">
        <v>18</v>
      </c>
      <c r="C581">
        <v>306731</v>
      </c>
      <c r="D581" t="s">
        <v>71</v>
      </c>
      <c r="E581" t="s">
        <v>74</v>
      </c>
      <c r="F581" t="s">
        <v>73</v>
      </c>
    </row>
    <row r="582" spans="1:6" x14ac:dyDescent="0.45">
      <c r="A582">
        <v>50</v>
      </c>
      <c r="B582">
        <v>18</v>
      </c>
      <c r="C582">
        <v>306731</v>
      </c>
      <c r="D582" t="s">
        <v>71</v>
      </c>
      <c r="E582" t="s">
        <v>74</v>
      </c>
      <c r="F582" t="s">
        <v>73</v>
      </c>
    </row>
    <row r="583" spans="1:6" x14ac:dyDescent="0.45">
      <c r="A583">
        <v>40</v>
      </c>
      <c r="B583">
        <v>18</v>
      </c>
      <c r="C583">
        <v>306731</v>
      </c>
      <c r="D583" t="s">
        <v>71</v>
      </c>
      <c r="E583" t="s">
        <v>74</v>
      </c>
      <c r="F583" t="s">
        <v>73</v>
      </c>
    </row>
    <row r="584" spans="1:6" x14ac:dyDescent="0.45">
      <c r="A584">
        <v>40</v>
      </c>
      <c r="B584">
        <v>18</v>
      </c>
      <c r="C584">
        <v>306731</v>
      </c>
      <c r="D584" t="s">
        <v>71</v>
      </c>
      <c r="E584" t="s">
        <v>74</v>
      </c>
      <c r="F584" t="s">
        <v>73</v>
      </c>
    </row>
    <row r="585" spans="1:6" x14ac:dyDescent="0.45">
      <c r="A585">
        <v>40</v>
      </c>
      <c r="B585">
        <v>18</v>
      </c>
      <c r="C585">
        <v>306731</v>
      </c>
      <c r="D585" t="s">
        <v>71</v>
      </c>
      <c r="E585" t="s">
        <v>74</v>
      </c>
      <c r="F585" t="s">
        <v>73</v>
      </c>
    </row>
    <row r="586" spans="1:6" x14ac:dyDescent="0.45">
      <c r="A586">
        <v>0</v>
      </c>
      <c r="B586">
        <v>18</v>
      </c>
      <c r="C586">
        <v>306731</v>
      </c>
      <c r="D586" t="s">
        <v>71</v>
      </c>
      <c r="E586" t="s">
        <v>74</v>
      </c>
      <c r="F586" t="s">
        <v>73</v>
      </c>
    </row>
    <row r="587" spans="1:6" x14ac:dyDescent="0.45">
      <c r="A587">
        <v>50</v>
      </c>
      <c r="B587">
        <v>18</v>
      </c>
      <c r="C587">
        <v>306731</v>
      </c>
      <c r="D587" t="s">
        <v>71</v>
      </c>
      <c r="E587" t="s">
        <v>74</v>
      </c>
      <c r="F587" t="s">
        <v>73</v>
      </c>
    </row>
    <row r="588" spans="1:6" x14ac:dyDescent="0.45">
      <c r="A588">
        <v>55</v>
      </c>
      <c r="B588">
        <v>18</v>
      </c>
      <c r="C588">
        <v>306731</v>
      </c>
      <c r="D588" t="s">
        <v>71</v>
      </c>
      <c r="E588" t="s">
        <v>74</v>
      </c>
      <c r="F588" t="s">
        <v>73</v>
      </c>
    </row>
    <row r="589" spans="1:6" x14ac:dyDescent="0.45">
      <c r="A589">
        <v>65</v>
      </c>
      <c r="B589">
        <v>18</v>
      </c>
      <c r="C589">
        <v>306731</v>
      </c>
      <c r="D589" t="s">
        <v>71</v>
      </c>
      <c r="E589" t="s">
        <v>74</v>
      </c>
      <c r="F589" t="s">
        <v>73</v>
      </c>
    </row>
    <row r="590" spans="1:6" x14ac:dyDescent="0.45">
      <c r="A590">
        <v>50</v>
      </c>
      <c r="B590">
        <v>18</v>
      </c>
      <c r="C590">
        <v>306731</v>
      </c>
      <c r="D590" t="s">
        <v>71</v>
      </c>
      <c r="E590" t="s">
        <v>74</v>
      </c>
      <c r="F590" t="s">
        <v>73</v>
      </c>
    </row>
    <row r="591" spans="1:6" x14ac:dyDescent="0.45">
      <c r="A591">
        <v>40</v>
      </c>
      <c r="B591">
        <v>18</v>
      </c>
      <c r="C591">
        <v>306731</v>
      </c>
      <c r="D591" t="s">
        <v>71</v>
      </c>
      <c r="E591" t="s">
        <v>74</v>
      </c>
      <c r="F591" t="s">
        <v>73</v>
      </c>
    </row>
    <row r="592" spans="1:6" x14ac:dyDescent="0.45">
      <c r="A592">
        <v>50</v>
      </c>
      <c r="B592">
        <v>18</v>
      </c>
      <c r="C592">
        <v>306731</v>
      </c>
      <c r="D592" t="s">
        <v>71</v>
      </c>
      <c r="E592" t="s">
        <v>74</v>
      </c>
      <c r="F592" t="s">
        <v>73</v>
      </c>
    </row>
    <row r="593" spans="1:6" x14ac:dyDescent="0.45">
      <c r="A593">
        <v>50</v>
      </c>
      <c r="B593">
        <v>18</v>
      </c>
      <c r="C593">
        <v>306731</v>
      </c>
      <c r="D593" t="s">
        <v>71</v>
      </c>
      <c r="E593" t="s">
        <v>74</v>
      </c>
      <c r="F593" t="s">
        <v>73</v>
      </c>
    </row>
    <row r="594" spans="1:6" x14ac:dyDescent="0.45">
      <c r="A594">
        <v>60</v>
      </c>
      <c r="B594">
        <v>18</v>
      </c>
      <c r="C594">
        <v>306731</v>
      </c>
      <c r="D594" t="s">
        <v>71</v>
      </c>
      <c r="E594" t="s">
        <v>74</v>
      </c>
      <c r="F594" t="s">
        <v>73</v>
      </c>
    </row>
    <row r="595" spans="1:6" x14ac:dyDescent="0.45">
      <c r="A595">
        <v>80</v>
      </c>
      <c r="B595">
        <v>18</v>
      </c>
      <c r="C595">
        <v>306731</v>
      </c>
      <c r="D595" t="s">
        <v>71</v>
      </c>
      <c r="E595" t="s">
        <v>74</v>
      </c>
      <c r="F595" t="s">
        <v>73</v>
      </c>
    </row>
    <row r="596" spans="1:6" x14ac:dyDescent="0.45">
      <c r="A596">
        <v>50</v>
      </c>
      <c r="B596">
        <v>18</v>
      </c>
      <c r="C596">
        <v>306731</v>
      </c>
      <c r="D596" t="s">
        <v>71</v>
      </c>
      <c r="E596" t="s">
        <v>74</v>
      </c>
      <c r="F596" t="s">
        <v>73</v>
      </c>
    </row>
    <row r="597" spans="1:6" x14ac:dyDescent="0.45">
      <c r="A597">
        <v>0</v>
      </c>
      <c r="B597">
        <v>18</v>
      </c>
      <c r="C597">
        <v>306731</v>
      </c>
      <c r="D597" t="s">
        <v>71</v>
      </c>
      <c r="E597" t="s">
        <v>74</v>
      </c>
      <c r="F597" t="s">
        <v>73</v>
      </c>
    </row>
    <row r="598" spans="1:6" x14ac:dyDescent="0.45">
      <c r="A598">
        <v>60</v>
      </c>
      <c r="B598">
        <v>18</v>
      </c>
      <c r="C598">
        <v>306731</v>
      </c>
      <c r="D598" t="s">
        <v>71</v>
      </c>
      <c r="E598" t="s">
        <v>74</v>
      </c>
      <c r="F598" t="s">
        <v>73</v>
      </c>
    </row>
    <row r="599" spans="1:6" x14ac:dyDescent="0.45">
      <c r="A599">
        <v>65</v>
      </c>
      <c r="B599">
        <v>18</v>
      </c>
      <c r="C599">
        <v>306731</v>
      </c>
      <c r="D599" t="s">
        <v>71</v>
      </c>
      <c r="E599" t="s">
        <v>74</v>
      </c>
      <c r="F599" t="s">
        <v>73</v>
      </c>
    </row>
    <row r="600" spans="1:6" x14ac:dyDescent="0.45">
      <c r="A600">
        <v>47</v>
      </c>
      <c r="B600">
        <v>18</v>
      </c>
      <c r="C600">
        <v>306731</v>
      </c>
      <c r="D600" t="s">
        <v>71</v>
      </c>
      <c r="E600" t="s">
        <v>74</v>
      </c>
      <c r="F600" t="s">
        <v>73</v>
      </c>
    </row>
    <row r="601" spans="1:6" x14ac:dyDescent="0.45">
      <c r="A601">
        <v>45</v>
      </c>
      <c r="B601">
        <v>18</v>
      </c>
      <c r="C601">
        <v>306731</v>
      </c>
      <c r="D601" t="s">
        <v>71</v>
      </c>
      <c r="E601" t="s">
        <v>74</v>
      </c>
      <c r="F601" t="s">
        <v>73</v>
      </c>
    </row>
    <row r="602" spans="1:6" x14ac:dyDescent="0.45">
      <c r="A602">
        <v>50</v>
      </c>
      <c r="B602">
        <v>18</v>
      </c>
      <c r="C602">
        <v>306731</v>
      </c>
      <c r="D602" t="s">
        <v>71</v>
      </c>
      <c r="E602" t="s">
        <v>74</v>
      </c>
      <c r="F602" t="s">
        <v>73</v>
      </c>
    </row>
    <row r="603" spans="1:6" x14ac:dyDescent="0.45">
      <c r="A603">
        <v>60</v>
      </c>
      <c r="B603">
        <v>18</v>
      </c>
      <c r="C603">
        <v>306731</v>
      </c>
      <c r="D603" t="s">
        <v>71</v>
      </c>
      <c r="E603" t="s">
        <v>74</v>
      </c>
      <c r="F603" t="s">
        <v>73</v>
      </c>
    </row>
    <row r="604" spans="1:6" x14ac:dyDescent="0.45">
      <c r="A604">
        <v>60</v>
      </c>
      <c r="B604">
        <v>18</v>
      </c>
      <c r="C604">
        <v>306731</v>
      </c>
      <c r="D604" t="s">
        <v>71</v>
      </c>
      <c r="E604" t="s">
        <v>74</v>
      </c>
      <c r="F604" t="s">
        <v>73</v>
      </c>
    </row>
    <row r="605" spans="1:6" x14ac:dyDescent="0.45">
      <c r="A605">
        <v>0</v>
      </c>
      <c r="B605">
        <v>18</v>
      </c>
      <c r="C605">
        <v>306731</v>
      </c>
      <c r="D605" t="s">
        <v>71</v>
      </c>
      <c r="E605" t="s">
        <v>74</v>
      </c>
      <c r="F605" t="s">
        <v>73</v>
      </c>
    </row>
    <row r="606" spans="1:6" x14ac:dyDescent="0.45">
      <c r="A606">
        <v>50</v>
      </c>
      <c r="B606">
        <v>18</v>
      </c>
      <c r="C606">
        <v>314731</v>
      </c>
      <c r="D606" t="s">
        <v>71</v>
      </c>
      <c r="E606" t="s">
        <v>74</v>
      </c>
      <c r="F606" t="s">
        <v>73</v>
      </c>
    </row>
    <row r="607" spans="1:6" x14ac:dyDescent="0.45">
      <c r="A607">
        <v>70</v>
      </c>
      <c r="B607">
        <v>18</v>
      </c>
      <c r="C607">
        <v>327731</v>
      </c>
      <c r="D607" t="s">
        <v>71</v>
      </c>
      <c r="E607" t="s">
        <v>74</v>
      </c>
      <c r="F607" t="s">
        <v>73</v>
      </c>
    </row>
    <row r="608" spans="1:6" x14ac:dyDescent="0.45">
      <c r="A608">
        <v>50</v>
      </c>
      <c r="B608">
        <v>18</v>
      </c>
      <c r="C608">
        <v>327731</v>
      </c>
      <c r="D608" t="s">
        <v>71</v>
      </c>
      <c r="E608" t="s">
        <v>74</v>
      </c>
      <c r="F608" t="s">
        <v>73</v>
      </c>
    </row>
    <row r="609" spans="1:6" x14ac:dyDescent="0.45">
      <c r="A609">
        <v>58</v>
      </c>
      <c r="B609">
        <v>18</v>
      </c>
      <c r="C609">
        <v>331731</v>
      </c>
      <c r="D609" t="s">
        <v>71</v>
      </c>
      <c r="E609" t="s">
        <v>74</v>
      </c>
      <c r="F609" t="s">
        <v>73</v>
      </c>
    </row>
    <row r="610" spans="1:6" x14ac:dyDescent="0.45">
      <c r="A610">
        <v>40</v>
      </c>
      <c r="B610">
        <v>18</v>
      </c>
      <c r="C610">
        <v>348516</v>
      </c>
      <c r="D610" t="s">
        <v>71</v>
      </c>
      <c r="E610" t="s">
        <v>74</v>
      </c>
      <c r="F610" t="s">
        <v>73</v>
      </c>
    </row>
    <row r="611" spans="1:6" x14ac:dyDescent="0.45">
      <c r="A611">
        <v>55</v>
      </c>
      <c r="B611">
        <v>18</v>
      </c>
      <c r="C611">
        <v>366656</v>
      </c>
      <c r="D611" t="s">
        <v>75</v>
      </c>
      <c r="E611" t="s">
        <v>74</v>
      </c>
      <c r="F611" t="s">
        <v>73</v>
      </c>
    </row>
    <row r="612" spans="1:6" x14ac:dyDescent="0.45">
      <c r="A612">
        <v>65</v>
      </c>
      <c r="B612">
        <v>18</v>
      </c>
      <c r="C612">
        <v>366656</v>
      </c>
      <c r="D612" t="s">
        <v>71</v>
      </c>
      <c r="E612" t="s">
        <v>74</v>
      </c>
      <c r="F612" t="s">
        <v>73</v>
      </c>
    </row>
    <row r="613" spans="1:6" x14ac:dyDescent="0.45">
      <c r="A613">
        <v>60</v>
      </c>
      <c r="B613">
        <v>18</v>
      </c>
      <c r="C613">
        <v>402204</v>
      </c>
      <c r="D613" t="s">
        <v>71</v>
      </c>
      <c r="E613" t="s">
        <v>72</v>
      </c>
      <c r="F613" t="s">
        <v>73</v>
      </c>
    </row>
    <row r="614" spans="1:6" x14ac:dyDescent="0.45">
      <c r="A614">
        <v>75</v>
      </c>
      <c r="B614">
        <v>18</v>
      </c>
      <c r="C614">
        <v>402204</v>
      </c>
      <c r="D614" t="s">
        <v>71</v>
      </c>
      <c r="E614" t="s">
        <v>72</v>
      </c>
      <c r="F614" t="s">
        <v>73</v>
      </c>
    </row>
    <row r="615" spans="1:6" x14ac:dyDescent="0.45">
      <c r="A615">
        <v>48</v>
      </c>
      <c r="B615">
        <v>18</v>
      </c>
      <c r="C615">
        <v>422204</v>
      </c>
      <c r="D615" t="s">
        <v>71</v>
      </c>
      <c r="E615" t="s">
        <v>72</v>
      </c>
      <c r="F615" t="s">
        <v>73</v>
      </c>
    </row>
    <row r="616" spans="1:6" x14ac:dyDescent="0.45">
      <c r="A616">
        <v>40</v>
      </c>
      <c r="B616">
        <v>16</v>
      </c>
      <c r="C616">
        <v>412</v>
      </c>
      <c r="D616" t="s">
        <v>71</v>
      </c>
      <c r="E616" t="s">
        <v>72</v>
      </c>
      <c r="F616" t="s">
        <v>78</v>
      </c>
    </row>
    <row r="617" spans="1:6" x14ac:dyDescent="0.45">
      <c r="A617">
        <v>0</v>
      </c>
      <c r="B617">
        <v>16</v>
      </c>
      <c r="C617">
        <v>1000</v>
      </c>
      <c r="D617" t="s">
        <v>71</v>
      </c>
      <c r="E617" t="s">
        <v>74</v>
      </c>
      <c r="F617" t="s">
        <v>78</v>
      </c>
    </row>
    <row r="618" spans="1:6" x14ac:dyDescent="0.45">
      <c r="A618">
        <v>0</v>
      </c>
      <c r="B618">
        <v>16</v>
      </c>
      <c r="C618">
        <v>1200</v>
      </c>
      <c r="D618" t="s">
        <v>71</v>
      </c>
      <c r="E618" t="s">
        <v>72</v>
      </c>
      <c r="F618" t="s">
        <v>78</v>
      </c>
    </row>
    <row r="619" spans="1:6" x14ac:dyDescent="0.45">
      <c r="A619">
        <v>50</v>
      </c>
      <c r="B619">
        <v>16</v>
      </c>
      <c r="C619">
        <v>2600</v>
      </c>
      <c r="D619" t="s">
        <v>71</v>
      </c>
      <c r="E619" t="s">
        <v>74</v>
      </c>
      <c r="F619" t="s">
        <v>78</v>
      </c>
    </row>
    <row r="620" spans="1:6" x14ac:dyDescent="0.45">
      <c r="A620">
        <v>40</v>
      </c>
      <c r="B620">
        <v>16</v>
      </c>
      <c r="C620">
        <v>3000</v>
      </c>
      <c r="D620" t="s">
        <v>71</v>
      </c>
      <c r="E620" t="s">
        <v>72</v>
      </c>
      <c r="F620" t="s">
        <v>78</v>
      </c>
    </row>
    <row r="621" spans="1:6" x14ac:dyDescent="0.45">
      <c r="A621">
        <v>36</v>
      </c>
      <c r="B621">
        <v>16</v>
      </c>
      <c r="C621">
        <v>3400</v>
      </c>
      <c r="D621" t="s">
        <v>71</v>
      </c>
      <c r="E621" t="s">
        <v>72</v>
      </c>
      <c r="F621" t="s">
        <v>78</v>
      </c>
    </row>
    <row r="622" spans="1:6" x14ac:dyDescent="0.45">
      <c r="A622">
        <v>65</v>
      </c>
      <c r="B622">
        <v>16</v>
      </c>
      <c r="C622">
        <v>3500</v>
      </c>
      <c r="D622" t="s">
        <v>71</v>
      </c>
      <c r="E622" t="s">
        <v>74</v>
      </c>
      <c r="F622" t="s">
        <v>78</v>
      </c>
    </row>
    <row r="623" spans="1:6" x14ac:dyDescent="0.45">
      <c r="A623">
        <v>50</v>
      </c>
      <c r="B623">
        <v>16</v>
      </c>
      <c r="C623">
        <v>3600</v>
      </c>
      <c r="D623" t="s">
        <v>71</v>
      </c>
      <c r="E623" t="s">
        <v>74</v>
      </c>
      <c r="F623" t="s">
        <v>78</v>
      </c>
    </row>
    <row r="624" spans="1:6" x14ac:dyDescent="0.45">
      <c r="A624">
        <v>48</v>
      </c>
      <c r="B624">
        <v>16</v>
      </c>
      <c r="C624">
        <v>4000</v>
      </c>
      <c r="D624" t="s">
        <v>71</v>
      </c>
      <c r="E624" t="s">
        <v>74</v>
      </c>
      <c r="F624" t="s">
        <v>78</v>
      </c>
    </row>
    <row r="625" spans="1:6" x14ac:dyDescent="0.45">
      <c r="A625">
        <v>40</v>
      </c>
      <c r="B625">
        <v>16</v>
      </c>
      <c r="C625">
        <v>4000</v>
      </c>
      <c r="D625" t="s">
        <v>71</v>
      </c>
      <c r="E625" t="s">
        <v>74</v>
      </c>
      <c r="F625" t="s">
        <v>78</v>
      </c>
    </row>
    <row r="626" spans="1:6" x14ac:dyDescent="0.45">
      <c r="A626">
        <v>45</v>
      </c>
      <c r="B626">
        <v>16</v>
      </c>
      <c r="C626">
        <v>4472</v>
      </c>
      <c r="D626" t="s">
        <v>71</v>
      </c>
      <c r="E626" t="s">
        <v>74</v>
      </c>
      <c r="F626" t="s">
        <v>78</v>
      </c>
    </row>
    <row r="627" spans="1:6" x14ac:dyDescent="0.45">
      <c r="A627">
        <v>40</v>
      </c>
      <c r="B627">
        <v>16</v>
      </c>
      <c r="C627">
        <v>5000</v>
      </c>
      <c r="D627" t="s">
        <v>71</v>
      </c>
      <c r="E627" t="s">
        <v>72</v>
      </c>
      <c r="F627" t="s">
        <v>78</v>
      </c>
    </row>
    <row r="628" spans="1:6" x14ac:dyDescent="0.45">
      <c r="A628">
        <v>65</v>
      </c>
      <c r="B628">
        <v>16</v>
      </c>
      <c r="C628">
        <v>5000</v>
      </c>
      <c r="D628" t="s">
        <v>71</v>
      </c>
      <c r="E628" t="s">
        <v>72</v>
      </c>
      <c r="F628" t="s">
        <v>78</v>
      </c>
    </row>
    <row r="629" spans="1:6" x14ac:dyDescent="0.45">
      <c r="A629">
        <v>60</v>
      </c>
      <c r="B629">
        <v>16</v>
      </c>
      <c r="C629">
        <v>5000</v>
      </c>
      <c r="D629" t="s">
        <v>71</v>
      </c>
      <c r="E629" t="s">
        <v>72</v>
      </c>
      <c r="F629" t="s">
        <v>78</v>
      </c>
    </row>
    <row r="630" spans="1:6" x14ac:dyDescent="0.45">
      <c r="A630">
        <v>37</v>
      </c>
      <c r="B630">
        <v>16</v>
      </c>
      <c r="C630">
        <v>5000</v>
      </c>
      <c r="D630" t="s">
        <v>71</v>
      </c>
      <c r="E630" t="s">
        <v>72</v>
      </c>
      <c r="F630" t="s">
        <v>78</v>
      </c>
    </row>
    <row r="631" spans="1:6" x14ac:dyDescent="0.45">
      <c r="A631">
        <v>40</v>
      </c>
      <c r="B631">
        <v>16</v>
      </c>
      <c r="C631">
        <v>5160</v>
      </c>
      <c r="D631" t="s">
        <v>71</v>
      </c>
      <c r="E631" t="s">
        <v>72</v>
      </c>
      <c r="F631" t="s">
        <v>78</v>
      </c>
    </row>
    <row r="632" spans="1:6" x14ac:dyDescent="0.45">
      <c r="A632">
        <v>35</v>
      </c>
      <c r="B632">
        <v>16</v>
      </c>
      <c r="C632">
        <v>5300</v>
      </c>
      <c r="D632" t="s">
        <v>71</v>
      </c>
      <c r="E632" t="s">
        <v>72</v>
      </c>
      <c r="F632" t="s">
        <v>78</v>
      </c>
    </row>
    <row r="633" spans="1:6" x14ac:dyDescent="0.45">
      <c r="A633">
        <v>35</v>
      </c>
      <c r="B633">
        <v>16</v>
      </c>
      <c r="C633">
        <v>5300</v>
      </c>
      <c r="D633" t="s">
        <v>76</v>
      </c>
      <c r="E633" t="s">
        <v>72</v>
      </c>
      <c r="F633" t="s">
        <v>78</v>
      </c>
    </row>
    <row r="634" spans="1:6" x14ac:dyDescent="0.45">
      <c r="A634">
        <v>0</v>
      </c>
      <c r="B634">
        <v>16</v>
      </c>
      <c r="C634">
        <v>6000</v>
      </c>
      <c r="D634" t="s">
        <v>71</v>
      </c>
      <c r="E634" t="s">
        <v>72</v>
      </c>
      <c r="F634" t="s">
        <v>78</v>
      </c>
    </row>
    <row r="635" spans="1:6" x14ac:dyDescent="0.45">
      <c r="A635">
        <v>40</v>
      </c>
      <c r="B635">
        <v>16</v>
      </c>
      <c r="C635">
        <v>6400</v>
      </c>
      <c r="D635" t="s">
        <v>71</v>
      </c>
      <c r="E635" t="s">
        <v>74</v>
      </c>
      <c r="F635" t="s">
        <v>78</v>
      </c>
    </row>
    <row r="636" spans="1:6" x14ac:dyDescent="0.45">
      <c r="A636">
        <v>40</v>
      </c>
      <c r="B636">
        <v>16</v>
      </c>
      <c r="C636">
        <v>6400</v>
      </c>
      <c r="D636" t="s">
        <v>71</v>
      </c>
      <c r="E636" t="s">
        <v>72</v>
      </c>
      <c r="F636" t="s">
        <v>78</v>
      </c>
    </row>
    <row r="637" spans="1:6" x14ac:dyDescent="0.45">
      <c r="A637">
        <v>39</v>
      </c>
      <c r="B637">
        <v>16</v>
      </c>
      <c r="C637">
        <v>7000</v>
      </c>
      <c r="D637" t="s">
        <v>71</v>
      </c>
      <c r="E637" t="s">
        <v>72</v>
      </c>
      <c r="F637" t="s">
        <v>78</v>
      </c>
    </row>
    <row r="638" spans="1:6" x14ac:dyDescent="0.45">
      <c r="A638">
        <v>40</v>
      </c>
      <c r="B638">
        <v>16</v>
      </c>
      <c r="C638">
        <v>7000</v>
      </c>
      <c r="D638" t="s">
        <v>71</v>
      </c>
      <c r="E638" t="s">
        <v>72</v>
      </c>
      <c r="F638" t="s">
        <v>78</v>
      </c>
    </row>
    <row r="639" spans="1:6" x14ac:dyDescent="0.45">
      <c r="A639">
        <v>38</v>
      </c>
      <c r="B639">
        <v>16</v>
      </c>
      <c r="C639">
        <v>7035</v>
      </c>
      <c r="D639" t="s">
        <v>71</v>
      </c>
      <c r="E639" t="s">
        <v>74</v>
      </c>
      <c r="F639" t="s">
        <v>78</v>
      </c>
    </row>
    <row r="640" spans="1:6" x14ac:dyDescent="0.45">
      <c r="A640">
        <v>40</v>
      </c>
      <c r="B640">
        <v>16</v>
      </c>
      <c r="C640">
        <v>7491</v>
      </c>
      <c r="D640" t="s">
        <v>71</v>
      </c>
      <c r="E640" t="s">
        <v>72</v>
      </c>
      <c r="F640" t="s">
        <v>78</v>
      </c>
    </row>
    <row r="641" spans="1:6" x14ac:dyDescent="0.45">
      <c r="A641">
        <v>80</v>
      </c>
      <c r="B641">
        <v>16</v>
      </c>
      <c r="C641">
        <v>8000</v>
      </c>
      <c r="D641" t="s">
        <v>71</v>
      </c>
      <c r="E641" t="s">
        <v>72</v>
      </c>
      <c r="F641" t="s">
        <v>78</v>
      </c>
    </row>
    <row r="642" spans="1:6" x14ac:dyDescent="0.45">
      <c r="A642">
        <v>40</v>
      </c>
      <c r="B642">
        <v>16</v>
      </c>
      <c r="C642">
        <v>8000</v>
      </c>
      <c r="D642" t="s">
        <v>71</v>
      </c>
      <c r="E642" t="s">
        <v>74</v>
      </c>
      <c r="F642" t="s">
        <v>78</v>
      </c>
    </row>
    <row r="643" spans="1:6" x14ac:dyDescent="0.45">
      <c r="A643">
        <v>48</v>
      </c>
      <c r="B643">
        <v>16</v>
      </c>
      <c r="C643">
        <v>8000</v>
      </c>
      <c r="D643" t="s">
        <v>71</v>
      </c>
      <c r="E643" t="s">
        <v>72</v>
      </c>
      <c r="F643" t="s">
        <v>78</v>
      </c>
    </row>
    <row r="644" spans="1:6" x14ac:dyDescent="0.45">
      <c r="A644">
        <v>40</v>
      </c>
      <c r="B644">
        <v>16</v>
      </c>
      <c r="C644">
        <v>8000</v>
      </c>
      <c r="D644" t="s">
        <v>71</v>
      </c>
      <c r="E644" t="s">
        <v>72</v>
      </c>
      <c r="F644" t="s">
        <v>78</v>
      </c>
    </row>
    <row r="645" spans="1:6" x14ac:dyDescent="0.45">
      <c r="A645">
        <v>40</v>
      </c>
      <c r="B645">
        <v>16</v>
      </c>
      <c r="C645">
        <v>8000</v>
      </c>
      <c r="D645" t="s">
        <v>71</v>
      </c>
      <c r="E645" t="s">
        <v>72</v>
      </c>
      <c r="F645" t="s">
        <v>78</v>
      </c>
    </row>
    <row r="646" spans="1:6" x14ac:dyDescent="0.45">
      <c r="A646">
        <v>59</v>
      </c>
      <c r="B646">
        <v>16</v>
      </c>
      <c r="C646">
        <v>8000</v>
      </c>
      <c r="D646" t="s">
        <v>71</v>
      </c>
      <c r="E646" t="s">
        <v>72</v>
      </c>
      <c r="F646" t="s">
        <v>78</v>
      </c>
    </row>
    <row r="647" spans="1:6" x14ac:dyDescent="0.45">
      <c r="A647">
        <v>45</v>
      </c>
      <c r="B647">
        <v>16</v>
      </c>
      <c r="C647">
        <v>8000</v>
      </c>
      <c r="D647" t="s">
        <v>71</v>
      </c>
      <c r="E647" t="s">
        <v>72</v>
      </c>
      <c r="F647" t="s">
        <v>78</v>
      </c>
    </row>
    <row r="648" spans="1:6" x14ac:dyDescent="0.45">
      <c r="A648">
        <v>50</v>
      </c>
      <c r="B648">
        <v>16</v>
      </c>
      <c r="C648">
        <v>8195</v>
      </c>
      <c r="D648" t="s">
        <v>71</v>
      </c>
      <c r="E648" t="s">
        <v>74</v>
      </c>
      <c r="F648" t="s">
        <v>78</v>
      </c>
    </row>
    <row r="649" spans="1:6" x14ac:dyDescent="0.45">
      <c r="A649">
        <v>40</v>
      </c>
      <c r="B649">
        <v>16</v>
      </c>
      <c r="C649">
        <v>8700</v>
      </c>
      <c r="D649" t="s">
        <v>71</v>
      </c>
      <c r="E649" t="s">
        <v>72</v>
      </c>
      <c r="F649" t="s">
        <v>78</v>
      </c>
    </row>
    <row r="650" spans="1:6" x14ac:dyDescent="0.45">
      <c r="A650">
        <v>40</v>
      </c>
      <c r="B650">
        <v>16</v>
      </c>
      <c r="C650">
        <v>9600</v>
      </c>
      <c r="D650" t="s">
        <v>71</v>
      </c>
      <c r="E650" t="s">
        <v>74</v>
      </c>
      <c r="F650" t="s">
        <v>78</v>
      </c>
    </row>
    <row r="651" spans="1:6" x14ac:dyDescent="0.45">
      <c r="A651">
        <v>50</v>
      </c>
      <c r="B651">
        <v>16</v>
      </c>
      <c r="C651">
        <v>9600</v>
      </c>
      <c r="D651" t="s">
        <v>71</v>
      </c>
      <c r="E651" t="s">
        <v>74</v>
      </c>
      <c r="F651" t="s">
        <v>78</v>
      </c>
    </row>
    <row r="652" spans="1:6" x14ac:dyDescent="0.45">
      <c r="A652">
        <v>55</v>
      </c>
      <c r="B652">
        <v>16</v>
      </c>
      <c r="C652">
        <v>10000</v>
      </c>
      <c r="D652" t="s">
        <v>71</v>
      </c>
      <c r="E652" t="s">
        <v>74</v>
      </c>
      <c r="F652" t="s">
        <v>78</v>
      </c>
    </row>
    <row r="653" spans="1:6" x14ac:dyDescent="0.45">
      <c r="A653">
        <v>50</v>
      </c>
      <c r="B653">
        <v>16</v>
      </c>
      <c r="C653">
        <v>10000</v>
      </c>
      <c r="D653" t="s">
        <v>71</v>
      </c>
      <c r="E653" t="s">
        <v>72</v>
      </c>
      <c r="F653" t="s">
        <v>78</v>
      </c>
    </row>
    <row r="654" spans="1:6" x14ac:dyDescent="0.45">
      <c r="A654">
        <v>40</v>
      </c>
      <c r="B654">
        <v>16</v>
      </c>
      <c r="C654">
        <v>10000</v>
      </c>
      <c r="D654" t="s">
        <v>71</v>
      </c>
      <c r="E654" t="s">
        <v>72</v>
      </c>
      <c r="F654" t="s">
        <v>78</v>
      </c>
    </row>
    <row r="655" spans="1:6" x14ac:dyDescent="0.45">
      <c r="A655">
        <v>44</v>
      </c>
      <c r="B655">
        <v>16</v>
      </c>
      <c r="C655">
        <v>10000</v>
      </c>
      <c r="D655" t="s">
        <v>71</v>
      </c>
      <c r="E655" t="s">
        <v>74</v>
      </c>
      <c r="F655" t="s">
        <v>78</v>
      </c>
    </row>
    <row r="656" spans="1:6" x14ac:dyDescent="0.45">
      <c r="A656">
        <v>50</v>
      </c>
      <c r="B656">
        <v>16</v>
      </c>
      <c r="C656">
        <v>10000</v>
      </c>
      <c r="D656" t="s">
        <v>71</v>
      </c>
      <c r="E656" t="s">
        <v>72</v>
      </c>
      <c r="F656" t="s">
        <v>78</v>
      </c>
    </row>
    <row r="657" spans="1:6" x14ac:dyDescent="0.45">
      <c r="A657">
        <v>40</v>
      </c>
      <c r="B657">
        <v>16</v>
      </c>
      <c r="C657">
        <v>10000</v>
      </c>
      <c r="D657" t="s">
        <v>71</v>
      </c>
      <c r="E657" t="s">
        <v>72</v>
      </c>
      <c r="F657" t="s">
        <v>78</v>
      </c>
    </row>
    <row r="658" spans="1:6" x14ac:dyDescent="0.45">
      <c r="A658">
        <v>40</v>
      </c>
      <c r="B658">
        <v>16</v>
      </c>
      <c r="C658">
        <v>10000</v>
      </c>
      <c r="D658" t="s">
        <v>71</v>
      </c>
      <c r="E658" t="s">
        <v>74</v>
      </c>
      <c r="F658" t="s">
        <v>78</v>
      </c>
    </row>
    <row r="659" spans="1:6" x14ac:dyDescent="0.45">
      <c r="A659">
        <v>42</v>
      </c>
      <c r="B659">
        <v>16</v>
      </c>
      <c r="C659">
        <v>10400</v>
      </c>
      <c r="D659" t="s">
        <v>71</v>
      </c>
      <c r="E659" t="s">
        <v>72</v>
      </c>
      <c r="F659" t="s">
        <v>78</v>
      </c>
    </row>
    <row r="660" spans="1:6" x14ac:dyDescent="0.45">
      <c r="A660">
        <v>44</v>
      </c>
      <c r="B660">
        <v>16</v>
      </c>
      <c r="C660">
        <v>10800</v>
      </c>
      <c r="D660" t="s">
        <v>71</v>
      </c>
      <c r="E660" t="s">
        <v>72</v>
      </c>
      <c r="F660" t="s">
        <v>78</v>
      </c>
    </row>
    <row r="661" spans="1:6" x14ac:dyDescent="0.45">
      <c r="A661">
        <v>40</v>
      </c>
      <c r="B661">
        <v>16</v>
      </c>
      <c r="C661">
        <v>11000</v>
      </c>
      <c r="D661" t="s">
        <v>71</v>
      </c>
      <c r="E661" t="s">
        <v>74</v>
      </c>
      <c r="F661" t="s">
        <v>78</v>
      </c>
    </row>
    <row r="662" spans="1:6" x14ac:dyDescent="0.45">
      <c r="A662">
        <v>40</v>
      </c>
      <c r="B662">
        <v>16</v>
      </c>
      <c r="C662">
        <v>11000</v>
      </c>
      <c r="D662" t="s">
        <v>71</v>
      </c>
      <c r="E662" t="s">
        <v>72</v>
      </c>
      <c r="F662" t="s">
        <v>78</v>
      </c>
    </row>
    <row r="663" spans="1:6" x14ac:dyDescent="0.45">
      <c r="A663">
        <v>40</v>
      </c>
      <c r="B663">
        <v>16</v>
      </c>
      <c r="C663">
        <v>11000</v>
      </c>
      <c r="D663" t="s">
        <v>71</v>
      </c>
      <c r="E663" t="s">
        <v>72</v>
      </c>
      <c r="F663" t="s">
        <v>78</v>
      </c>
    </row>
    <row r="664" spans="1:6" x14ac:dyDescent="0.45">
      <c r="A664">
        <v>0</v>
      </c>
      <c r="B664">
        <v>16</v>
      </c>
      <c r="C664">
        <v>11000</v>
      </c>
      <c r="D664" t="s">
        <v>71</v>
      </c>
      <c r="E664" t="s">
        <v>72</v>
      </c>
      <c r="F664" t="s">
        <v>78</v>
      </c>
    </row>
    <row r="665" spans="1:6" x14ac:dyDescent="0.45">
      <c r="A665">
        <v>40</v>
      </c>
      <c r="B665">
        <v>16</v>
      </c>
      <c r="C665">
        <v>11000</v>
      </c>
      <c r="D665" t="s">
        <v>76</v>
      </c>
      <c r="E665" t="s">
        <v>72</v>
      </c>
      <c r="F665" t="s">
        <v>78</v>
      </c>
    </row>
    <row r="666" spans="1:6" x14ac:dyDescent="0.45">
      <c r="A666">
        <v>35</v>
      </c>
      <c r="B666">
        <v>16</v>
      </c>
      <c r="C666">
        <v>11870</v>
      </c>
      <c r="D666" t="s">
        <v>71</v>
      </c>
      <c r="E666" t="s">
        <v>72</v>
      </c>
      <c r="F666" t="s">
        <v>78</v>
      </c>
    </row>
    <row r="667" spans="1:6" x14ac:dyDescent="0.45">
      <c r="A667">
        <v>50</v>
      </c>
      <c r="B667">
        <v>16</v>
      </c>
      <c r="C667">
        <v>12000</v>
      </c>
      <c r="D667" t="s">
        <v>71</v>
      </c>
      <c r="E667" t="s">
        <v>72</v>
      </c>
      <c r="F667" t="s">
        <v>78</v>
      </c>
    </row>
    <row r="668" spans="1:6" x14ac:dyDescent="0.45">
      <c r="A668">
        <v>50</v>
      </c>
      <c r="B668">
        <v>16</v>
      </c>
      <c r="C668">
        <v>12000</v>
      </c>
      <c r="D668" t="s">
        <v>76</v>
      </c>
      <c r="E668" t="s">
        <v>72</v>
      </c>
      <c r="F668" t="s">
        <v>78</v>
      </c>
    </row>
    <row r="669" spans="1:6" x14ac:dyDescent="0.45">
      <c r="A669">
        <v>0</v>
      </c>
      <c r="B669">
        <v>16</v>
      </c>
      <c r="C669">
        <v>12000</v>
      </c>
      <c r="D669" t="s">
        <v>76</v>
      </c>
      <c r="E669" t="s">
        <v>72</v>
      </c>
      <c r="F669" t="s">
        <v>78</v>
      </c>
    </row>
    <row r="670" spans="1:6" x14ac:dyDescent="0.45">
      <c r="A670">
        <v>38</v>
      </c>
      <c r="B670">
        <v>16</v>
      </c>
      <c r="C670">
        <v>12000</v>
      </c>
      <c r="D670" t="s">
        <v>71</v>
      </c>
      <c r="E670" t="s">
        <v>72</v>
      </c>
      <c r="F670" t="s">
        <v>78</v>
      </c>
    </row>
    <row r="671" spans="1:6" x14ac:dyDescent="0.45">
      <c r="A671">
        <v>40</v>
      </c>
      <c r="B671">
        <v>16</v>
      </c>
      <c r="C671">
        <v>12000</v>
      </c>
      <c r="D671" t="s">
        <v>71</v>
      </c>
      <c r="E671" t="s">
        <v>72</v>
      </c>
      <c r="F671" t="s">
        <v>78</v>
      </c>
    </row>
    <row r="672" spans="1:6" x14ac:dyDescent="0.45">
      <c r="A672">
        <v>45</v>
      </c>
      <c r="B672">
        <v>16</v>
      </c>
      <c r="C672">
        <v>12000</v>
      </c>
      <c r="D672" t="s">
        <v>75</v>
      </c>
      <c r="E672" t="s">
        <v>74</v>
      </c>
      <c r="F672" t="s">
        <v>78</v>
      </c>
    </row>
    <row r="673" spans="1:6" x14ac:dyDescent="0.45">
      <c r="A673">
        <v>36</v>
      </c>
      <c r="B673">
        <v>16</v>
      </c>
      <c r="C673">
        <v>12000</v>
      </c>
      <c r="D673" t="s">
        <v>71</v>
      </c>
      <c r="E673" t="s">
        <v>72</v>
      </c>
      <c r="F673" t="s">
        <v>78</v>
      </c>
    </row>
    <row r="674" spans="1:6" x14ac:dyDescent="0.45">
      <c r="A674">
        <v>41</v>
      </c>
      <c r="B674">
        <v>16</v>
      </c>
      <c r="C674">
        <v>12200</v>
      </c>
      <c r="D674" t="s">
        <v>71</v>
      </c>
      <c r="E674" t="s">
        <v>72</v>
      </c>
      <c r="F674" t="s">
        <v>78</v>
      </c>
    </row>
    <row r="675" spans="1:6" x14ac:dyDescent="0.45">
      <c r="A675">
        <v>40</v>
      </c>
      <c r="B675">
        <v>16</v>
      </c>
      <c r="C675">
        <v>12340</v>
      </c>
      <c r="D675" t="s">
        <v>71</v>
      </c>
      <c r="E675" t="s">
        <v>72</v>
      </c>
      <c r="F675" t="s">
        <v>78</v>
      </c>
    </row>
    <row r="676" spans="1:6" x14ac:dyDescent="0.45">
      <c r="A676">
        <v>50</v>
      </c>
      <c r="B676">
        <v>16</v>
      </c>
      <c r="C676">
        <v>12700</v>
      </c>
      <c r="D676" t="s">
        <v>71</v>
      </c>
      <c r="E676" t="s">
        <v>72</v>
      </c>
      <c r="F676" t="s">
        <v>78</v>
      </c>
    </row>
    <row r="677" spans="1:6" x14ac:dyDescent="0.45">
      <c r="A677">
        <v>40</v>
      </c>
      <c r="B677">
        <v>16</v>
      </c>
      <c r="C677">
        <v>13000</v>
      </c>
      <c r="D677" t="s">
        <v>71</v>
      </c>
      <c r="E677" t="s">
        <v>72</v>
      </c>
      <c r="F677" t="s">
        <v>78</v>
      </c>
    </row>
    <row r="678" spans="1:6" x14ac:dyDescent="0.45">
      <c r="A678">
        <v>40</v>
      </c>
      <c r="B678">
        <v>16</v>
      </c>
      <c r="C678">
        <v>13000</v>
      </c>
      <c r="D678" t="s">
        <v>71</v>
      </c>
      <c r="E678" t="s">
        <v>74</v>
      </c>
      <c r="F678" t="s">
        <v>78</v>
      </c>
    </row>
    <row r="679" spans="1:6" x14ac:dyDescent="0.45">
      <c r="A679">
        <v>45</v>
      </c>
      <c r="B679">
        <v>16</v>
      </c>
      <c r="C679">
        <v>13000</v>
      </c>
      <c r="D679" t="s">
        <v>71</v>
      </c>
      <c r="E679" t="s">
        <v>72</v>
      </c>
      <c r="F679" t="s">
        <v>78</v>
      </c>
    </row>
    <row r="680" spans="1:6" x14ac:dyDescent="0.45">
      <c r="A680">
        <v>40</v>
      </c>
      <c r="B680">
        <v>16</v>
      </c>
      <c r="C680">
        <v>13000</v>
      </c>
      <c r="D680" t="s">
        <v>76</v>
      </c>
      <c r="E680" t="s">
        <v>72</v>
      </c>
      <c r="F680" t="s">
        <v>78</v>
      </c>
    </row>
    <row r="681" spans="1:6" x14ac:dyDescent="0.45">
      <c r="A681">
        <v>40</v>
      </c>
      <c r="B681">
        <v>16</v>
      </c>
      <c r="C681">
        <v>13600</v>
      </c>
      <c r="D681" t="s">
        <v>71</v>
      </c>
      <c r="E681" t="s">
        <v>74</v>
      </c>
      <c r="F681" t="s">
        <v>78</v>
      </c>
    </row>
    <row r="682" spans="1:6" x14ac:dyDescent="0.45">
      <c r="A682">
        <v>40</v>
      </c>
      <c r="B682">
        <v>16</v>
      </c>
      <c r="C682">
        <v>14000</v>
      </c>
      <c r="D682" t="s">
        <v>71</v>
      </c>
      <c r="E682" t="s">
        <v>72</v>
      </c>
      <c r="F682" t="s">
        <v>78</v>
      </c>
    </row>
    <row r="683" spans="1:6" x14ac:dyDescent="0.45">
      <c r="A683">
        <v>40</v>
      </c>
      <c r="B683">
        <v>16</v>
      </c>
      <c r="C683">
        <v>14000</v>
      </c>
      <c r="D683" t="s">
        <v>71</v>
      </c>
      <c r="E683" t="s">
        <v>72</v>
      </c>
      <c r="F683" t="s">
        <v>78</v>
      </c>
    </row>
    <row r="684" spans="1:6" x14ac:dyDescent="0.45">
      <c r="A684">
        <v>40</v>
      </c>
      <c r="B684">
        <v>16</v>
      </c>
      <c r="C684">
        <v>14000</v>
      </c>
      <c r="D684" t="s">
        <v>71</v>
      </c>
      <c r="E684" t="s">
        <v>72</v>
      </c>
      <c r="F684" t="s">
        <v>78</v>
      </c>
    </row>
    <row r="685" spans="1:6" x14ac:dyDescent="0.45">
      <c r="A685">
        <v>40</v>
      </c>
      <c r="B685">
        <v>16</v>
      </c>
      <c r="C685">
        <v>14601</v>
      </c>
      <c r="D685" t="s">
        <v>71</v>
      </c>
      <c r="E685" t="s">
        <v>74</v>
      </c>
      <c r="F685" t="s">
        <v>78</v>
      </c>
    </row>
    <row r="686" spans="1:6" x14ac:dyDescent="0.45">
      <c r="A686">
        <v>0</v>
      </c>
      <c r="B686">
        <v>16</v>
      </c>
      <c r="C686">
        <v>15000</v>
      </c>
      <c r="D686" t="s">
        <v>71</v>
      </c>
      <c r="E686" t="s">
        <v>72</v>
      </c>
      <c r="F686" t="s">
        <v>78</v>
      </c>
    </row>
    <row r="687" spans="1:6" x14ac:dyDescent="0.45">
      <c r="A687">
        <v>50</v>
      </c>
      <c r="B687">
        <v>16</v>
      </c>
      <c r="C687">
        <v>15000</v>
      </c>
      <c r="D687" t="s">
        <v>71</v>
      </c>
      <c r="E687" t="s">
        <v>74</v>
      </c>
      <c r="F687" t="s">
        <v>78</v>
      </c>
    </row>
    <row r="688" spans="1:6" x14ac:dyDescent="0.45">
      <c r="A688">
        <v>50</v>
      </c>
      <c r="B688">
        <v>16</v>
      </c>
      <c r="C688">
        <v>15000</v>
      </c>
      <c r="D688" t="s">
        <v>71</v>
      </c>
      <c r="E688" t="s">
        <v>72</v>
      </c>
      <c r="F688" t="s">
        <v>78</v>
      </c>
    </row>
    <row r="689" spans="1:6" x14ac:dyDescent="0.45">
      <c r="A689">
        <v>40</v>
      </c>
      <c r="B689">
        <v>16</v>
      </c>
      <c r="C689">
        <v>15000</v>
      </c>
      <c r="D689" t="s">
        <v>71</v>
      </c>
      <c r="E689" t="s">
        <v>72</v>
      </c>
      <c r="F689" t="s">
        <v>78</v>
      </c>
    </row>
    <row r="690" spans="1:6" x14ac:dyDescent="0.45">
      <c r="A690">
        <v>40</v>
      </c>
      <c r="B690">
        <v>16</v>
      </c>
      <c r="C690">
        <v>15000</v>
      </c>
      <c r="D690" t="s">
        <v>71</v>
      </c>
      <c r="E690" t="s">
        <v>72</v>
      </c>
      <c r="F690" t="s">
        <v>78</v>
      </c>
    </row>
    <row r="691" spans="1:6" x14ac:dyDescent="0.45">
      <c r="A691">
        <v>40</v>
      </c>
      <c r="B691">
        <v>16</v>
      </c>
      <c r="C691">
        <v>15000</v>
      </c>
      <c r="D691" t="s">
        <v>71</v>
      </c>
      <c r="E691" t="s">
        <v>72</v>
      </c>
      <c r="F691" t="s">
        <v>78</v>
      </c>
    </row>
    <row r="692" spans="1:6" x14ac:dyDescent="0.45">
      <c r="A692">
        <v>40</v>
      </c>
      <c r="B692">
        <v>16</v>
      </c>
      <c r="C692">
        <v>15600</v>
      </c>
      <c r="D692" t="s">
        <v>76</v>
      </c>
      <c r="E692" t="s">
        <v>74</v>
      </c>
      <c r="F692" t="s">
        <v>78</v>
      </c>
    </row>
    <row r="693" spans="1:6" x14ac:dyDescent="0.45">
      <c r="A693">
        <v>40</v>
      </c>
      <c r="B693">
        <v>16</v>
      </c>
      <c r="C693">
        <v>16000</v>
      </c>
      <c r="D693" t="s">
        <v>71</v>
      </c>
      <c r="E693" t="s">
        <v>74</v>
      </c>
      <c r="F693" t="s">
        <v>78</v>
      </c>
    </row>
    <row r="694" spans="1:6" x14ac:dyDescent="0.45">
      <c r="A694">
        <v>55</v>
      </c>
      <c r="B694">
        <v>16</v>
      </c>
      <c r="C694">
        <v>16000</v>
      </c>
      <c r="D694" t="s">
        <v>71</v>
      </c>
      <c r="E694" t="s">
        <v>74</v>
      </c>
      <c r="F694" t="s">
        <v>78</v>
      </c>
    </row>
    <row r="695" spans="1:6" x14ac:dyDescent="0.45">
      <c r="A695">
        <v>40</v>
      </c>
      <c r="B695">
        <v>16</v>
      </c>
      <c r="C695">
        <v>16000</v>
      </c>
      <c r="D695" t="s">
        <v>71</v>
      </c>
      <c r="E695" t="s">
        <v>72</v>
      </c>
      <c r="F695" t="s">
        <v>78</v>
      </c>
    </row>
    <row r="696" spans="1:6" x14ac:dyDescent="0.45">
      <c r="A696">
        <v>45</v>
      </c>
      <c r="B696">
        <v>16</v>
      </c>
      <c r="C696">
        <v>16000</v>
      </c>
      <c r="D696" t="s">
        <v>71</v>
      </c>
      <c r="E696" t="s">
        <v>74</v>
      </c>
      <c r="F696" t="s">
        <v>78</v>
      </c>
    </row>
    <row r="697" spans="1:6" x14ac:dyDescent="0.45">
      <c r="A697">
        <v>54</v>
      </c>
      <c r="B697">
        <v>16</v>
      </c>
      <c r="C697">
        <v>16000</v>
      </c>
      <c r="D697" t="s">
        <v>71</v>
      </c>
      <c r="E697" t="s">
        <v>72</v>
      </c>
      <c r="F697" t="s">
        <v>78</v>
      </c>
    </row>
    <row r="698" spans="1:6" x14ac:dyDescent="0.45">
      <c r="A698">
        <v>38</v>
      </c>
      <c r="B698">
        <v>16</v>
      </c>
      <c r="C698">
        <v>16380</v>
      </c>
      <c r="D698" t="s">
        <v>71</v>
      </c>
      <c r="E698" t="s">
        <v>72</v>
      </c>
      <c r="F698" t="s">
        <v>78</v>
      </c>
    </row>
    <row r="699" spans="1:6" x14ac:dyDescent="0.45">
      <c r="A699">
        <v>40</v>
      </c>
      <c r="B699">
        <v>16</v>
      </c>
      <c r="C699">
        <v>16476</v>
      </c>
      <c r="D699" t="s">
        <v>71</v>
      </c>
      <c r="E699" t="s">
        <v>72</v>
      </c>
      <c r="F699" t="s">
        <v>78</v>
      </c>
    </row>
    <row r="700" spans="1:6" x14ac:dyDescent="0.45">
      <c r="A700">
        <v>0</v>
      </c>
      <c r="B700">
        <v>16</v>
      </c>
      <c r="C700">
        <v>16765</v>
      </c>
      <c r="D700" t="s">
        <v>71</v>
      </c>
      <c r="E700" t="s">
        <v>72</v>
      </c>
      <c r="F700" t="s">
        <v>78</v>
      </c>
    </row>
    <row r="701" spans="1:6" x14ac:dyDescent="0.45">
      <c r="A701">
        <v>55</v>
      </c>
      <c r="B701">
        <v>16</v>
      </c>
      <c r="C701">
        <v>16800</v>
      </c>
      <c r="D701" t="s">
        <v>71</v>
      </c>
      <c r="E701" t="s">
        <v>74</v>
      </c>
      <c r="F701" t="s">
        <v>78</v>
      </c>
    </row>
    <row r="702" spans="1:6" x14ac:dyDescent="0.45">
      <c r="A702">
        <v>90</v>
      </c>
      <c r="B702">
        <v>16</v>
      </c>
      <c r="C702">
        <v>16800</v>
      </c>
      <c r="D702" t="s">
        <v>71</v>
      </c>
      <c r="E702" t="s">
        <v>74</v>
      </c>
      <c r="F702" t="s">
        <v>78</v>
      </c>
    </row>
    <row r="703" spans="1:6" x14ac:dyDescent="0.45">
      <c r="A703">
        <v>42</v>
      </c>
      <c r="B703">
        <v>16</v>
      </c>
      <c r="C703">
        <v>16888</v>
      </c>
      <c r="D703" t="s">
        <v>71</v>
      </c>
      <c r="E703" t="s">
        <v>74</v>
      </c>
      <c r="F703" t="s">
        <v>78</v>
      </c>
    </row>
    <row r="704" spans="1:6" x14ac:dyDescent="0.45">
      <c r="A704">
        <v>44</v>
      </c>
      <c r="B704">
        <v>16</v>
      </c>
      <c r="C704">
        <v>17000</v>
      </c>
      <c r="D704" t="s">
        <v>71</v>
      </c>
      <c r="E704" t="s">
        <v>72</v>
      </c>
      <c r="F704" t="s">
        <v>78</v>
      </c>
    </row>
    <row r="705" spans="1:6" x14ac:dyDescent="0.45">
      <c r="A705">
        <v>40</v>
      </c>
      <c r="B705">
        <v>16</v>
      </c>
      <c r="C705">
        <v>17000</v>
      </c>
      <c r="D705" t="s">
        <v>71</v>
      </c>
      <c r="E705" t="s">
        <v>72</v>
      </c>
      <c r="F705" t="s">
        <v>78</v>
      </c>
    </row>
    <row r="706" spans="1:6" x14ac:dyDescent="0.45">
      <c r="A706">
        <v>60</v>
      </c>
      <c r="B706">
        <v>16</v>
      </c>
      <c r="C706">
        <v>17000</v>
      </c>
      <c r="D706" t="s">
        <v>71</v>
      </c>
      <c r="E706" t="s">
        <v>74</v>
      </c>
      <c r="F706" t="s">
        <v>78</v>
      </c>
    </row>
    <row r="707" spans="1:6" x14ac:dyDescent="0.45">
      <c r="A707">
        <v>0</v>
      </c>
      <c r="B707">
        <v>16</v>
      </c>
      <c r="C707">
        <v>17000</v>
      </c>
      <c r="D707" t="s">
        <v>71</v>
      </c>
      <c r="E707" t="s">
        <v>74</v>
      </c>
      <c r="F707" t="s">
        <v>78</v>
      </c>
    </row>
    <row r="708" spans="1:6" x14ac:dyDescent="0.45">
      <c r="A708">
        <v>0</v>
      </c>
      <c r="B708">
        <v>16</v>
      </c>
      <c r="C708">
        <v>17000</v>
      </c>
      <c r="D708" t="s">
        <v>71</v>
      </c>
      <c r="E708" t="s">
        <v>74</v>
      </c>
      <c r="F708" t="s">
        <v>78</v>
      </c>
    </row>
    <row r="709" spans="1:6" x14ac:dyDescent="0.45">
      <c r="A709">
        <v>40</v>
      </c>
      <c r="B709">
        <v>16</v>
      </c>
      <c r="C709">
        <v>17100</v>
      </c>
      <c r="D709" t="s">
        <v>71</v>
      </c>
      <c r="E709" t="s">
        <v>72</v>
      </c>
      <c r="F709" t="s">
        <v>78</v>
      </c>
    </row>
    <row r="710" spans="1:6" x14ac:dyDescent="0.45">
      <c r="A710">
        <v>60</v>
      </c>
      <c r="B710">
        <v>16</v>
      </c>
      <c r="C710">
        <v>17500</v>
      </c>
      <c r="D710" t="s">
        <v>71</v>
      </c>
      <c r="E710" t="s">
        <v>74</v>
      </c>
      <c r="F710" t="s">
        <v>78</v>
      </c>
    </row>
    <row r="711" spans="1:6" x14ac:dyDescent="0.45">
      <c r="A711">
        <v>40</v>
      </c>
      <c r="B711">
        <v>16</v>
      </c>
      <c r="C711">
        <v>17571</v>
      </c>
      <c r="D711" t="s">
        <v>71</v>
      </c>
      <c r="E711" t="s">
        <v>72</v>
      </c>
      <c r="F711" t="s">
        <v>78</v>
      </c>
    </row>
    <row r="712" spans="1:6" x14ac:dyDescent="0.45">
      <c r="A712">
        <v>40</v>
      </c>
      <c r="B712">
        <v>16</v>
      </c>
      <c r="C712">
        <v>17600</v>
      </c>
      <c r="D712" t="s">
        <v>76</v>
      </c>
      <c r="E712" t="s">
        <v>74</v>
      </c>
      <c r="F712" t="s">
        <v>78</v>
      </c>
    </row>
    <row r="713" spans="1:6" x14ac:dyDescent="0.45">
      <c r="A713">
        <v>40</v>
      </c>
      <c r="B713">
        <v>16</v>
      </c>
      <c r="C713">
        <v>17603</v>
      </c>
      <c r="D713" t="s">
        <v>71</v>
      </c>
      <c r="E713" t="s">
        <v>74</v>
      </c>
      <c r="F713" t="s">
        <v>78</v>
      </c>
    </row>
    <row r="714" spans="1:6" x14ac:dyDescent="0.45">
      <c r="A714">
        <v>55</v>
      </c>
      <c r="B714">
        <v>16</v>
      </c>
      <c r="C714">
        <v>18000</v>
      </c>
      <c r="D714" t="s">
        <v>71</v>
      </c>
      <c r="E714" t="s">
        <v>74</v>
      </c>
      <c r="F714" t="s">
        <v>78</v>
      </c>
    </row>
    <row r="715" spans="1:6" x14ac:dyDescent="0.45">
      <c r="A715">
        <v>45</v>
      </c>
      <c r="B715">
        <v>16</v>
      </c>
      <c r="C715">
        <v>18000</v>
      </c>
      <c r="D715" t="s">
        <v>71</v>
      </c>
      <c r="E715" t="s">
        <v>72</v>
      </c>
      <c r="F715" t="s">
        <v>78</v>
      </c>
    </row>
    <row r="716" spans="1:6" x14ac:dyDescent="0.45">
      <c r="A716">
        <v>80</v>
      </c>
      <c r="B716">
        <v>16</v>
      </c>
      <c r="C716">
        <v>18000</v>
      </c>
      <c r="D716" t="s">
        <v>76</v>
      </c>
      <c r="E716" t="s">
        <v>72</v>
      </c>
      <c r="F716" t="s">
        <v>78</v>
      </c>
    </row>
    <row r="717" spans="1:6" x14ac:dyDescent="0.45">
      <c r="A717">
        <v>70</v>
      </c>
      <c r="B717">
        <v>16</v>
      </c>
      <c r="C717">
        <v>18000</v>
      </c>
      <c r="D717" t="s">
        <v>71</v>
      </c>
      <c r="E717" t="s">
        <v>72</v>
      </c>
      <c r="F717" t="s">
        <v>78</v>
      </c>
    </row>
    <row r="718" spans="1:6" x14ac:dyDescent="0.45">
      <c r="A718">
        <v>40</v>
      </c>
      <c r="B718">
        <v>16</v>
      </c>
      <c r="C718">
        <v>19000</v>
      </c>
      <c r="D718" t="s">
        <v>71</v>
      </c>
      <c r="E718" t="s">
        <v>72</v>
      </c>
      <c r="F718" t="s">
        <v>78</v>
      </c>
    </row>
    <row r="719" spans="1:6" x14ac:dyDescent="0.45">
      <c r="A719">
        <v>40</v>
      </c>
      <c r="B719">
        <v>16</v>
      </c>
      <c r="C719">
        <v>19000</v>
      </c>
      <c r="D719" t="s">
        <v>71</v>
      </c>
      <c r="E719" t="s">
        <v>72</v>
      </c>
      <c r="F719" t="s">
        <v>78</v>
      </c>
    </row>
    <row r="720" spans="1:6" x14ac:dyDescent="0.45">
      <c r="A720">
        <v>40</v>
      </c>
      <c r="B720">
        <v>16</v>
      </c>
      <c r="C720">
        <v>19000</v>
      </c>
      <c r="D720" t="s">
        <v>71</v>
      </c>
      <c r="E720" t="s">
        <v>72</v>
      </c>
      <c r="F720" t="s">
        <v>78</v>
      </c>
    </row>
    <row r="721" spans="1:6" x14ac:dyDescent="0.45">
      <c r="A721">
        <v>40</v>
      </c>
      <c r="B721">
        <v>16</v>
      </c>
      <c r="C721">
        <v>19000</v>
      </c>
      <c r="D721" t="s">
        <v>71</v>
      </c>
      <c r="E721" t="s">
        <v>72</v>
      </c>
      <c r="F721" t="s">
        <v>78</v>
      </c>
    </row>
    <row r="722" spans="1:6" x14ac:dyDescent="0.45">
      <c r="A722">
        <v>40</v>
      </c>
      <c r="B722">
        <v>16</v>
      </c>
      <c r="C722">
        <v>19200</v>
      </c>
      <c r="D722" t="s">
        <v>71</v>
      </c>
      <c r="E722" t="s">
        <v>74</v>
      </c>
      <c r="F722" t="s">
        <v>78</v>
      </c>
    </row>
    <row r="723" spans="1:6" x14ac:dyDescent="0.45">
      <c r="A723">
        <v>65</v>
      </c>
      <c r="B723">
        <v>16</v>
      </c>
      <c r="C723">
        <v>19305</v>
      </c>
      <c r="D723" t="s">
        <v>71</v>
      </c>
      <c r="E723" t="s">
        <v>74</v>
      </c>
      <c r="F723" t="s">
        <v>78</v>
      </c>
    </row>
    <row r="724" spans="1:6" x14ac:dyDescent="0.45">
      <c r="A724">
        <v>50</v>
      </c>
      <c r="B724">
        <v>16</v>
      </c>
      <c r="C724">
        <v>19400</v>
      </c>
      <c r="D724" t="s">
        <v>71</v>
      </c>
      <c r="E724" t="s">
        <v>72</v>
      </c>
      <c r="F724" t="s">
        <v>78</v>
      </c>
    </row>
    <row r="725" spans="1:6" x14ac:dyDescent="0.45">
      <c r="A725">
        <v>40</v>
      </c>
      <c r="B725">
        <v>16</v>
      </c>
      <c r="C725">
        <v>20000</v>
      </c>
      <c r="D725" t="s">
        <v>76</v>
      </c>
      <c r="E725" t="s">
        <v>72</v>
      </c>
      <c r="F725" t="s">
        <v>78</v>
      </c>
    </row>
    <row r="726" spans="1:6" x14ac:dyDescent="0.45">
      <c r="A726">
        <v>40</v>
      </c>
      <c r="B726">
        <v>16</v>
      </c>
      <c r="C726">
        <v>20000</v>
      </c>
      <c r="D726" t="s">
        <v>71</v>
      </c>
      <c r="E726" t="s">
        <v>74</v>
      </c>
      <c r="F726" t="s">
        <v>78</v>
      </c>
    </row>
    <row r="727" spans="1:6" x14ac:dyDescent="0.45">
      <c r="A727">
        <v>46</v>
      </c>
      <c r="B727">
        <v>16</v>
      </c>
      <c r="C727">
        <v>20000</v>
      </c>
      <c r="D727" t="s">
        <v>71</v>
      </c>
      <c r="E727" t="s">
        <v>72</v>
      </c>
      <c r="F727" t="s">
        <v>78</v>
      </c>
    </row>
    <row r="728" spans="1:6" x14ac:dyDescent="0.45">
      <c r="A728">
        <v>62</v>
      </c>
      <c r="B728">
        <v>16</v>
      </c>
      <c r="C728">
        <v>20000</v>
      </c>
      <c r="D728" t="s">
        <v>76</v>
      </c>
      <c r="E728" t="s">
        <v>72</v>
      </c>
      <c r="F728" t="s">
        <v>78</v>
      </c>
    </row>
    <row r="729" spans="1:6" x14ac:dyDescent="0.45">
      <c r="A729">
        <v>40</v>
      </c>
      <c r="B729">
        <v>16</v>
      </c>
      <c r="C729">
        <v>20000</v>
      </c>
      <c r="D729" t="s">
        <v>71</v>
      </c>
      <c r="E729" t="s">
        <v>72</v>
      </c>
      <c r="F729" t="s">
        <v>78</v>
      </c>
    </row>
    <row r="730" spans="1:6" x14ac:dyDescent="0.45">
      <c r="A730">
        <v>60</v>
      </c>
      <c r="B730">
        <v>16</v>
      </c>
      <c r="C730">
        <v>20000</v>
      </c>
      <c r="D730" t="s">
        <v>71</v>
      </c>
      <c r="E730" t="s">
        <v>74</v>
      </c>
      <c r="F730" t="s">
        <v>78</v>
      </c>
    </row>
    <row r="731" spans="1:6" x14ac:dyDescent="0.45">
      <c r="A731">
        <v>40</v>
      </c>
      <c r="B731">
        <v>16</v>
      </c>
      <c r="C731">
        <v>20000</v>
      </c>
      <c r="D731" t="s">
        <v>71</v>
      </c>
      <c r="E731" t="s">
        <v>72</v>
      </c>
      <c r="F731" t="s">
        <v>78</v>
      </c>
    </row>
    <row r="732" spans="1:6" x14ac:dyDescent="0.45">
      <c r="A732">
        <v>40</v>
      </c>
      <c r="B732">
        <v>16</v>
      </c>
      <c r="C732">
        <v>20000</v>
      </c>
      <c r="D732" t="s">
        <v>71</v>
      </c>
      <c r="E732" t="s">
        <v>74</v>
      </c>
      <c r="F732" t="s">
        <v>78</v>
      </c>
    </row>
    <row r="733" spans="1:6" x14ac:dyDescent="0.45">
      <c r="A733">
        <v>40</v>
      </c>
      <c r="B733">
        <v>16</v>
      </c>
      <c r="C733">
        <v>20000</v>
      </c>
      <c r="D733" t="s">
        <v>71</v>
      </c>
      <c r="E733" t="s">
        <v>74</v>
      </c>
      <c r="F733" t="s">
        <v>78</v>
      </c>
    </row>
    <row r="734" spans="1:6" x14ac:dyDescent="0.45">
      <c r="A734">
        <v>40</v>
      </c>
      <c r="B734">
        <v>16</v>
      </c>
      <c r="C734">
        <v>20000</v>
      </c>
      <c r="D734" t="s">
        <v>71</v>
      </c>
      <c r="E734" t="s">
        <v>72</v>
      </c>
      <c r="F734" t="s">
        <v>78</v>
      </c>
    </row>
    <row r="735" spans="1:6" x14ac:dyDescent="0.45">
      <c r="A735">
        <v>45</v>
      </c>
      <c r="B735">
        <v>16</v>
      </c>
      <c r="C735">
        <v>20000</v>
      </c>
      <c r="D735" t="s">
        <v>71</v>
      </c>
      <c r="E735" t="s">
        <v>74</v>
      </c>
      <c r="F735" t="s">
        <v>78</v>
      </c>
    </row>
    <row r="736" spans="1:6" x14ac:dyDescent="0.45">
      <c r="A736">
        <v>40</v>
      </c>
      <c r="B736">
        <v>16</v>
      </c>
      <c r="C736">
        <v>20000</v>
      </c>
      <c r="D736" t="s">
        <v>71</v>
      </c>
      <c r="E736" t="s">
        <v>72</v>
      </c>
      <c r="F736" t="s">
        <v>78</v>
      </c>
    </row>
    <row r="737" spans="1:6" x14ac:dyDescent="0.45">
      <c r="A737">
        <v>35</v>
      </c>
      <c r="B737">
        <v>16</v>
      </c>
      <c r="C737">
        <v>20000</v>
      </c>
      <c r="D737" t="s">
        <v>71</v>
      </c>
      <c r="E737" t="s">
        <v>72</v>
      </c>
      <c r="F737" t="s">
        <v>78</v>
      </c>
    </row>
    <row r="738" spans="1:6" x14ac:dyDescent="0.45">
      <c r="A738">
        <v>40</v>
      </c>
      <c r="B738">
        <v>16</v>
      </c>
      <c r="C738">
        <v>20000</v>
      </c>
      <c r="D738" t="s">
        <v>71</v>
      </c>
      <c r="E738" t="s">
        <v>74</v>
      </c>
      <c r="F738" t="s">
        <v>78</v>
      </c>
    </row>
    <row r="739" spans="1:6" x14ac:dyDescent="0.45">
      <c r="A739">
        <v>39</v>
      </c>
      <c r="B739">
        <v>16</v>
      </c>
      <c r="C739">
        <v>20000</v>
      </c>
      <c r="D739" t="s">
        <v>71</v>
      </c>
      <c r="E739" t="s">
        <v>72</v>
      </c>
      <c r="F739" t="s">
        <v>78</v>
      </c>
    </row>
    <row r="740" spans="1:6" x14ac:dyDescent="0.45">
      <c r="A740">
        <v>38</v>
      </c>
      <c r="B740">
        <v>16</v>
      </c>
      <c r="C740">
        <v>20000</v>
      </c>
      <c r="D740" t="s">
        <v>71</v>
      </c>
      <c r="E740" t="s">
        <v>72</v>
      </c>
      <c r="F740" t="s">
        <v>78</v>
      </c>
    </row>
    <row r="741" spans="1:6" x14ac:dyDescent="0.45">
      <c r="A741">
        <v>60</v>
      </c>
      <c r="B741">
        <v>16</v>
      </c>
      <c r="C741">
        <v>20000</v>
      </c>
      <c r="D741" t="s">
        <v>71</v>
      </c>
      <c r="E741" t="s">
        <v>74</v>
      </c>
      <c r="F741" t="s">
        <v>78</v>
      </c>
    </row>
    <row r="742" spans="1:6" x14ac:dyDescent="0.45">
      <c r="A742">
        <v>50</v>
      </c>
      <c r="B742">
        <v>16</v>
      </c>
      <c r="C742">
        <v>20000</v>
      </c>
      <c r="D742" t="s">
        <v>75</v>
      </c>
      <c r="E742" t="s">
        <v>74</v>
      </c>
      <c r="F742" t="s">
        <v>78</v>
      </c>
    </row>
    <row r="743" spans="1:6" x14ac:dyDescent="0.45">
      <c r="A743">
        <v>40</v>
      </c>
      <c r="B743">
        <v>16</v>
      </c>
      <c r="C743">
        <v>20000</v>
      </c>
      <c r="D743" t="s">
        <v>71</v>
      </c>
      <c r="E743" t="s">
        <v>72</v>
      </c>
      <c r="F743" t="s">
        <v>78</v>
      </c>
    </row>
    <row r="744" spans="1:6" x14ac:dyDescent="0.45">
      <c r="A744">
        <v>43</v>
      </c>
      <c r="B744">
        <v>16</v>
      </c>
      <c r="C744">
        <v>20000</v>
      </c>
      <c r="D744" t="s">
        <v>71</v>
      </c>
      <c r="E744" t="s">
        <v>72</v>
      </c>
      <c r="F744" t="s">
        <v>78</v>
      </c>
    </row>
    <row r="745" spans="1:6" x14ac:dyDescent="0.45">
      <c r="A745">
        <v>40</v>
      </c>
      <c r="B745">
        <v>16</v>
      </c>
      <c r="C745">
        <v>20000</v>
      </c>
      <c r="D745" t="s">
        <v>71</v>
      </c>
      <c r="E745" t="s">
        <v>72</v>
      </c>
      <c r="F745" t="s">
        <v>78</v>
      </c>
    </row>
    <row r="746" spans="1:6" x14ac:dyDescent="0.45">
      <c r="A746">
        <v>40</v>
      </c>
      <c r="B746">
        <v>16</v>
      </c>
      <c r="C746">
        <v>20000</v>
      </c>
      <c r="D746" t="s">
        <v>77</v>
      </c>
      <c r="E746" t="s">
        <v>74</v>
      </c>
      <c r="F746" t="s">
        <v>78</v>
      </c>
    </row>
    <row r="747" spans="1:6" x14ac:dyDescent="0.45">
      <c r="A747">
        <v>40</v>
      </c>
      <c r="B747">
        <v>16</v>
      </c>
      <c r="C747">
        <v>20000</v>
      </c>
      <c r="D747" t="s">
        <v>77</v>
      </c>
      <c r="E747" t="s">
        <v>72</v>
      </c>
      <c r="F747" t="s">
        <v>78</v>
      </c>
    </row>
    <row r="748" spans="1:6" x14ac:dyDescent="0.45">
      <c r="A748">
        <v>40</v>
      </c>
      <c r="B748">
        <v>16</v>
      </c>
      <c r="C748">
        <v>20000</v>
      </c>
      <c r="D748" t="s">
        <v>71</v>
      </c>
      <c r="E748" t="s">
        <v>72</v>
      </c>
      <c r="F748" t="s">
        <v>78</v>
      </c>
    </row>
    <row r="749" spans="1:6" x14ac:dyDescent="0.45">
      <c r="A749">
        <v>40</v>
      </c>
      <c r="B749">
        <v>16</v>
      </c>
      <c r="C749">
        <v>20000</v>
      </c>
      <c r="D749" t="s">
        <v>71</v>
      </c>
      <c r="E749" t="s">
        <v>72</v>
      </c>
      <c r="F749" t="s">
        <v>78</v>
      </c>
    </row>
    <row r="750" spans="1:6" x14ac:dyDescent="0.45">
      <c r="A750">
        <v>40</v>
      </c>
      <c r="B750">
        <v>16</v>
      </c>
      <c r="C750">
        <v>20000</v>
      </c>
      <c r="D750" t="s">
        <v>71</v>
      </c>
      <c r="E750" t="s">
        <v>74</v>
      </c>
      <c r="F750" t="s">
        <v>78</v>
      </c>
    </row>
    <row r="751" spans="1:6" x14ac:dyDescent="0.45">
      <c r="A751">
        <v>35</v>
      </c>
      <c r="B751">
        <v>16</v>
      </c>
      <c r="C751">
        <v>20000</v>
      </c>
      <c r="D751" t="s">
        <v>75</v>
      </c>
      <c r="E751" t="s">
        <v>72</v>
      </c>
      <c r="F751" t="s">
        <v>78</v>
      </c>
    </row>
    <row r="752" spans="1:6" x14ac:dyDescent="0.45">
      <c r="A752">
        <v>40</v>
      </c>
      <c r="B752">
        <v>16</v>
      </c>
      <c r="C752">
        <v>20000</v>
      </c>
      <c r="D752" t="s">
        <v>71</v>
      </c>
      <c r="E752" t="s">
        <v>72</v>
      </c>
      <c r="F752" t="s">
        <v>78</v>
      </c>
    </row>
    <row r="753" spans="1:6" x14ac:dyDescent="0.45">
      <c r="A753">
        <v>0</v>
      </c>
      <c r="B753">
        <v>16</v>
      </c>
      <c r="C753">
        <v>20000</v>
      </c>
      <c r="D753" t="s">
        <v>71</v>
      </c>
      <c r="E753" t="s">
        <v>74</v>
      </c>
      <c r="F753" t="s">
        <v>78</v>
      </c>
    </row>
    <row r="754" spans="1:6" x14ac:dyDescent="0.45">
      <c r="A754">
        <v>45</v>
      </c>
      <c r="B754">
        <v>16</v>
      </c>
      <c r="C754">
        <v>20000</v>
      </c>
      <c r="D754" t="s">
        <v>71</v>
      </c>
      <c r="E754" t="s">
        <v>74</v>
      </c>
      <c r="F754" t="s">
        <v>78</v>
      </c>
    </row>
    <row r="755" spans="1:6" x14ac:dyDescent="0.45">
      <c r="A755">
        <v>40</v>
      </c>
      <c r="B755">
        <v>16</v>
      </c>
      <c r="C755">
        <v>20000</v>
      </c>
      <c r="D755" t="s">
        <v>71</v>
      </c>
      <c r="E755" t="s">
        <v>72</v>
      </c>
      <c r="F755" t="s">
        <v>78</v>
      </c>
    </row>
    <row r="756" spans="1:6" x14ac:dyDescent="0.45">
      <c r="A756">
        <v>40</v>
      </c>
      <c r="B756">
        <v>16</v>
      </c>
      <c r="C756">
        <v>20000</v>
      </c>
      <c r="D756" t="s">
        <v>71</v>
      </c>
      <c r="E756" t="s">
        <v>72</v>
      </c>
      <c r="F756" t="s">
        <v>78</v>
      </c>
    </row>
    <row r="757" spans="1:6" x14ac:dyDescent="0.45">
      <c r="A757">
        <v>40</v>
      </c>
      <c r="B757">
        <v>16</v>
      </c>
      <c r="C757">
        <v>20050</v>
      </c>
      <c r="D757" t="s">
        <v>71</v>
      </c>
      <c r="E757" t="s">
        <v>72</v>
      </c>
      <c r="F757" t="s">
        <v>78</v>
      </c>
    </row>
    <row r="758" spans="1:6" x14ac:dyDescent="0.45">
      <c r="A758">
        <v>40</v>
      </c>
      <c r="B758">
        <v>16</v>
      </c>
      <c r="C758">
        <v>20600</v>
      </c>
      <c r="D758" t="s">
        <v>71</v>
      </c>
      <c r="E758" t="s">
        <v>74</v>
      </c>
      <c r="F758" t="s">
        <v>78</v>
      </c>
    </row>
    <row r="759" spans="1:6" x14ac:dyDescent="0.45">
      <c r="A759">
        <v>40</v>
      </c>
      <c r="B759">
        <v>16</v>
      </c>
      <c r="C759">
        <v>20800</v>
      </c>
      <c r="D759" t="s">
        <v>71</v>
      </c>
      <c r="E759" t="s">
        <v>74</v>
      </c>
      <c r="F759" t="s">
        <v>78</v>
      </c>
    </row>
    <row r="760" spans="1:6" x14ac:dyDescent="0.45">
      <c r="A760">
        <v>40</v>
      </c>
      <c r="B760">
        <v>16</v>
      </c>
      <c r="C760">
        <v>20800</v>
      </c>
      <c r="D760" t="s">
        <v>71</v>
      </c>
      <c r="E760" t="s">
        <v>72</v>
      </c>
      <c r="F760" t="s">
        <v>78</v>
      </c>
    </row>
    <row r="761" spans="1:6" x14ac:dyDescent="0.45">
      <c r="A761">
        <v>39</v>
      </c>
      <c r="B761">
        <v>16</v>
      </c>
      <c r="C761">
        <v>21000</v>
      </c>
      <c r="D761" t="s">
        <v>71</v>
      </c>
      <c r="E761" t="s">
        <v>74</v>
      </c>
      <c r="F761" t="s">
        <v>78</v>
      </c>
    </row>
    <row r="762" spans="1:6" x14ac:dyDescent="0.45">
      <c r="A762">
        <v>40</v>
      </c>
      <c r="B762">
        <v>16</v>
      </c>
      <c r="C762">
        <v>21000</v>
      </c>
      <c r="D762" t="s">
        <v>71</v>
      </c>
      <c r="E762" t="s">
        <v>72</v>
      </c>
      <c r="F762" t="s">
        <v>78</v>
      </c>
    </row>
    <row r="763" spans="1:6" x14ac:dyDescent="0.45">
      <c r="A763">
        <v>55</v>
      </c>
      <c r="B763">
        <v>16</v>
      </c>
      <c r="C763">
        <v>21000</v>
      </c>
      <c r="D763" t="s">
        <v>71</v>
      </c>
      <c r="E763" t="s">
        <v>74</v>
      </c>
      <c r="F763" t="s">
        <v>78</v>
      </c>
    </row>
    <row r="764" spans="1:6" x14ac:dyDescent="0.45">
      <c r="A764">
        <v>60</v>
      </c>
      <c r="B764">
        <v>16</v>
      </c>
      <c r="C764">
        <v>21000</v>
      </c>
      <c r="D764" t="s">
        <v>71</v>
      </c>
      <c r="E764" t="s">
        <v>72</v>
      </c>
      <c r="F764" t="s">
        <v>78</v>
      </c>
    </row>
    <row r="765" spans="1:6" x14ac:dyDescent="0.45">
      <c r="A765">
        <v>0</v>
      </c>
      <c r="B765">
        <v>16</v>
      </c>
      <c r="C765">
        <v>21000</v>
      </c>
      <c r="D765" t="s">
        <v>71</v>
      </c>
      <c r="E765" t="s">
        <v>74</v>
      </c>
      <c r="F765" t="s">
        <v>78</v>
      </c>
    </row>
    <row r="766" spans="1:6" x14ac:dyDescent="0.45">
      <c r="A766">
        <v>40</v>
      </c>
      <c r="B766">
        <v>16</v>
      </c>
      <c r="C766">
        <v>21000</v>
      </c>
      <c r="D766" t="s">
        <v>71</v>
      </c>
      <c r="E766" t="s">
        <v>72</v>
      </c>
      <c r="F766" t="s">
        <v>78</v>
      </c>
    </row>
    <row r="767" spans="1:6" x14ac:dyDescent="0.45">
      <c r="A767">
        <v>35</v>
      </c>
      <c r="B767">
        <v>16</v>
      </c>
      <c r="C767">
        <v>21000</v>
      </c>
      <c r="D767" t="s">
        <v>71</v>
      </c>
      <c r="E767" t="s">
        <v>72</v>
      </c>
      <c r="F767" t="s">
        <v>78</v>
      </c>
    </row>
    <row r="768" spans="1:6" x14ac:dyDescent="0.45">
      <c r="A768">
        <v>40</v>
      </c>
      <c r="B768">
        <v>16</v>
      </c>
      <c r="C768">
        <v>21000</v>
      </c>
      <c r="D768" t="s">
        <v>76</v>
      </c>
      <c r="E768" t="s">
        <v>72</v>
      </c>
      <c r="F768" t="s">
        <v>78</v>
      </c>
    </row>
    <row r="769" spans="1:6" x14ac:dyDescent="0.45">
      <c r="A769">
        <v>40</v>
      </c>
      <c r="B769">
        <v>16</v>
      </c>
      <c r="C769">
        <v>21000</v>
      </c>
      <c r="D769" t="s">
        <v>71</v>
      </c>
      <c r="E769" t="s">
        <v>74</v>
      </c>
      <c r="F769" t="s">
        <v>78</v>
      </c>
    </row>
    <row r="770" spans="1:6" x14ac:dyDescent="0.45">
      <c r="A770">
        <v>40</v>
      </c>
      <c r="B770">
        <v>16</v>
      </c>
      <c r="C770">
        <v>21000</v>
      </c>
      <c r="D770" t="s">
        <v>71</v>
      </c>
      <c r="E770" t="s">
        <v>74</v>
      </c>
      <c r="F770" t="s">
        <v>78</v>
      </c>
    </row>
    <row r="771" spans="1:6" x14ac:dyDescent="0.45">
      <c r="A771">
        <v>40</v>
      </c>
      <c r="B771">
        <v>16</v>
      </c>
      <c r="C771">
        <v>21400</v>
      </c>
      <c r="D771" t="s">
        <v>71</v>
      </c>
      <c r="E771" t="s">
        <v>74</v>
      </c>
      <c r="F771" t="s">
        <v>78</v>
      </c>
    </row>
    <row r="772" spans="1:6" x14ac:dyDescent="0.45">
      <c r="A772">
        <v>40</v>
      </c>
      <c r="B772">
        <v>16</v>
      </c>
      <c r="C772">
        <v>21502</v>
      </c>
      <c r="D772" t="s">
        <v>71</v>
      </c>
      <c r="E772" t="s">
        <v>72</v>
      </c>
      <c r="F772" t="s">
        <v>78</v>
      </c>
    </row>
    <row r="773" spans="1:6" x14ac:dyDescent="0.45">
      <c r="A773">
        <v>50</v>
      </c>
      <c r="B773">
        <v>16</v>
      </c>
      <c r="C773">
        <v>22000</v>
      </c>
      <c r="D773" t="s">
        <v>71</v>
      </c>
      <c r="E773" t="s">
        <v>74</v>
      </c>
      <c r="F773" t="s">
        <v>78</v>
      </c>
    </row>
    <row r="774" spans="1:6" x14ac:dyDescent="0.45">
      <c r="A774">
        <v>40</v>
      </c>
      <c r="B774">
        <v>16</v>
      </c>
      <c r="C774">
        <v>22000</v>
      </c>
      <c r="D774" t="s">
        <v>71</v>
      </c>
      <c r="E774" t="s">
        <v>74</v>
      </c>
      <c r="F774" t="s">
        <v>78</v>
      </c>
    </row>
    <row r="775" spans="1:6" x14ac:dyDescent="0.45">
      <c r="A775">
        <v>40</v>
      </c>
      <c r="B775">
        <v>16</v>
      </c>
      <c r="C775">
        <v>22000</v>
      </c>
      <c r="D775" t="s">
        <v>71</v>
      </c>
      <c r="E775" t="s">
        <v>74</v>
      </c>
      <c r="F775" t="s">
        <v>78</v>
      </c>
    </row>
    <row r="776" spans="1:6" x14ac:dyDescent="0.45">
      <c r="A776">
        <v>55</v>
      </c>
      <c r="B776">
        <v>16</v>
      </c>
      <c r="C776">
        <v>22000</v>
      </c>
      <c r="D776" t="s">
        <v>71</v>
      </c>
      <c r="E776" t="s">
        <v>74</v>
      </c>
      <c r="F776" t="s">
        <v>78</v>
      </c>
    </row>
    <row r="777" spans="1:6" x14ac:dyDescent="0.45">
      <c r="A777">
        <v>50</v>
      </c>
      <c r="B777">
        <v>16</v>
      </c>
      <c r="C777">
        <v>22000</v>
      </c>
      <c r="D777" t="s">
        <v>71</v>
      </c>
      <c r="E777" t="s">
        <v>72</v>
      </c>
      <c r="F777" t="s">
        <v>78</v>
      </c>
    </row>
    <row r="778" spans="1:6" x14ac:dyDescent="0.45">
      <c r="A778">
        <v>40</v>
      </c>
      <c r="B778">
        <v>16</v>
      </c>
      <c r="C778">
        <v>22000</v>
      </c>
      <c r="D778" t="s">
        <v>71</v>
      </c>
      <c r="E778" t="s">
        <v>72</v>
      </c>
      <c r="F778" t="s">
        <v>78</v>
      </c>
    </row>
    <row r="779" spans="1:6" x14ac:dyDescent="0.45">
      <c r="A779">
        <v>47</v>
      </c>
      <c r="B779">
        <v>16</v>
      </c>
      <c r="C779">
        <v>22200</v>
      </c>
      <c r="D779" t="s">
        <v>71</v>
      </c>
      <c r="E779" t="s">
        <v>72</v>
      </c>
      <c r="F779" t="s">
        <v>78</v>
      </c>
    </row>
    <row r="780" spans="1:6" x14ac:dyDescent="0.45">
      <c r="A780">
        <v>60</v>
      </c>
      <c r="B780">
        <v>16</v>
      </c>
      <c r="C780">
        <v>22500</v>
      </c>
      <c r="D780" t="s">
        <v>71</v>
      </c>
      <c r="E780" t="s">
        <v>74</v>
      </c>
      <c r="F780" t="s">
        <v>78</v>
      </c>
    </row>
    <row r="781" spans="1:6" x14ac:dyDescent="0.45">
      <c r="A781">
        <v>36</v>
      </c>
      <c r="B781">
        <v>16</v>
      </c>
      <c r="C781">
        <v>22500</v>
      </c>
      <c r="D781" t="s">
        <v>71</v>
      </c>
      <c r="E781" t="s">
        <v>72</v>
      </c>
      <c r="F781" t="s">
        <v>78</v>
      </c>
    </row>
    <row r="782" spans="1:6" x14ac:dyDescent="0.45">
      <c r="A782">
        <v>40</v>
      </c>
      <c r="B782">
        <v>16</v>
      </c>
      <c r="C782">
        <v>23000</v>
      </c>
      <c r="D782" t="s">
        <v>71</v>
      </c>
      <c r="E782" t="s">
        <v>74</v>
      </c>
      <c r="F782" t="s">
        <v>78</v>
      </c>
    </row>
    <row r="783" spans="1:6" x14ac:dyDescent="0.45">
      <c r="A783">
        <v>40</v>
      </c>
      <c r="B783">
        <v>16</v>
      </c>
      <c r="C783">
        <v>23000</v>
      </c>
      <c r="D783" t="s">
        <v>71</v>
      </c>
      <c r="E783" t="s">
        <v>74</v>
      </c>
      <c r="F783" t="s">
        <v>78</v>
      </c>
    </row>
    <row r="784" spans="1:6" x14ac:dyDescent="0.45">
      <c r="A784">
        <v>45</v>
      </c>
      <c r="B784">
        <v>16</v>
      </c>
      <c r="C784">
        <v>23000</v>
      </c>
      <c r="D784" t="s">
        <v>71</v>
      </c>
      <c r="E784" t="s">
        <v>74</v>
      </c>
      <c r="F784" t="s">
        <v>78</v>
      </c>
    </row>
    <row r="785" spans="1:6" x14ac:dyDescent="0.45">
      <c r="A785">
        <v>40</v>
      </c>
      <c r="B785">
        <v>16</v>
      </c>
      <c r="C785">
        <v>23000</v>
      </c>
      <c r="D785" t="s">
        <v>76</v>
      </c>
      <c r="E785" t="s">
        <v>74</v>
      </c>
      <c r="F785" t="s">
        <v>78</v>
      </c>
    </row>
    <row r="786" spans="1:6" x14ac:dyDescent="0.45">
      <c r="A786">
        <v>40</v>
      </c>
      <c r="B786">
        <v>16</v>
      </c>
      <c r="C786">
        <v>23000</v>
      </c>
      <c r="D786" t="s">
        <v>71</v>
      </c>
      <c r="E786" t="s">
        <v>72</v>
      </c>
      <c r="F786" t="s">
        <v>78</v>
      </c>
    </row>
    <row r="787" spans="1:6" x14ac:dyDescent="0.45">
      <c r="A787">
        <v>50</v>
      </c>
      <c r="B787">
        <v>16</v>
      </c>
      <c r="C787">
        <v>23000</v>
      </c>
      <c r="D787" t="s">
        <v>71</v>
      </c>
      <c r="E787" t="s">
        <v>72</v>
      </c>
      <c r="F787" t="s">
        <v>78</v>
      </c>
    </row>
    <row r="788" spans="1:6" x14ac:dyDescent="0.45">
      <c r="A788">
        <v>40</v>
      </c>
      <c r="B788">
        <v>16</v>
      </c>
      <c r="C788">
        <v>23000</v>
      </c>
      <c r="D788" t="s">
        <v>71</v>
      </c>
      <c r="E788" t="s">
        <v>74</v>
      </c>
      <c r="F788" t="s">
        <v>78</v>
      </c>
    </row>
    <row r="789" spans="1:6" x14ac:dyDescent="0.45">
      <c r="A789">
        <v>35</v>
      </c>
      <c r="B789">
        <v>16</v>
      </c>
      <c r="C789">
        <v>23000</v>
      </c>
      <c r="D789" t="s">
        <v>71</v>
      </c>
      <c r="E789" t="s">
        <v>72</v>
      </c>
      <c r="F789" t="s">
        <v>78</v>
      </c>
    </row>
    <row r="790" spans="1:6" x14ac:dyDescent="0.45">
      <c r="A790">
        <v>40</v>
      </c>
      <c r="B790">
        <v>16</v>
      </c>
      <c r="C790">
        <v>23999</v>
      </c>
      <c r="D790" t="s">
        <v>75</v>
      </c>
      <c r="E790" t="s">
        <v>72</v>
      </c>
      <c r="F790" t="s">
        <v>78</v>
      </c>
    </row>
    <row r="791" spans="1:6" x14ac:dyDescent="0.45">
      <c r="A791">
        <v>40</v>
      </c>
      <c r="B791">
        <v>16</v>
      </c>
      <c r="C791">
        <v>24000</v>
      </c>
      <c r="D791" t="s">
        <v>76</v>
      </c>
      <c r="E791" t="s">
        <v>72</v>
      </c>
      <c r="F791" t="s">
        <v>78</v>
      </c>
    </row>
    <row r="792" spans="1:6" x14ac:dyDescent="0.45">
      <c r="A792">
        <v>40</v>
      </c>
      <c r="B792">
        <v>16</v>
      </c>
      <c r="C792">
        <v>24000</v>
      </c>
      <c r="D792" t="s">
        <v>71</v>
      </c>
      <c r="E792" t="s">
        <v>72</v>
      </c>
      <c r="F792" t="s">
        <v>78</v>
      </c>
    </row>
    <row r="793" spans="1:6" x14ac:dyDescent="0.45">
      <c r="A793">
        <v>45</v>
      </c>
      <c r="B793">
        <v>16</v>
      </c>
      <c r="C793">
        <v>24000</v>
      </c>
      <c r="D793" t="s">
        <v>71</v>
      </c>
      <c r="E793" t="s">
        <v>74</v>
      </c>
      <c r="F793" t="s">
        <v>78</v>
      </c>
    </row>
    <row r="794" spans="1:6" x14ac:dyDescent="0.45">
      <c r="A794">
        <v>40</v>
      </c>
      <c r="B794">
        <v>16</v>
      </c>
      <c r="C794">
        <v>24000</v>
      </c>
      <c r="D794" t="s">
        <v>71</v>
      </c>
      <c r="E794" t="s">
        <v>72</v>
      </c>
      <c r="F794" t="s">
        <v>78</v>
      </c>
    </row>
    <row r="795" spans="1:6" x14ac:dyDescent="0.45">
      <c r="A795">
        <v>43</v>
      </c>
      <c r="B795">
        <v>16</v>
      </c>
      <c r="C795">
        <v>24000</v>
      </c>
      <c r="D795" t="s">
        <v>71</v>
      </c>
      <c r="E795" t="s">
        <v>72</v>
      </c>
      <c r="F795" t="s">
        <v>78</v>
      </c>
    </row>
    <row r="796" spans="1:6" x14ac:dyDescent="0.45">
      <c r="A796">
        <v>45</v>
      </c>
      <c r="B796">
        <v>16</v>
      </c>
      <c r="C796">
        <v>24000</v>
      </c>
      <c r="D796" t="s">
        <v>71</v>
      </c>
      <c r="E796" t="s">
        <v>74</v>
      </c>
      <c r="F796" t="s">
        <v>78</v>
      </c>
    </row>
    <row r="797" spans="1:6" x14ac:dyDescent="0.45">
      <c r="A797">
        <v>50</v>
      </c>
      <c r="B797">
        <v>16</v>
      </c>
      <c r="C797">
        <v>24000</v>
      </c>
      <c r="D797" t="s">
        <v>71</v>
      </c>
      <c r="E797" t="s">
        <v>72</v>
      </c>
      <c r="F797" t="s">
        <v>78</v>
      </c>
    </row>
    <row r="798" spans="1:6" x14ac:dyDescent="0.45">
      <c r="A798">
        <v>40</v>
      </c>
      <c r="B798">
        <v>16</v>
      </c>
      <c r="C798">
        <v>24000</v>
      </c>
      <c r="D798" t="s">
        <v>76</v>
      </c>
      <c r="E798" t="s">
        <v>74</v>
      </c>
      <c r="F798" t="s">
        <v>78</v>
      </c>
    </row>
    <row r="799" spans="1:6" x14ac:dyDescent="0.45">
      <c r="A799">
        <v>45</v>
      </c>
      <c r="B799">
        <v>16</v>
      </c>
      <c r="C799">
        <v>24000</v>
      </c>
      <c r="D799" t="s">
        <v>71</v>
      </c>
      <c r="E799" t="s">
        <v>72</v>
      </c>
      <c r="F799" t="s">
        <v>78</v>
      </c>
    </row>
    <row r="800" spans="1:6" x14ac:dyDescent="0.45">
      <c r="A800">
        <v>40</v>
      </c>
      <c r="B800">
        <v>16</v>
      </c>
      <c r="C800">
        <v>24000</v>
      </c>
      <c r="D800" t="s">
        <v>71</v>
      </c>
      <c r="E800" t="s">
        <v>72</v>
      </c>
      <c r="F800" t="s">
        <v>78</v>
      </c>
    </row>
    <row r="801" spans="1:6" x14ac:dyDescent="0.45">
      <c r="A801">
        <v>55</v>
      </c>
      <c r="B801">
        <v>16</v>
      </c>
      <c r="C801">
        <v>24000</v>
      </c>
      <c r="D801" t="s">
        <v>71</v>
      </c>
      <c r="E801" t="s">
        <v>74</v>
      </c>
      <c r="F801" t="s">
        <v>78</v>
      </c>
    </row>
    <row r="802" spans="1:6" x14ac:dyDescent="0.45">
      <c r="A802">
        <v>40</v>
      </c>
      <c r="B802">
        <v>16</v>
      </c>
      <c r="C802">
        <v>24000</v>
      </c>
      <c r="D802" t="s">
        <v>76</v>
      </c>
      <c r="E802" t="s">
        <v>72</v>
      </c>
      <c r="F802" t="s">
        <v>78</v>
      </c>
    </row>
    <row r="803" spans="1:6" x14ac:dyDescent="0.45">
      <c r="A803">
        <v>40</v>
      </c>
      <c r="B803">
        <v>16</v>
      </c>
      <c r="C803">
        <v>24000</v>
      </c>
      <c r="D803" t="s">
        <v>71</v>
      </c>
      <c r="E803" t="s">
        <v>74</v>
      </c>
      <c r="F803" t="s">
        <v>78</v>
      </c>
    </row>
    <row r="804" spans="1:6" x14ac:dyDescent="0.45">
      <c r="A804">
        <v>40</v>
      </c>
      <c r="B804">
        <v>16</v>
      </c>
      <c r="C804">
        <v>24000</v>
      </c>
      <c r="D804" t="s">
        <v>71</v>
      </c>
      <c r="E804" t="s">
        <v>72</v>
      </c>
      <c r="F804" t="s">
        <v>78</v>
      </c>
    </row>
    <row r="805" spans="1:6" x14ac:dyDescent="0.45">
      <c r="A805">
        <v>40</v>
      </c>
      <c r="B805">
        <v>16</v>
      </c>
      <c r="C805">
        <v>24000</v>
      </c>
      <c r="D805" t="s">
        <v>71</v>
      </c>
      <c r="E805" t="s">
        <v>74</v>
      </c>
      <c r="F805" t="s">
        <v>78</v>
      </c>
    </row>
    <row r="806" spans="1:6" x14ac:dyDescent="0.45">
      <c r="A806">
        <v>40</v>
      </c>
      <c r="B806">
        <v>16</v>
      </c>
      <c r="C806">
        <v>24200</v>
      </c>
      <c r="D806" t="s">
        <v>71</v>
      </c>
      <c r="E806" t="s">
        <v>72</v>
      </c>
      <c r="F806" t="s">
        <v>78</v>
      </c>
    </row>
    <row r="807" spans="1:6" x14ac:dyDescent="0.45">
      <c r="A807">
        <v>42</v>
      </c>
      <c r="B807">
        <v>16</v>
      </c>
      <c r="C807">
        <v>24400</v>
      </c>
      <c r="D807" t="s">
        <v>71</v>
      </c>
      <c r="E807" t="s">
        <v>74</v>
      </c>
      <c r="F807" t="s">
        <v>78</v>
      </c>
    </row>
    <row r="808" spans="1:6" x14ac:dyDescent="0.45">
      <c r="A808">
        <v>40</v>
      </c>
      <c r="B808">
        <v>16</v>
      </c>
      <c r="C808">
        <v>24400</v>
      </c>
      <c r="D808" t="s">
        <v>71</v>
      </c>
      <c r="E808" t="s">
        <v>72</v>
      </c>
      <c r="F808" t="s">
        <v>78</v>
      </c>
    </row>
    <row r="809" spans="1:6" x14ac:dyDescent="0.45">
      <c r="A809">
        <v>40</v>
      </c>
      <c r="B809">
        <v>16</v>
      </c>
      <c r="C809">
        <v>24700</v>
      </c>
      <c r="D809" t="s">
        <v>75</v>
      </c>
      <c r="E809" t="s">
        <v>74</v>
      </c>
      <c r="F809" t="s">
        <v>78</v>
      </c>
    </row>
    <row r="810" spans="1:6" x14ac:dyDescent="0.45">
      <c r="A810">
        <v>40</v>
      </c>
      <c r="B810">
        <v>16</v>
      </c>
      <c r="C810">
        <v>24960</v>
      </c>
      <c r="D810" t="s">
        <v>76</v>
      </c>
      <c r="E810" t="s">
        <v>72</v>
      </c>
      <c r="F810" t="s">
        <v>78</v>
      </c>
    </row>
    <row r="811" spans="1:6" x14ac:dyDescent="0.45">
      <c r="A811">
        <v>40</v>
      </c>
      <c r="B811">
        <v>16</v>
      </c>
      <c r="C811">
        <v>25000</v>
      </c>
      <c r="D811" t="s">
        <v>71</v>
      </c>
      <c r="E811" t="s">
        <v>74</v>
      </c>
      <c r="F811" t="s">
        <v>78</v>
      </c>
    </row>
    <row r="812" spans="1:6" x14ac:dyDescent="0.45">
      <c r="A812">
        <v>40</v>
      </c>
      <c r="B812">
        <v>16</v>
      </c>
      <c r="C812">
        <v>25000</v>
      </c>
      <c r="D812" t="s">
        <v>71</v>
      </c>
      <c r="E812" t="s">
        <v>72</v>
      </c>
      <c r="F812" t="s">
        <v>78</v>
      </c>
    </row>
    <row r="813" spans="1:6" x14ac:dyDescent="0.45">
      <c r="A813">
        <v>60</v>
      </c>
      <c r="B813">
        <v>16</v>
      </c>
      <c r="C813">
        <v>25000</v>
      </c>
      <c r="D813" t="s">
        <v>71</v>
      </c>
      <c r="E813" t="s">
        <v>74</v>
      </c>
      <c r="F813" t="s">
        <v>78</v>
      </c>
    </row>
    <row r="814" spans="1:6" x14ac:dyDescent="0.45">
      <c r="A814">
        <v>40</v>
      </c>
      <c r="B814">
        <v>16</v>
      </c>
      <c r="C814">
        <v>25000</v>
      </c>
      <c r="D814" t="s">
        <v>71</v>
      </c>
      <c r="E814" t="s">
        <v>72</v>
      </c>
      <c r="F814" t="s">
        <v>78</v>
      </c>
    </row>
    <row r="815" spans="1:6" x14ac:dyDescent="0.45">
      <c r="A815">
        <v>35</v>
      </c>
      <c r="B815">
        <v>16</v>
      </c>
      <c r="C815">
        <v>25000</v>
      </c>
      <c r="D815" t="s">
        <v>71</v>
      </c>
      <c r="E815" t="s">
        <v>74</v>
      </c>
      <c r="F815" t="s">
        <v>78</v>
      </c>
    </row>
    <row r="816" spans="1:6" x14ac:dyDescent="0.45">
      <c r="A816">
        <v>40</v>
      </c>
      <c r="B816">
        <v>16</v>
      </c>
      <c r="C816">
        <v>25000</v>
      </c>
      <c r="D816" t="s">
        <v>76</v>
      </c>
      <c r="E816" t="s">
        <v>74</v>
      </c>
      <c r="F816" t="s">
        <v>78</v>
      </c>
    </row>
    <row r="817" spans="1:6" x14ac:dyDescent="0.45">
      <c r="A817">
        <v>40</v>
      </c>
      <c r="B817">
        <v>16</v>
      </c>
      <c r="C817">
        <v>25000</v>
      </c>
      <c r="D817" t="s">
        <v>71</v>
      </c>
      <c r="E817" t="s">
        <v>74</v>
      </c>
      <c r="F817" t="s">
        <v>78</v>
      </c>
    </row>
    <row r="818" spans="1:6" x14ac:dyDescent="0.45">
      <c r="A818">
        <v>40</v>
      </c>
      <c r="B818">
        <v>16</v>
      </c>
      <c r="C818">
        <v>25000</v>
      </c>
      <c r="D818" t="s">
        <v>76</v>
      </c>
      <c r="E818" t="s">
        <v>74</v>
      </c>
      <c r="F818" t="s">
        <v>78</v>
      </c>
    </row>
    <row r="819" spans="1:6" x14ac:dyDescent="0.45">
      <c r="A819">
        <v>40</v>
      </c>
      <c r="B819">
        <v>16</v>
      </c>
      <c r="C819">
        <v>25000</v>
      </c>
      <c r="D819" t="s">
        <v>71</v>
      </c>
      <c r="E819" t="s">
        <v>72</v>
      </c>
      <c r="F819" t="s">
        <v>78</v>
      </c>
    </row>
    <row r="820" spans="1:6" x14ac:dyDescent="0.45">
      <c r="A820">
        <v>40</v>
      </c>
      <c r="B820">
        <v>16</v>
      </c>
      <c r="C820">
        <v>25000</v>
      </c>
      <c r="D820" t="s">
        <v>71</v>
      </c>
      <c r="E820" t="s">
        <v>72</v>
      </c>
      <c r="F820" t="s">
        <v>78</v>
      </c>
    </row>
    <row r="821" spans="1:6" x14ac:dyDescent="0.45">
      <c r="A821">
        <v>0</v>
      </c>
      <c r="B821">
        <v>16</v>
      </c>
      <c r="C821">
        <v>25000</v>
      </c>
      <c r="D821" t="s">
        <v>71</v>
      </c>
      <c r="E821" t="s">
        <v>72</v>
      </c>
      <c r="F821" t="s">
        <v>78</v>
      </c>
    </row>
    <row r="822" spans="1:6" x14ac:dyDescent="0.45">
      <c r="A822">
        <v>40</v>
      </c>
      <c r="B822">
        <v>16</v>
      </c>
      <c r="C822">
        <v>25000</v>
      </c>
      <c r="D822" t="s">
        <v>71</v>
      </c>
      <c r="E822" t="s">
        <v>74</v>
      </c>
      <c r="F822" t="s">
        <v>78</v>
      </c>
    </row>
    <row r="823" spans="1:6" x14ac:dyDescent="0.45">
      <c r="A823">
        <v>40</v>
      </c>
      <c r="B823">
        <v>16</v>
      </c>
      <c r="C823">
        <v>25000</v>
      </c>
      <c r="D823" t="s">
        <v>75</v>
      </c>
      <c r="E823" t="s">
        <v>72</v>
      </c>
      <c r="F823" t="s">
        <v>78</v>
      </c>
    </row>
    <row r="824" spans="1:6" x14ac:dyDescent="0.45">
      <c r="A824">
        <v>40</v>
      </c>
      <c r="B824">
        <v>16</v>
      </c>
      <c r="C824">
        <v>25000</v>
      </c>
      <c r="D824" t="s">
        <v>75</v>
      </c>
      <c r="E824" t="s">
        <v>74</v>
      </c>
      <c r="F824" t="s">
        <v>78</v>
      </c>
    </row>
    <row r="825" spans="1:6" x14ac:dyDescent="0.45">
      <c r="A825">
        <v>40</v>
      </c>
      <c r="B825">
        <v>16</v>
      </c>
      <c r="C825">
        <v>25000</v>
      </c>
      <c r="D825" t="s">
        <v>75</v>
      </c>
      <c r="E825" t="s">
        <v>74</v>
      </c>
      <c r="F825" t="s">
        <v>78</v>
      </c>
    </row>
    <row r="826" spans="1:6" x14ac:dyDescent="0.45">
      <c r="A826">
        <v>40</v>
      </c>
      <c r="B826">
        <v>16</v>
      </c>
      <c r="C826">
        <v>25000</v>
      </c>
      <c r="D826" t="s">
        <v>71</v>
      </c>
      <c r="E826" t="s">
        <v>74</v>
      </c>
      <c r="F826" t="s">
        <v>78</v>
      </c>
    </row>
    <row r="827" spans="1:6" x14ac:dyDescent="0.45">
      <c r="A827">
        <v>0</v>
      </c>
      <c r="B827">
        <v>16</v>
      </c>
      <c r="C827">
        <v>25000</v>
      </c>
      <c r="D827" t="s">
        <v>76</v>
      </c>
      <c r="E827" t="s">
        <v>74</v>
      </c>
      <c r="F827" t="s">
        <v>78</v>
      </c>
    </row>
    <row r="828" spans="1:6" x14ac:dyDescent="0.45">
      <c r="A828">
        <v>40</v>
      </c>
      <c r="B828">
        <v>16</v>
      </c>
      <c r="C828">
        <v>25000</v>
      </c>
      <c r="D828" t="s">
        <v>76</v>
      </c>
      <c r="E828" t="s">
        <v>72</v>
      </c>
      <c r="F828" t="s">
        <v>78</v>
      </c>
    </row>
    <row r="829" spans="1:6" x14ac:dyDescent="0.45">
      <c r="A829">
        <v>45</v>
      </c>
      <c r="B829">
        <v>16</v>
      </c>
      <c r="C829">
        <v>25000</v>
      </c>
      <c r="D829" t="s">
        <v>71</v>
      </c>
      <c r="E829" t="s">
        <v>74</v>
      </c>
      <c r="F829" t="s">
        <v>78</v>
      </c>
    </row>
    <row r="830" spans="1:6" x14ac:dyDescent="0.45">
      <c r="A830">
        <v>0</v>
      </c>
      <c r="B830">
        <v>16</v>
      </c>
      <c r="C830">
        <v>25000</v>
      </c>
      <c r="D830" t="s">
        <v>71</v>
      </c>
      <c r="E830" t="s">
        <v>72</v>
      </c>
      <c r="F830" t="s">
        <v>78</v>
      </c>
    </row>
    <row r="831" spans="1:6" x14ac:dyDescent="0.45">
      <c r="A831">
        <v>40</v>
      </c>
      <c r="B831">
        <v>16</v>
      </c>
      <c r="C831">
        <v>25000</v>
      </c>
      <c r="D831" t="s">
        <v>71</v>
      </c>
      <c r="E831" t="s">
        <v>72</v>
      </c>
      <c r="F831" t="s">
        <v>78</v>
      </c>
    </row>
    <row r="832" spans="1:6" x14ac:dyDescent="0.45">
      <c r="A832">
        <v>0</v>
      </c>
      <c r="B832">
        <v>16</v>
      </c>
      <c r="C832">
        <v>25000</v>
      </c>
      <c r="D832" t="s">
        <v>71</v>
      </c>
      <c r="E832" t="s">
        <v>74</v>
      </c>
      <c r="F832" t="s">
        <v>78</v>
      </c>
    </row>
    <row r="833" spans="1:6" x14ac:dyDescent="0.45">
      <c r="A833">
        <v>40</v>
      </c>
      <c r="B833">
        <v>16</v>
      </c>
      <c r="C833">
        <v>25000</v>
      </c>
      <c r="D833" t="s">
        <v>71</v>
      </c>
      <c r="E833" t="s">
        <v>72</v>
      </c>
      <c r="F833" t="s">
        <v>78</v>
      </c>
    </row>
    <row r="834" spans="1:6" x14ac:dyDescent="0.45">
      <c r="A834">
        <v>40</v>
      </c>
      <c r="B834">
        <v>16</v>
      </c>
      <c r="C834">
        <v>25000</v>
      </c>
      <c r="D834" t="s">
        <v>71</v>
      </c>
      <c r="E834" t="s">
        <v>72</v>
      </c>
      <c r="F834" t="s">
        <v>78</v>
      </c>
    </row>
    <row r="835" spans="1:6" x14ac:dyDescent="0.45">
      <c r="A835">
        <v>40</v>
      </c>
      <c r="B835">
        <v>16</v>
      </c>
      <c r="C835">
        <v>25000</v>
      </c>
      <c r="D835" t="s">
        <v>71</v>
      </c>
      <c r="E835" t="s">
        <v>72</v>
      </c>
      <c r="F835" t="s">
        <v>78</v>
      </c>
    </row>
    <row r="836" spans="1:6" x14ac:dyDescent="0.45">
      <c r="A836">
        <v>40</v>
      </c>
      <c r="B836">
        <v>16</v>
      </c>
      <c r="C836">
        <v>25000</v>
      </c>
      <c r="D836" t="s">
        <v>71</v>
      </c>
      <c r="E836" t="s">
        <v>74</v>
      </c>
      <c r="F836" t="s">
        <v>78</v>
      </c>
    </row>
    <row r="837" spans="1:6" x14ac:dyDescent="0.45">
      <c r="A837">
        <v>0</v>
      </c>
      <c r="B837">
        <v>16</v>
      </c>
      <c r="C837">
        <v>25000</v>
      </c>
      <c r="D837" t="s">
        <v>71</v>
      </c>
      <c r="E837" t="s">
        <v>72</v>
      </c>
      <c r="F837" t="s">
        <v>78</v>
      </c>
    </row>
    <row r="838" spans="1:6" x14ac:dyDescent="0.45">
      <c r="A838">
        <v>40</v>
      </c>
      <c r="B838">
        <v>16</v>
      </c>
      <c r="C838">
        <v>25000</v>
      </c>
      <c r="D838" t="s">
        <v>76</v>
      </c>
      <c r="E838" t="s">
        <v>74</v>
      </c>
      <c r="F838" t="s">
        <v>78</v>
      </c>
    </row>
    <row r="839" spans="1:6" x14ac:dyDescent="0.45">
      <c r="A839">
        <v>40</v>
      </c>
      <c r="B839">
        <v>16</v>
      </c>
      <c r="C839">
        <v>25000</v>
      </c>
      <c r="D839" t="s">
        <v>76</v>
      </c>
      <c r="E839" t="s">
        <v>72</v>
      </c>
      <c r="F839" t="s">
        <v>78</v>
      </c>
    </row>
    <row r="840" spans="1:6" x14ac:dyDescent="0.45">
      <c r="A840">
        <v>50</v>
      </c>
      <c r="B840">
        <v>16</v>
      </c>
      <c r="C840">
        <v>25000</v>
      </c>
      <c r="D840" t="s">
        <v>71</v>
      </c>
      <c r="E840" t="s">
        <v>72</v>
      </c>
      <c r="F840" t="s">
        <v>78</v>
      </c>
    </row>
    <row r="841" spans="1:6" x14ac:dyDescent="0.45">
      <c r="A841">
        <v>45</v>
      </c>
      <c r="B841">
        <v>16</v>
      </c>
      <c r="C841">
        <v>25000</v>
      </c>
      <c r="D841" t="s">
        <v>71</v>
      </c>
      <c r="E841" t="s">
        <v>74</v>
      </c>
      <c r="F841" t="s">
        <v>78</v>
      </c>
    </row>
    <row r="842" spans="1:6" x14ac:dyDescent="0.45">
      <c r="A842">
        <v>40</v>
      </c>
      <c r="B842">
        <v>16</v>
      </c>
      <c r="C842">
        <v>25376</v>
      </c>
      <c r="D842" t="s">
        <v>71</v>
      </c>
      <c r="E842" t="s">
        <v>72</v>
      </c>
      <c r="F842" t="s">
        <v>78</v>
      </c>
    </row>
    <row r="843" spans="1:6" x14ac:dyDescent="0.45">
      <c r="A843">
        <v>35</v>
      </c>
      <c r="B843">
        <v>16</v>
      </c>
      <c r="C843">
        <v>25500</v>
      </c>
      <c r="D843" t="s">
        <v>71</v>
      </c>
      <c r="E843" t="s">
        <v>72</v>
      </c>
      <c r="F843" t="s">
        <v>78</v>
      </c>
    </row>
    <row r="844" spans="1:6" x14ac:dyDescent="0.45">
      <c r="A844">
        <v>40</v>
      </c>
      <c r="B844">
        <v>16</v>
      </c>
      <c r="C844">
        <v>25500</v>
      </c>
      <c r="D844" t="s">
        <v>71</v>
      </c>
      <c r="E844" t="s">
        <v>72</v>
      </c>
      <c r="F844" t="s">
        <v>78</v>
      </c>
    </row>
    <row r="845" spans="1:6" x14ac:dyDescent="0.45">
      <c r="A845">
        <v>50</v>
      </c>
      <c r="B845">
        <v>16</v>
      </c>
      <c r="C845">
        <v>26000</v>
      </c>
      <c r="D845" t="s">
        <v>76</v>
      </c>
      <c r="E845" t="s">
        <v>74</v>
      </c>
      <c r="F845" t="s">
        <v>78</v>
      </c>
    </row>
    <row r="846" spans="1:6" x14ac:dyDescent="0.45">
      <c r="A846">
        <v>40</v>
      </c>
      <c r="B846">
        <v>16</v>
      </c>
      <c r="C846">
        <v>26000</v>
      </c>
      <c r="D846" t="s">
        <v>71</v>
      </c>
      <c r="E846" t="s">
        <v>72</v>
      </c>
      <c r="F846" t="s">
        <v>78</v>
      </c>
    </row>
    <row r="847" spans="1:6" x14ac:dyDescent="0.45">
      <c r="A847">
        <v>40</v>
      </c>
      <c r="B847">
        <v>16</v>
      </c>
      <c r="C847">
        <v>26000</v>
      </c>
      <c r="D847" t="s">
        <v>71</v>
      </c>
      <c r="E847" t="s">
        <v>74</v>
      </c>
      <c r="F847" t="s">
        <v>78</v>
      </c>
    </row>
    <row r="848" spans="1:6" x14ac:dyDescent="0.45">
      <c r="A848">
        <v>45</v>
      </c>
      <c r="B848">
        <v>16</v>
      </c>
      <c r="C848">
        <v>26000</v>
      </c>
      <c r="D848" t="s">
        <v>76</v>
      </c>
      <c r="E848" t="s">
        <v>72</v>
      </c>
      <c r="F848" t="s">
        <v>78</v>
      </c>
    </row>
    <row r="849" spans="1:6" x14ac:dyDescent="0.45">
      <c r="A849">
        <v>40</v>
      </c>
      <c r="B849">
        <v>16</v>
      </c>
      <c r="C849">
        <v>26000</v>
      </c>
      <c r="D849" t="s">
        <v>71</v>
      </c>
      <c r="E849" t="s">
        <v>72</v>
      </c>
      <c r="F849" t="s">
        <v>78</v>
      </c>
    </row>
    <row r="850" spans="1:6" x14ac:dyDescent="0.45">
      <c r="A850">
        <v>38</v>
      </c>
      <c r="B850">
        <v>16</v>
      </c>
      <c r="C850">
        <v>26000</v>
      </c>
      <c r="D850" t="s">
        <v>71</v>
      </c>
      <c r="E850" t="s">
        <v>72</v>
      </c>
      <c r="F850" t="s">
        <v>78</v>
      </c>
    </row>
    <row r="851" spans="1:6" x14ac:dyDescent="0.45">
      <c r="A851">
        <v>50</v>
      </c>
      <c r="B851">
        <v>16</v>
      </c>
      <c r="C851">
        <v>26000</v>
      </c>
      <c r="D851" t="s">
        <v>71</v>
      </c>
      <c r="E851" t="s">
        <v>74</v>
      </c>
      <c r="F851" t="s">
        <v>78</v>
      </c>
    </row>
    <row r="852" spans="1:6" x14ac:dyDescent="0.45">
      <c r="A852">
        <v>40</v>
      </c>
      <c r="B852">
        <v>16</v>
      </c>
      <c r="C852">
        <v>26000</v>
      </c>
      <c r="D852" t="s">
        <v>71</v>
      </c>
      <c r="E852" t="s">
        <v>74</v>
      </c>
      <c r="F852" t="s">
        <v>78</v>
      </c>
    </row>
    <row r="853" spans="1:6" x14ac:dyDescent="0.45">
      <c r="A853">
        <v>65</v>
      </c>
      <c r="B853">
        <v>16</v>
      </c>
      <c r="C853">
        <v>26000</v>
      </c>
      <c r="D853" t="s">
        <v>71</v>
      </c>
      <c r="E853" t="s">
        <v>74</v>
      </c>
      <c r="F853" t="s">
        <v>78</v>
      </c>
    </row>
    <row r="854" spans="1:6" x14ac:dyDescent="0.45">
      <c r="A854">
        <v>40</v>
      </c>
      <c r="B854">
        <v>16</v>
      </c>
      <c r="C854">
        <v>26000</v>
      </c>
      <c r="D854" t="s">
        <v>71</v>
      </c>
      <c r="E854" t="s">
        <v>72</v>
      </c>
      <c r="F854" t="s">
        <v>78</v>
      </c>
    </row>
    <row r="855" spans="1:6" x14ac:dyDescent="0.45">
      <c r="A855">
        <v>0</v>
      </c>
      <c r="B855">
        <v>16</v>
      </c>
      <c r="C855">
        <v>26000</v>
      </c>
      <c r="D855" t="s">
        <v>71</v>
      </c>
      <c r="E855" t="s">
        <v>74</v>
      </c>
      <c r="F855" t="s">
        <v>78</v>
      </c>
    </row>
    <row r="856" spans="1:6" x14ac:dyDescent="0.45">
      <c r="A856">
        <v>63</v>
      </c>
      <c r="B856">
        <v>16</v>
      </c>
      <c r="C856">
        <v>26000</v>
      </c>
      <c r="D856" t="s">
        <v>71</v>
      </c>
      <c r="E856" t="s">
        <v>74</v>
      </c>
      <c r="F856" t="s">
        <v>78</v>
      </c>
    </row>
    <row r="857" spans="1:6" x14ac:dyDescent="0.45">
      <c r="A857">
        <v>45</v>
      </c>
      <c r="B857">
        <v>16</v>
      </c>
      <c r="C857">
        <v>26000</v>
      </c>
      <c r="D857" t="s">
        <v>71</v>
      </c>
      <c r="E857" t="s">
        <v>74</v>
      </c>
      <c r="F857" t="s">
        <v>78</v>
      </c>
    </row>
    <row r="858" spans="1:6" x14ac:dyDescent="0.45">
      <c r="A858">
        <v>50</v>
      </c>
      <c r="B858">
        <v>16</v>
      </c>
      <c r="C858">
        <v>26000</v>
      </c>
      <c r="D858" t="s">
        <v>71</v>
      </c>
      <c r="E858" t="s">
        <v>72</v>
      </c>
      <c r="F858" t="s">
        <v>78</v>
      </c>
    </row>
    <row r="859" spans="1:6" x14ac:dyDescent="0.45">
      <c r="A859">
        <v>45</v>
      </c>
      <c r="B859">
        <v>16</v>
      </c>
      <c r="C859">
        <v>26000</v>
      </c>
      <c r="D859" t="s">
        <v>71</v>
      </c>
      <c r="E859" t="s">
        <v>74</v>
      </c>
      <c r="F859" t="s">
        <v>78</v>
      </c>
    </row>
    <row r="860" spans="1:6" x14ac:dyDescent="0.45">
      <c r="A860">
        <v>40</v>
      </c>
      <c r="B860">
        <v>16</v>
      </c>
      <c r="C860">
        <v>26500</v>
      </c>
      <c r="D860" t="s">
        <v>71</v>
      </c>
      <c r="E860" t="s">
        <v>74</v>
      </c>
      <c r="F860" t="s">
        <v>78</v>
      </c>
    </row>
    <row r="861" spans="1:6" x14ac:dyDescent="0.45">
      <c r="A861">
        <v>40</v>
      </c>
      <c r="B861">
        <v>16</v>
      </c>
      <c r="C861">
        <v>26700</v>
      </c>
      <c r="D861" t="s">
        <v>71</v>
      </c>
      <c r="E861" t="s">
        <v>72</v>
      </c>
      <c r="F861" t="s">
        <v>78</v>
      </c>
    </row>
    <row r="862" spans="1:6" x14ac:dyDescent="0.45">
      <c r="A862">
        <v>40</v>
      </c>
      <c r="B862">
        <v>16</v>
      </c>
      <c r="C862">
        <v>26800</v>
      </c>
      <c r="D862" t="s">
        <v>71</v>
      </c>
      <c r="E862" t="s">
        <v>72</v>
      </c>
      <c r="F862" t="s">
        <v>78</v>
      </c>
    </row>
    <row r="863" spans="1:6" x14ac:dyDescent="0.45">
      <c r="A863">
        <v>40</v>
      </c>
      <c r="B863">
        <v>16</v>
      </c>
      <c r="C863">
        <v>27000</v>
      </c>
      <c r="D863" t="s">
        <v>71</v>
      </c>
      <c r="E863" t="s">
        <v>72</v>
      </c>
      <c r="F863" t="s">
        <v>78</v>
      </c>
    </row>
    <row r="864" spans="1:6" x14ac:dyDescent="0.45">
      <c r="A864">
        <v>40</v>
      </c>
      <c r="B864">
        <v>16</v>
      </c>
      <c r="C864">
        <v>27000</v>
      </c>
      <c r="D864" t="s">
        <v>71</v>
      </c>
      <c r="E864" t="s">
        <v>74</v>
      </c>
      <c r="F864" t="s">
        <v>78</v>
      </c>
    </row>
    <row r="865" spans="1:6" x14ac:dyDescent="0.45">
      <c r="A865">
        <v>0</v>
      </c>
      <c r="B865">
        <v>16</v>
      </c>
      <c r="C865">
        <v>27000</v>
      </c>
      <c r="D865" t="s">
        <v>71</v>
      </c>
      <c r="E865" t="s">
        <v>74</v>
      </c>
      <c r="F865" t="s">
        <v>78</v>
      </c>
    </row>
    <row r="866" spans="1:6" x14ac:dyDescent="0.45">
      <c r="A866">
        <v>0</v>
      </c>
      <c r="B866">
        <v>16</v>
      </c>
      <c r="C866">
        <v>27000</v>
      </c>
      <c r="D866" t="s">
        <v>71</v>
      </c>
      <c r="E866" t="s">
        <v>74</v>
      </c>
      <c r="F866" t="s">
        <v>78</v>
      </c>
    </row>
    <row r="867" spans="1:6" x14ac:dyDescent="0.45">
      <c r="A867">
        <v>0</v>
      </c>
      <c r="B867">
        <v>16</v>
      </c>
      <c r="C867">
        <v>27000</v>
      </c>
      <c r="D867" t="s">
        <v>76</v>
      </c>
      <c r="E867" t="s">
        <v>72</v>
      </c>
      <c r="F867" t="s">
        <v>78</v>
      </c>
    </row>
    <row r="868" spans="1:6" x14ac:dyDescent="0.45">
      <c r="A868">
        <v>40</v>
      </c>
      <c r="B868">
        <v>16</v>
      </c>
      <c r="C868">
        <v>27000</v>
      </c>
      <c r="D868" t="s">
        <v>71</v>
      </c>
      <c r="E868" t="s">
        <v>74</v>
      </c>
      <c r="F868" t="s">
        <v>78</v>
      </c>
    </row>
    <row r="869" spans="1:6" x14ac:dyDescent="0.45">
      <c r="A869">
        <v>40</v>
      </c>
      <c r="B869">
        <v>16</v>
      </c>
      <c r="C869">
        <v>27000</v>
      </c>
      <c r="D869" t="s">
        <v>71</v>
      </c>
      <c r="E869" t="s">
        <v>72</v>
      </c>
      <c r="F869" t="s">
        <v>78</v>
      </c>
    </row>
    <row r="870" spans="1:6" x14ac:dyDescent="0.45">
      <c r="A870">
        <v>40</v>
      </c>
      <c r="B870">
        <v>16</v>
      </c>
      <c r="C870">
        <v>27000</v>
      </c>
      <c r="D870" t="s">
        <v>71</v>
      </c>
      <c r="E870" t="s">
        <v>72</v>
      </c>
      <c r="F870" t="s">
        <v>78</v>
      </c>
    </row>
    <row r="871" spans="1:6" x14ac:dyDescent="0.45">
      <c r="A871">
        <v>40</v>
      </c>
      <c r="B871">
        <v>16</v>
      </c>
      <c r="C871">
        <v>27000</v>
      </c>
      <c r="D871" t="s">
        <v>71</v>
      </c>
      <c r="E871" t="s">
        <v>72</v>
      </c>
      <c r="F871" t="s">
        <v>78</v>
      </c>
    </row>
    <row r="872" spans="1:6" x14ac:dyDescent="0.45">
      <c r="A872">
        <v>40</v>
      </c>
      <c r="B872">
        <v>16</v>
      </c>
      <c r="C872">
        <v>27000</v>
      </c>
      <c r="D872" t="s">
        <v>71</v>
      </c>
      <c r="E872" t="s">
        <v>74</v>
      </c>
      <c r="F872" t="s">
        <v>78</v>
      </c>
    </row>
    <row r="873" spans="1:6" x14ac:dyDescent="0.45">
      <c r="A873">
        <v>40</v>
      </c>
      <c r="B873">
        <v>16</v>
      </c>
      <c r="C873">
        <v>27040</v>
      </c>
      <c r="D873" t="s">
        <v>71</v>
      </c>
      <c r="E873" t="s">
        <v>72</v>
      </c>
      <c r="F873" t="s">
        <v>78</v>
      </c>
    </row>
    <row r="874" spans="1:6" x14ac:dyDescent="0.45">
      <c r="A874">
        <v>40</v>
      </c>
      <c r="B874">
        <v>16</v>
      </c>
      <c r="C874">
        <v>27085</v>
      </c>
      <c r="D874" t="s">
        <v>71</v>
      </c>
      <c r="E874" t="s">
        <v>74</v>
      </c>
      <c r="F874" t="s">
        <v>78</v>
      </c>
    </row>
    <row r="875" spans="1:6" x14ac:dyDescent="0.45">
      <c r="A875">
        <v>45</v>
      </c>
      <c r="B875">
        <v>16</v>
      </c>
      <c r="C875">
        <v>27500</v>
      </c>
      <c r="D875" t="s">
        <v>71</v>
      </c>
      <c r="E875" t="s">
        <v>72</v>
      </c>
      <c r="F875" t="s">
        <v>78</v>
      </c>
    </row>
    <row r="876" spans="1:6" x14ac:dyDescent="0.45">
      <c r="A876">
        <v>50</v>
      </c>
      <c r="B876">
        <v>16</v>
      </c>
      <c r="C876">
        <v>28000</v>
      </c>
      <c r="D876" t="s">
        <v>71</v>
      </c>
      <c r="E876" t="s">
        <v>72</v>
      </c>
      <c r="F876" t="s">
        <v>78</v>
      </c>
    </row>
    <row r="877" spans="1:6" x14ac:dyDescent="0.45">
      <c r="A877">
        <v>45</v>
      </c>
      <c r="B877">
        <v>16</v>
      </c>
      <c r="C877">
        <v>28000</v>
      </c>
      <c r="D877" t="s">
        <v>71</v>
      </c>
      <c r="E877" t="s">
        <v>72</v>
      </c>
      <c r="F877" t="s">
        <v>78</v>
      </c>
    </row>
    <row r="878" spans="1:6" x14ac:dyDescent="0.45">
      <c r="A878">
        <v>45</v>
      </c>
      <c r="B878">
        <v>16</v>
      </c>
      <c r="C878">
        <v>28000</v>
      </c>
      <c r="D878" t="s">
        <v>71</v>
      </c>
      <c r="E878" t="s">
        <v>74</v>
      </c>
      <c r="F878" t="s">
        <v>78</v>
      </c>
    </row>
    <row r="879" spans="1:6" x14ac:dyDescent="0.45">
      <c r="A879">
        <v>40</v>
      </c>
      <c r="B879">
        <v>16</v>
      </c>
      <c r="C879">
        <v>28000</v>
      </c>
      <c r="D879" t="s">
        <v>71</v>
      </c>
      <c r="E879" t="s">
        <v>72</v>
      </c>
      <c r="F879" t="s">
        <v>78</v>
      </c>
    </row>
    <row r="880" spans="1:6" x14ac:dyDescent="0.45">
      <c r="A880">
        <v>0</v>
      </c>
      <c r="B880">
        <v>16</v>
      </c>
      <c r="C880">
        <v>28000</v>
      </c>
      <c r="D880" t="s">
        <v>71</v>
      </c>
      <c r="E880" t="s">
        <v>72</v>
      </c>
      <c r="F880" t="s">
        <v>78</v>
      </c>
    </row>
    <row r="881" spans="1:6" x14ac:dyDescent="0.45">
      <c r="A881">
        <v>40</v>
      </c>
      <c r="B881">
        <v>16</v>
      </c>
      <c r="C881">
        <v>28000</v>
      </c>
      <c r="D881" t="s">
        <v>71</v>
      </c>
      <c r="E881" t="s">
        <v>72</v>
      </c>
      <c r="F881" t="s">
        <v>78</v>
      </c>
    </row>
    <row r="882" spans="1:6" x14ac:dyDescent="0.45">
      <c r="A882">
        <v>40</v>
      </c>
      <c r="B882">
        <v>16</v>
      </c>
      <c r="C882">
        <v>28000</v>
      </c>
      <c r="D882" t="s">
        <v>71</v>
      </c>
      <c r="E882" t="s">
        <v>72</v>
      </c>
      <c r="F882" t="s">
        <v>78</v>
      </c>
    </row>
    <row r="883" spans="1:6" x14ac:dyDescent="0.45">
      <c r="A883">
        <v>40</v>
      </c>
      <c r="B883">
        <v>16</v>
      </c>
      <c r="C883">
        <v>28000</v>
      </c>
      <c r="D883" t="s">
        <v>75</v>
      </c>
      <c r="E883" t="s">
        <v>74</v>
      </c>
      <c r="F883" t="s">
        <v>78</v>
      </c>
    </row>
    <row r="884" spans="1:6" x14ac:dyDescent="0.45">
      <c r="A884">
        <v>40</v>
      </c>
      <c r="B884">
        <v>16</v>
      </c>
      <c r="C884">
        <v>28000</v>
      </c>
      <c r="D884" t="s">
        <v>71</v>
      </c>
      <c r="E884" t="s">
        <v>72</v>
      </c>
      <c r="F884" t="s">
        <v>78</v>
      </c>
    </row>
    <row r="885" spans="1:6" x14ac:dyDescent="0.45">
      <c r="A885">
        <v>70</v>
      </c>
      <c r="B885">
        <v>16</v>
      </c>
      <c r="C885">
        <v>28000</v>
      </c>
      <c r="D885" t="s">
        <v>71</v>
      </c>
      <c r="E885" t="s">
        <v>74</v>
      </c>
      <c r="F885" t="s">
        <v>78</v>
      </c>
    </row>
    <row r="886" spans="1:6" x14ac:dyDescent="0.45">
      <c r="A886">
        <v>40</v>
      </c>
      <c r="B886">
        <v>16</v>
      </c>
      <c r="C886">
        <v>28000</v>
      </c>
      <c r="D886" t="s">
        <v>71</v>
      </c>
      <c r="E886" t="s">
        <v>72</v>
      </c>
      <c r="F886" t="s">
        <v>78</v>
      </c>
    </row>
    <row r="887" spans="1:6" x14ac:dyDescent="0.45">
      <c r="A887">
        <v>0</v>
      </c>
      <c r="B887">
        <v>16</v>
      </c>
      <c r="C887">
        <v>28000</v>
      </c>
      <c r="D887" t="s">
        <v>71</v>
      </c>
      <c r="E887" t="s">
        <v>74</v>
      </c>
      <c r="F887" t="s">
        <v>78</v>
      </c>
    </row>
    <row r="888" spans="1:6" x14ac:dyDescent="0.45">
      <c r="A888">
        <v>40</v>
      </c>
      <c r="B888">
        <v>16</v>
      </c>
      <c r="C888">
        <v>28000</v>
      </c>
      <c r="D888" t="s">
        <v>71</v>
      </c>
      <c r="E888" t="s">
        <v>72</v>
      </c>
      <c r="F888" t="s">
        <v>78</v>
      </c>
    </row>
    <row r="889" spans="1:6" x14ac:dyDescent="0.45">
      <c r="A889">
        <v>40</v>
      </c>
      <c r="B889">
        <v>16</v>
      </c>
      <c r="C889">
        <v>28000</v>
      </c>
      <c r="D889" t="s">
        <v>76</v>
      </c>
      <c r="E889" t="s">
        <v>72</v>
      </c>
      <c r="F889" t="s">
        <v>78</v>
      </c>
    </row>
    <row r="890" spans="1:6" x14ac:dyDescent="0.45">
      <c r="A890">
        <v>40</v>
      </c>
      <c r="B890">
        <v>16</v>
      </c>
      <c r="C890">
        <v>28000</v>
      </c>
      <c r="D890" t="s">
        <v>71</v>
      </c>
      <c r="E890" t="s">
        <v>72</v>
      </c>
      <c r="F890" t="s">
        <v>78</v>
      </c>
    </row>
    <row r="891" spans="1:6" x14ac:dyDescent="0.45">
      <c r="A891">
        <v>45</v>
      </c>
      <c r="B891">
        <v>16</v>
      </c>
      <c r="C891">
        <v>28000</v>
      </c>
      <c r="D891" t="s">
        <v>71</v>
      </c>
      <c r="E891" t="s">
        <v>72</v>
      </c>
      <c r="F891" t="s">
        <v>78</v>
      </c>
    </row>
    <row r="892" spans="1:6" x14ac:dyDescent="0.45">
      <c r="A892">
        <v>70</v>
      </c>
      <c r="B892">
        <v>16</v>
      </c>
      <c r="C892">
        <v>28000</v>
      </c>
      <c r="D892" t="s">
        <v>71</v>
      </c>
      <c r="E892" t="s">
        <v>74</v>
      </c>
      <c r="F892" t="s">
        <v>78</v>
      </c>
    </row>
    <row r="893" spans="1:6" x14ac:dyDescent="0.45">
      <c r="A893">
        <v>55</v>
      </c>
      <c r="B893">
        <v>16</v>
      </c>
      <c r="C893">
        <v>28000</v>
      </c>
      <c r="D893" t="s">
        <v>75</v>
      </c>
      <c r="E893" t="s">
        <v>74</v>
      </c>
      <c r="F893" t="s">
        <v>78</v>
      </c>
    </row>
    <row r="894" spans="1:6" x14ac:dyDescent="0.45">
      <c r="A894">
        <v>40</v>
      </c>
      <c r="B894">
        <v>16</v>
      </c>
      <c r="C894">
        <v>28000</v>
      </c>
      <c r="D894" t="s">
        <v>71</v>
      </c>
      <c r="E894" t="s">
        <v>74</v>
      </c>
      <c r="F894" t="s">
        <v>78</v>
      </c>
    </row>
    <row r="895" spans="1:6" x14ac:dyDescent="0.45">
      <c r="A895">
        <v>40</v>
      </c>
      <c r="B895">
        <v>16</v>
      </c>
      <c r="C895">
        <v>28000</v>
      </c>
      <c r="D895" t="s">
        <v>71</v>
      </c>
      <c r="E895" t="s">
        <v>74</v>
      </c>
      <c r="F895" t="s">
        <v>78</v>
      </c>
    </row>
    <row r="896" spans="1:6" x14ac:dyDescent="0.45">
      <c r="A896">
        <v>62</v>
      </c>
      <c r="B896">
        <v>16</v>
      </c>
      <c r="C896">
        <v>28000</v>
      </c>
      <c r="D896" t="s">
        <v>71</v>
      </c>
      <c r="E896" t="s">
        <v>72</v>
      </c>
      <c r="F896" t="s">
        <v>78</v>
      </c>
    </row>
    <row r="897" spans="1:6" x14ac:dyDescent="0.45">
      <c r="A897">
        <v>50</v>
      </c>
      <c r="B897">
        <v>16</v>
      </c>
      <c r="C897">
        <v>28500</v>
      </c>
      <c r="D897" t="s">
        <v>71</v>
      </c>
      <c r="E897" t="s">
        <v>72</v>
      </c>
      <c r="F897" t="s">
        <v>78</v>
      </c>
    </row>
    <row r="898" spans="1:6" x14ac:dyDescent="0.45">
      <c r="A898">
        <v>45</v>
      </c>
      <c r="B898">
        <v>16</v>
      </c>
      <c r="C898">
        <v>28500</v>
      </c>
      <c r="D898" t="s">
        <v>71</v>
      </c>
      <c r="E898" t="s">
        <v>72</v>
      </c>
      <c r="F898" t="s">
        <v>78</v>
      </c>
    </row>
    <row r="899" spans="1:6" x14ac:dyDescent="0.45">
      <c r="A899">
        <v>40</v>
      </c>
      <c r="B899">
        <v>16</v>
      </c>
      <c r="C899">
        <v>28500</v>
      </c>
      <c r="D899" t="s">
        <v>75</v>
      </c>
      <c r="E899" t="s">
        <v>72</v>
      </c>
      <c r="F899" t="s">
        <v>78</v>
      </c>
    </row>
    <row r="900" spans="1:6" x14ac:dyDescent="0.45">
      <c r="A900">
        <v>40</v>
      </c>
      <c r="B900">
        <v>16</v>
      </c>
      <c r="C900">
        <v>28650</v>
      </c>
      <c r="D900" t="s">
        <v>71</v>
      </c>
      <c r="E900" t="s">
        <v>74</v>
      </c>
      <c r="F900" t="s">
        <v>78</v>
      </c>
    </row>
    <row r="901" spans="1:6" x14ac:dyDescent="0.45">
      <c r="A901">
        <v>45</v>
      </c>
      <c r="B901">
        <v>16</v>
      </c>
      <c r="C901">
        <v>28674</v>
      </c>
      <c r="D901" t="s">
        <v>71</v>
      </c>
      <c r="E901" t="s">
        <v>72</v>
      </c>
      <c r="F901" t="s">
        <v>78</v>
      </c>
    </row>
    <row r="902" spans="1:6" x14ac:dyDescent="0.45">
      <c r="A902">
        <v>38</v>
      </c>
      <c r="B902">
        <v>16</v>
      </c>
      <c r="C902">
        <v>28900</v>
      </c>
      <c r="D902" t="s">
        <v>71</v>
      </c>
      <c r="E902" t="s">
        <v>72</v>
      </c>
      <c r="F902" t="s">
        <v>78</v>
      </c>
    </row>
    <row r="903" spans="1:6" x14ac:dyDescent="0.45">
      <c r="A903">
        <v>65</v>
      </c>
      <c r="B903">
        <v>16</v>
      </c>
      <c r="C903">
        <v>28990</v>
      </c>
      <c r="D903" t="s">
        <v>71</v>
      </c>
      <c r="E903" t="s">
        <v>74</v>
      </c>
      <c r="F903" t="s">
        <v>78</v>
      </c>
    </row>
    <row r="904" spans="1:6" x14ac:dyDescent="0.45">
      <c r="A904">
        <v>50</v>
      </c>
      <c r="B904">
        <v>16</v>
      </c>
      <c r="C904">
        <v>29000</v>
      </c>
      <c r="D904" t="s">
        <v>71</v>
      </c>
      <c r="E904" t="s">
        <v>72</v>
      </c>
      <c r="F904" t="s">
        <v>78</v>
      </c>
    </row>
    <row r="905" spans="1:6" x14ac:dyDescent="0.45">
      <c r="A905">
        <v>59</v>
      </c>
      <c r="B905">
        <v>16</v>
      </c>
      <c r="C905">
        <v>29000</v>
      </c>
      <c r="D905" t="s">
        <v>71</v>
      </c>
      <c r="E905" t="s">
        <v>72</v>
      </c>
      <c r="F905" t="s">
        <v>78</v>
      </c>
    </row>
    <row r="906" spans="1:6" x14ac:dyDescent="0.45">
      <c r="A906">
        <v>45</v>
      </c>
      <c r="B906">
        <v>16</v>
      </c>
      <c r="C906">
        <v>29000</v>
      </c>
      <c r="D906" t="s">
        <v>71</v>
      </c>
      <c r="E906" t="s">
        <v>72</v>
      </c>
      <c r="F906" t="s">
        <v>78</v>
      </c>
    </row>
    <row r="907" spans="1:6" x14ac:dyDescent="0.45">
      <c r="A907">
        <v>40</v>
      </c>
      <c r="B907">
        <v>16</v>
      </c>
      <c r="C907">
        <v>29000</v>
      </c>
      <c r="D907" t="s">
        <v>71</v>
      </c>
      <c r="E907" t="s">
        <v>72</v>
      </c>
      <c r="F907" t="s">
        <v>78</v>
      </c>
    </row>
    <row r="908" spans="1:6" x14ac:dyDescent="0.45">
      <c r="A908">
        <v>40</v>
      </c>
      <c r="B908">
        <v>16</v>
      </c>
      <c r="C908">
        <v>29000</v>
      </c>
      <c r="D908" t="s">
        <v>71</v>
      </c>
      <c r="E908" t="s">
        <v>72</v>
      </c>
      <c r="F908" t="s">
        <v>78</v>
      </c>
    </row>
    <row r="909" spans="1:6" x14ac:dyDescent="0.45">
      <c r="A909">
        <v>40</v>
      </c>
      <c r="B909">
        <v>16</v>
      </c>
      <c r="C909">
        <v>29000</v>
      </c>
      <c r="D909" t="s">
        <v>71</v>
      </c>
      <c r="E909" t="s">
        <v>72</v>
      </c>
      <c r="F909" t="s">
        <v>78</v>
      </c>
    </row>
    <row r="910" spans="1:6" x14ac:dyDescent="0.45">
      <c r="A910">
        <v>42</v>
      </c>
      <c r="B910">
        <v>16</v>
      </c>
      <c r="C910">
        <v>29000</v>
      </c>
      <c r="D910" t="s">
        <v>71</v>
      </c>
      <c r="E910" t="s">
        <v>72</v>
      </c>
      <c r="F910" t="s">
        <v>78</v>
      </c>
    </row>
    <row r="911" spans="1:6" x14ac:dyDescent="0.45">
      <c r="A911">
        <v>48</v>
      </c>
      <c r="B911">
        <v>16</v>
      </c>
      <c r="C911">
        <v>29000</v>
      </c>
      <c r="D911" t="s">
        <v>71</v>
      </c>
      <c r="E911" t="s">
        <v>74</v>
      </c>
      <c r="F911" t="s">
        <v>78</v>
      </c>
    </row>
    <row r="912" spans="1:6" x14ac:dyDescent="0.45">
      <c r="A912">
        <v>40</v>
      </c>
      <c r="B912">
        <v>16</v>
      </c>
      <c r="C912">
        <v>29000</v>
      </c>
      <c r="D912" t="s">
        <v>71</v>
      </c>
      <c r="E912" t="s">
        <v>74</v>
      </c>
      <c r="F912" t="s">
        <v>78</v>
      </c>
    </row>
    <row r="913" spans="1:6" x14ac:dyDescent="0.45">
      <c r="A913">
        <v>45</v>
      </c>
      <c r="B913">
        <v>16</v>
      </c>
      <c r="C913">
        <v>29000</v>
      </c>
      <c r="D913" t="s">
        <v>71</v>
      </c>
      <c r="E913" t="s">
        <v>72</v>
      </c>
      <c r="F913" t="s">
        <v>78</v>
      </c>
    </row>
    <row r="914" spans="1:6" x14ac:dyDescent="0.45">
      <c r="A914">
        <v>57</v>
      </c>
      <c r="B914">
        <v>16</v>
      </c>
      <c r="C914">
        <v>29100</v>
      </c>
      <c r="D914" t="s">
        <v>71</v>
      </c>
      <c r="E914" t="s">
        <v>74</v>
      </c>
      <c r="F914" t="s">
        <v>78</v>
      </c>
    </row>
    <row r="915" spans="1:6" x14ac:dyDescent="0.45">
      <c r="A915">
        <v>40</v>
      </c>
      <c r="B915">
        <v>16</v>
      </c>
      <c r="C915">
        <v>29200</v>
      </c>
      <c r="D915" t="s">
        <v>71</v>
      </c>
      <c r="E915" t="s">
        <v>74</v>
      </c>
      <c r="F915" t="s">
        <v>78</v>
      </c>
    </row>
    <row r="916" spans="1:6" x14ac:dyDescent="0.45">
      <c r="A916">
        <v>45</v>
      </c>
      <c r="B916">
        <v>16</v>
      </c>
      <c r="C916">
        <v>29213</v>
      </c>
      <c r="D916" t="s">
        <v>71</v>
      </c>
      <c r="E916" t="s">
        <v>74</v>
      </c>
      <c r="F916" t="s">
        <v>78</v>
      </c>
    </row>
    <row r="917" spans="1:6" x14ac:dyDescent="0.45">
      <c r="A917">
        <v>50</v>
      </c>
      <c r="B917">
        <v>16</v>
      </c>
      <c r="C917">
        <v>29580</v>
      </c>
      <c r="D917" t="s">
        <v>71</v>
      </c>
      <c r="E917" t="s">
        <v>72</v>
      </c>
      <c r="F917" t="s">
        <v>78</v>
      </c>
    </row>
    <row r="918" spans="1:6" x14ac:dyDescent="0.45">
      <c r="A918">
        <v>40</v>
      </c>
      <c r="B918">
        <v>16</v>
      </c>
      <c r="C918">
        <v>30000</v>
      </c>
      <c r="D918" t="s">
        <v>71</v>
      </c>
      <c r="E918" t="s">
        <v>72</v>
      </c>
      <c r="F918" t="s">
        <v>78</v>
      </c>
    </row>
    <row r="919" spans="1:6" x14ac:dyDescent="0.45">
      <c r="A919">
        <v>40</v>
      </c>
      <c r="B919">
        <v>16</v>
      </c>
      <c r="C919">
        <v>30000</v>
      </c>
      <c r="D919" t="s">
        <v>71</v>
      </c>
      <c r="E919" t="s">
        <v>74</v>
      </c>
      <c r="F919" t="s">
        <v>78</v>
      </c>
    </row>
    <row r="920" spans="1:6" x14ac:dyDescent="0.45">
      <c r="A920">
        <v>40</v>
      </c>
      <c r="B920">
        <v>16</v>
      </c>
      <c r="C920">
        <v>30000</v>
      </c>
      <c r="D920" t="s">
        <v>71</v>
      </c>
      <c r="E920" t="s">
        <v>72</v>
      </c>
      <c r="F920" t="s">
        <v>78</v>
      </c>
    </row>
    <row r="921" spans="1:6" x14ac:dyDescent="0.45">
      <c r="A921">
        <v>60</v>
      </c>
      <c r="B921">
        <v>16</v>
      </c>
      <c r="C921">
        <v>30000</v>
      </c>
      <c r="D921" t="s">
        <v>71</v>
      </c>
      <c r="E921" t="s">
        <v>74</v>
      </c>
      <c r="F921" t="s">
        <v>78</v>
      </c>
    </row>
    <row r="922" spans="1:6" x14ac:dyDescent="0.45">
      <c r="A922">
        <v>40</v>
      </c>
      <c r="B922">
        <v>16</v>
      </c>
      <c r="C922">
        <v>30000</v>
      </c>
      <c r="D922" t="s">
        <v>75</v>
      </c>
      <c r="E922" t="s">
        <v>74</v>
      </c>
      <c r="F922" t="s">
        <v>78</v>
      </c>
    </row>
    <row r="923" spans="1:6" x14ac:dyDescent="0.45">
      <c r="A923">
        <v>40</v>
      </c>
      <c r="B923">
        <v>16</v>
      </c>
      <c r="C923">
        <v>30000</v>
      </c>
      <c r="D923" t="s">
        <v>75</v>
      </c>
      <c r="E923" t="s">
        <v>72</v>
      </c>
      <c r="F923" t="s">
        <v>78</v>
      </c>
    </row>
    <row r="924" spans="1:6" x14ac:dyDescent="0.45">
      <c r="A924">
        <v>40</v>
      </c>
      <c r="B924">
        <v>16</v>
      </c>
      <c r="C924">
        <v>30000</v>
      </c>
      <c r="D924" t="s">
        <v>71</v>
      </c>
      <c r="E924" t="s">
        <v>72</v>
      </c>
      <c r="F924" t="s">
        <v>78</v>
      </c>
    </row>
    <row r="925" spans="1:6" x14ac:dyDescent="0.45">
      <c r="A925">
        <v>40</v>
      </c>
      <c r="B925">
        <v>16</v>
      </c>
      <c r="C925">
        <v>30000</v>
      </c>
      <c r="D925" t="s">
        <v>71</v>
      </c>
      <c r="E925" t="s">
        <v>74</v>
      </c>
      <c r="F925" t="s">
        <v>78</v>
      </c>
    </row>
    <row r="926" spans="1:6" x14ac:dyDescent="0.45">
      <c r="A926">
        <v>40</v>
      </c>
      <c r="B926">
        <v>16</v>
      </c>
      <c r="C926">
        <v>30000</v>
      </c>
      <c r="D926" t="s">
        <v>71</v>
      </c>
      <c r="E926" t="s">
        <v>74</v>
      </c>
      <c r="F926" t="s">
        <v>78</v>
      </c>
    </row>
    <row r="927" spans="1:6" x14ac:dyDescent="0.45">
      <c r="A927">
        <v>40</v>
      </c>
      <c r="B927">
        <v>16</v>
      </c>
      <c r="C927">
        <v>30000</v>
      </c>
      <c r="D927" t="s">
        <v>71</v>
      </c>
      <c r="E927" t="s">
        <v>72</v>
      </c>
      <c r="F927" t="s">
        <v>78</v>
      </c>
    </row>
    <row r="928" spans="1:6" x14ac:dyDescent="0.45">
      <c r="A928">
        <v>40</v>
      </c>
      <c r="B928">
        <v>16</v>
      </c>
      <c r="C928">
        <v>30000</v>
      </c>
      <c r="D928" t="s">
        <v>71</v>
      </c>
      <c r="E928" t="s">
        <v>74</v>
      </c>
      <c r="F928" t="s">
        <v>78</v>
      </c>
    </row>
    <row r="929" spans="1:6" x14ac:dyDescent="0.45">
      <c r="A929">
        <v>40</v>
      </c>
      <c r="B929">
        <v>16</v>
      </c>
      <c r="C929">
        <v>30000</v>
      </c>
      <c r="D929" t="s">
        <v>71</v>
      </c>
      <c r="E929" t="s">
        <v>72</v>
      </c>
      <c r="F929" t="s">
        <v>78</v>
      </c>
    </row>
    <row r="930" spans="1:6" x14ac:dyDescent="0.45">
      <c r="A930">
        <v>60</v>
      </c>
      <c r="B930">
        <v>16</v>
      </c>
      <c r="C930">
        <v>30000</v>
      </c>
      <c r="D930" t="s">
        <v>71</v>
      </c>
      <c r="E930" t="s">
        <v>74</v>
      </c>
      <c r="F930" t="s">
        <v>78</v>
      </c>
    </row>
    <row r="931" spans="1:6" x14ac:dyDescent="0.45">
      <c r="A931">
        <v>40</v>
      </c>
      <c r="B931">
        <v>16</v>
      </c>
      <c r="C931">
        <v>30000</v>
      </c>
      <c r="D931" t="s">
        <v>71</v>
      </c>
      <c r="E931" t="s">
        <v>74</v>
      </c>
      <c r="F931" t="s">
        <v>78</v>
      </c>
    </row>
    <row r="932" spans="1:6" x14ac:dyDescent="0.45">
      <c r="A932">
        <v>90</v>
      </c>
      <c r="B932">
        <v>16</v>
      </c>
      <c r="C932">
        <v>30000</v>
      </c>
      <c r="D932" t="s">
        <v>71</v>
      </c>
      <c r="E932" t="s">
        <v>72</v>
      </c>
      <c r="F932" t="s">
        <v>78</v>
      </c>
    </row>
    <row r="933" spans="1:6" x14ac:dyDescent="0.45">
      <c r="A933">
        <v>45</v>
      </c>
      <c r="B933">
        <v>16</v>
      </c>
      <c r="C933">
        <v>30000</v>
      </c>
      <c r="D933" t="s">
        <v>76</v>
      </c>
      <c r="E933" t="s">
        <v>72</v>
      </c>
      <c r="F933" t="s">
        <v>78</v>
      </c>
    </row>
    <row r="934" spans="1:6" x14ac:dyDescent="0.45">
      <c r="A934">
        <v>60</v>
      </c>
      <c r="B934">
        <v>16</v>
      </c>
      <c r="C934">
        <v>30000</v>
      </c>
      <c r="D934" t="s">
        <v>71</v>
      </c>
      <c r="E934" t="s">
        <v>74</v>
      </c>
      <c r="F934" t="s">
        <v>78</v>
      </c>
    </row>
    <row r="935" spans="1:6" x14ac:dyDescent="0.45">
      <c r="A935">
        <v>40</v>
      </c>
      <c r="B935">
        <v>16</v>
      </c>
      <c r="C935">
        <v>30000</v>
      </c>
      <c r="D935" t="s">
        <v>71</v>
      </c>
      <c r="E935" t="s">
        <v>72</v>
      </c>
      <c r="F935" t="s">
        <v>78</v>
      </c>
    </row>
    <row r="936" spans="1:6" x14ac:dyDescent="0.45">
      <c r="A936">
        <v>40</v>
      </c>
      <c r="B936">
        <v>16</v>
      </c>
      <c r="C936">
        <v>30000</v>
      </c>
      <c r="D936" t="s">
        <v>71</v>
      </c>
      <c r="E936" t="s">
        <v>72</v>
      </c>
      <c r="F936" t="s">
        <v>78</v>
      </c>
    </row>
    <row r="937" spans="1:6" x14ac:dyDescent="0.45">
      <c r="A937">
        <v>55</v>
      </c>
      <c r="B937">
        <v>16</v>
      </c>
      <c r="C937">
        <v>30000</v>
      </c>
      <c r="D937" t="s">
        <v>71</v>
      </c>
      <c r="E937" t="s">
        <v>74</v>
      </c>
      <c r="F937" t="s">
        <v>78</v>
      </c>
    </row>
    <row r="938" spans="1:6" x14ac:dyDescent="0.45">
      <c r="A938">
        <v>50</v>
      </c>
      <c r="B938">
        <v>16</v>
      </c>
      <c r="C938">
        <v>30000</v>
      </c>
      <c r="D938" t="s">
        <v>71</v>
      </c>
      <c r="E938" t="s">
        <v>72</v>
      </c>
      <c r="F938" t="s">
        <v>78</v>
      </c>
    </row>
    <row r="939" spans="1:6" x14ac:dyDescent="0.45">
      <c r="A939">
        <v>55</v>
      </c>
      <c r="B939">
        <v>16</v>
      </c>
      <c r="C939">
        <v>30000</v>
      </c>
      <c r="D939" t="s">
        <v>71</v>
      </c>
      <c r="E939" t="s">
        <v>74</v>
      </c>
      <c r="F939" t="s">
        <v>78</v>
      </c>
    </row>
    <row r="940" spans="1:6" x14ac:dyDescent="0.45">
      <c r="A940">
        <v>50</v>
      </c>
      <c r="B940">
        <v>16</v>
      </c>
      <c r="C940">
        <v>30000</v>
      </c>
      <c r="D940" t="s">
        <v>71</v>
      </c>
      <c r="E940" t="s">
        <v>74</v>
      </c>
      <c r="F940" t="s">
        <v>78</v>
      </c>
    </row>
    <row r="941" spans="1:6" x14ac:dyDescent="0.45">
      <c r="A941">
        <v>50</v>
      </c>
      <c r="B941">
        <v>16</v>
      </c>
      <c r="C941">
        <v>30000</v>
      </c>
      <c r="D941" t="s">
        <v>76</v>
      </c>
      <c r="E941" t="s">
        <v>72</v>
      </c>
      <c r="F941" t="s">
        <v>78</v>
      </c>
    </row>
    <row r="942" spans="1:6" x14ac:dyDescent="0.45">
      <c r="A942">
        <v>40</v>
      </c>
      <c r="B942">
        <v>16</v>
      </c>
      <c r="C942">
        <v>30000</v>
      </c>
      <c r="D942" t="s">
        <v>71</v>
      </c>
      <c r="E942" t="s">
        <v>72</v>
      </c>
      <c r="F942" t="s">
        <v>78</v>
      </c>
    </row>
    <row r="943" spans="1:6" x14ac:dyDescent="0.45">
      <c r="A943">
        <v>45</v>
      </c>
      <c r="B943">
        <v>16</v>
      </c>
      <c r="C943">
        <v>30000</v>
      </c>
      <c r="D943" t="s">
        <v>71</v>
      </c>
      <c r="E943" t="s">
        <v>74</v>
      </c>
      <c r="F943" t="s">
        <v>78</v>
      </c>
    </row>
    <row r="944" spans="1:6" x14ac:dyDescent="0.45">
      <c r="A944">
        <v>40</v>
      </c>
      <c r="B944">
        <v>16</v>
      </c>
      <c r="C944">
        <v>30000</v>
      </c>
      <c r="D944" t="s">
        <v>71</v>
      </c>
      <c r="E944" t="s">
        <v>74</v>
      </c>
      <c r="F944" t="s">
        <v>78</v>
      </c>
    </row>
    <row r="945" spans="1:6" x14ac:dyDescent="0.45">
      <c r="A945">
        <v>45</v>
      </c>
      <c r="B945">
        <v>16</v>
      </c>
      <c r="C945">
        <v>30000</v>
      </c>
      <c r="D945" t="s">
        <v>71</v>
      </c>
      <c r="E945" t="s">
        <v>74</v>
      </c>
      <c r="F945" t="s">
        <v>78</v>
      </c>
    </row>
    <row r="946" spans="1:6" x14ac:dyDescent="0.45">
      <c r="A946">
        <v>65</v>
      </c>
      <c r="B946">
        <v>16</v>
      </c>
      <c r="C946">
        <v>30000</v>
      </c>
      <c r="D946" t="s">
        <v>71</v>
      </c>
      <c r="E946" t="s">
        <v>74</v>
      </c>
      <c r="F946" t="s">
        <v>78</v>
      </c>
    </row>
    <row r="947" spans="1:6" x14ac:dyDescent="0.45">
      <c r="A947">
        <v>40</v>
      </c>
      <c r="B947">
        <v>16</v>
      </c>
      <c r="C947">
        <v>30000</v>
      </c>
      <c r="D947" t="s">
        <v>71</v>
      </c>
      <c r="E947" t="s">
        <v>72</v>
      </c>
      <c r="F947" t="s">
        <v>78</v>
      </c>
    </row>
    <row r="948" spans="1:6" x14ac:dyDescent="0.45">
      <c r="A948">
        <v>40</v>
      </c>
      <c r="B948">
        <v>16</v>
      </c>
      <c r="C948">
        <v>30000</v>
      </c>
      <c r="D948" t="s">
        <v>71</v>
      </c>
      <c r="E948" t="s">
        <v>72</v>
      </c>
      <c r="F948" t="s">
        <v>78</v>
      </c>
    </row>
    <row r="949" spans="1:6" x14ac:dyDescent="0.45">
      <c r="A949">
        <v>40</v>
      </c>
      <c r="B949">
        <v>16</v>
      </c>
      <c r="C949">
        <v>30000</v>
      </c>
      <c r="D949" t="s">
        <v>71</v>
      </c>
      <c r="E949" t="s">
        <v>72</v>
      </c>
      <c r="F949" t="s">
        <v>78</v>
      </c>
    </row>
    <row r="950" spans="1:6" x14ac:dyDescent="0.45">
      <c r="A950">
        <v>40</v>
      </c>
      <c r="B950">
        <v>16</v>
      </c>
      <c r="C950">
        <v>30000</v>
      </c>
      <c r="D950" t="s">
        <v>71</v>
      </c>
      <c r="E950" t="s">
        <v>72</v>
      </c>
      <c r="F950" t="s">
        <v>78</v>
      </c>
    </row>
    <row r="951" spans="1:6" x14ac:dyDescent="0.45">
      <c r="A951">
        <v>80</v>
      </c>
      <c r="B951">
        <v>16</v>
      </c>
      <c r="C951">
        <v>30000</v>
      </c>
      <c r="D951" t="s">
        <v>76</v>
      </c>
      <c r="E951" t="s">
        <v>74</v>
      </c>
      <c r="F951" t="s">
        <v>78</v>
      </c>
    </row>
    <row r="952" spans="1:6" x14ac:dyDescent="0.45">
      <c r="A952">
        <v>40</v>
      </c>
      <c r="B952">
        <v>16</v>
      </c>
      <c r="C952">
        <v>30000</v>
      </c>
      <c r="D952" t="s">
        <v>75</v>
      </c>
      <c r="E952" t="s">
        <v>72</v>
      </c>
      <c r="F952" t="s">
        <v>78</v>
      </c>
    </row>
    <row r="953" spans="1:6" x14ac:dyDescent="0.45">
      <c r="A953">
        <v>40</v>
      </c>
      <c r="B953">
        <v>16</v>
      </c>
      <c r="C953">
        <v>30000</v>
      </c>
      <c r="D953" t="s">
        <v>71</v>
      </c>
      <c r="E953" t="s">
        <v>74</v>
      </c>
      <c r="F953" t="s">
        <v>78</v>
      </c>
    </row>
    <row r="954" spans="1:6" x14ac:dyDescent="0.45">
      <c r="A954">
        <v>42</v>
      </c>
      <c r="B954">
        <v>16</v>
      </c>
      <c r="C954">
        <v>30000</v>
      </c>
      <c r="D954" t="s">
        <v>71</v>
      </c>
      <c r="E954" t="s">
        <v>72</v>
      </c>
      <c r="F954" t="s">
        <v>78</v>
      </c>
    </row>
    <row r="955" spans="1:6" x14ac:dyDescent="0.45">
      <c r="A955">
        <v>40</v>
      </c>
      <c r="B955">
        <v>16</v>
      </c>
      <c r="C955">
        <v>30000</v>
      </c>
      <c r="D955" t="s">
        <v>71</v>
      </c>
      <c r="E955" t="s">
        <v>74</v>
      </c>
      <c r="F955" t="s">
        <v>78</v>
      </c>
    </row>
    <row r="956" spans="1:6" x14ac:dyDescent="0.45">
      <c r="A956">
        <v>40</v>
      </c>
      <c r="B956">
        <v>16</v>
      </c>
      <c r="C956">
        <v>30000</v>
      </c>
      <c r="D956" t="s">
        <v>71</v>
      </c>
      <c r="E956" t="s">
        <v>74</v>
      </c>
      <c r="F956" t="s">
        <v>78</v>
      </c>
    </row>
    <row r="957" spans="1:6" x14ac:dyDescent="0.45">
      <c r="A957">
        <v>40</v>
      </c>
      <c r="B957">
        <v>16</v>
      </c>
      <c r="C957">
        <v>30000</v>
      </c>
      <c r="D957" t="s">
        <v>76</v>
      </c>
      <c r="E957" t="s">
        <v>72</v>
      </c>
      <c r="F957" t="s">
        <v>78</v>
      </c>
    </row>
    <row r="958" spans="1:6" x14ac:dyDescent="0.45">
      <c r="A958">
        <v>50</v>
      </c>
      <c r="B958">
        <v>16</v>
      </c>
      <c r="C958">
        <v>30000</v>
      </c>
      <c r="D958" t="s">
        <v>71</v>
      </c>
      <c r="E958" t="s">
        <v>74</v>
      </c>
      <c r="F958" t="s">
        <v>78</v>
      </c>
    </row>
    <row r="959" spans="1:6" x14ac:dyDescent="0.45">
      <c r="A959">
        <v>40</v>
      </c>
      <c r="B959">
        <v>16</v>
      </c>
      <c r="C959">
        <v>30000</v>
      </c>
      <c r="D959" t="s">
        <v>71</v>
      </c>
      <c r="E959" t="s">
        <v>74</v>
      </c>
      <c r="F959" t="s">
        <v>78</v>
      </c>
    </row>
    <row r="960" spans="1:6" x14ac:dyDescent="0.45">
      <c r="A960">
        <v>40</v>
      </c>
      <c r="B960">
        <v>16</v>
      </c>
      <c r="C960">
        <v>30000</v>
      </c>
      <c r="D960" t="s">
        <v>71</v>
      </c>
      <c r="E960" t="s">
        <v>74</v>
      </c>
      <c r="F960" t="s">
        <v>78</v>
      </c>
    </row>
    <row r="961" spans="1:6" x14ac:dyDescent="0.45">
      <c r="A961">
        <v>46</v>
      </c>
      <c r="B961">
        <v>16</v>
      </c>
      <c r="C961">
        <v>30000</v>
      </c>
      <c r="D961" t="s">
        <v>71</v>
      </c>
      <c r="E961" t="s">
        <v>74</v>
      </c>
      <c r="F961" t="s">
        <v>78</v>
      </c>
    </row>
    <row r="962" spans="1:6" x14ac:dyDescent="0.45">
      <c r="A962">
        <v>40</v>
      </c>
      <c r="B962">
        <v>16</v>
      </c>
      <c r="C962">
        <v>30000</v>
      </c>
      <c r="D962" t="s">
        <v>71</v>
      </c>
      <c r="E962" t="s">
        <v>72</v>
      </c>
      <c r="F962" t="s">
        <v>78</v>
      </c>
    </row>
    <row r="963" spans="1:6" x14ac:dyDescent="0.45">
      <c r="A963">
        <v>40</v>
      </c>
      <c r="B963">
        <v>16</v>
      </c>
      <c r="C963">
        <v>30000</v>
      </c>
      <c r="D963" t="s">
        <v>71</v>
      </c>
      <c r="E963" t="s">
        <v>72</v>
      </c>
      <c r="F963" t="s">
        <v>78</v>
      </c>
    </row>
    <row r="964" spans="1:6" x14ac:dyDescent="0.45">
      <c r="A964">
        <v>40</v>
      </c>
      <c r="B964">
        <v>16</v>
      </c>
      <c r="C964">
        <v>30000</v>
      </c>
      <c r="D964" t="s">
        <v>71</v>
      </c>
      <c r="E964" t="s">
        <v>72</v>
      </c>
      <c r="F964" t="s">
        <v>78</v>
      </c>
    </row>
    <row r="965" spans="1:6" x14ac:dyDescent="0.45">
      <c r="A965">
        <v>40</v>
      </c>
      <c r="B965">
        <v>16</v>
      </c>
      <c r="C965">
        <v>30000</v>
      </c>
      <c r="D965" t="s">
        <v>71</v>
      </c>
      <c r="E965" t="s">
        <v>74</v>
      </c>
      <c r="F965" t="s">
        <v>78</v>
      </c>
    </row>
    <row r="966" spans="1:6" x14ac:dyDescent="0.45">
      <c r="A966">
        <v>40</v>
      </c>
      <c r="B966">
        <v>16</v>
      </c>
      <c r="C966">
        <v>30000</v>
      </c>
      <c r="D966" t="s">
        <v>71</v>
      </c>
      <c r="E966" t="s">
        <v>72</v>
      </c>
      <c r="F966" t="s">
        <v>78</v>
      </c>
    </row>
    <row r="967" spans="1:6" x14ac:dyDescent="0.45">
      <c r="A967">
        <v>40</v>
      </c>
      <c r="B967">
        <v>16</v>
      </c>
      <c r="C967">
        <v>30000</v>
      </c>
      <c r="D967" t="s">
        <v>71</v>
      </c>
      <c r="E967" t="s">
        <v>72</v>
      </c>
      <c r="F967" t="s">
        <v>78</v>
      </c>
    </row>
    <row r="968" spans="1:6" x14ac:dyDescent="0.45">
      <c r="A968">
        <v>60</v>
      </c>
      <c r="B968">
        <v>16</v>
      </c>
      <c r="C968">
        <v>30000</v>
      </c>
      <c r="D968" t="s">
        <v>76</v>
      </c>
      <c r="E968" t="s">
        <v>72</v>
      </c>
      <c r="F968" t="s">
        <v>78</v>
      </c>
    </row>
    <row r="969" spans="1:6" x14ac:dyDescent="0.45">
      <c r="A969">
        <v>40</v>
      </c>
      <c r="B969">
        <v>16</v>
      </c>
      <c r="C969">
        <v>30000</v>
      </c>
      <c r="D969" t="s">
        <v>71</v>
      </c>
      <c r="E969" t="s">
        <v>74</v>
      </c>
      <c r="F969" t="s">
        <v>78</v>
      </c>
    </row>
    <row r="970" spans="1:6" x14ac:dyDescent="0.45">
      <c r="A970">
        <v>50</v>
      </c>
      <c r="B970">
        <v>16</v>
      </c>
      <c r="C970">
        <v>30000</v>
      </c>
      <c r="D970" t="s">
        <v>71</v>
      </c>
      <c r="E970" t="s">
        <v>72</v>
      </c>
      <c r="F970" t="s">
        <v>78</v>
      </c>
    </row>
    <row r="971" spans="1:6" x14ac:dyDescent="0.45">
      <c r="A971">
        <v>0</v>
      </c>
      <c r="B971">
        <v>16</v>
      </c>
      <c r="C971">
        <v>30500</v>
      </c>
      <c r="D971" t="s">
        <v>71</v>
      </c>
      <c r="E971" t="s">
        <v>72</v>
      </c>
      <c r="F971" t="s">
        <v>78</v>
      </c>
    </row>
    <row r="972" spans="1:6" x14ac:dyDescent="0.45">
      <c r="A972">
        <v>0</v>
      </c>
      <c r="B972">
        <v>16</v>
      </c>
      <c r="C972">
        <v>30870</v>
      </c>
      <c r="D972" t="s">
        <v>71</v>
      </c>
      <c r="E972" t="s">
        <v>74</v>
      </c>
      <c r="F972" t="s">
        <v>78</v>
      </c>
    </row>
    <row r="973" spans="1:6" x14ac:dyDescent="0.45">
      <c r="A973">
        <v>40</v>
      </c>
      <c r="B973">
        <v>16</v>
      </c>
      <c r="C973">
        <v>31000</v>
      </c>
      <c r="D973" t="s">
        <v>71</v>
      </c>
      <c r="E973" t="s">
        <v>72</v>
      </c>
      <c r="F973" t="s">
        <v>78</v>
      </c>
    </row>
    <row r="974" spans="1:6" x14ac:dyDescent="0.45">
      <c r="A974">
        <v>40</v>
      </c>
      <c r="B974">
        <v>16</v>
      </c>
      <c r="C974">
        <v>31000</v>
      </c>
      <c r="D974" t="s">
        <v>71</v>
      </c>
      <c r="E974" t="s">
        <v>72</v>
      </c>
      <c r="F974" t="s">
        <v>78</v>
      </c>
    </row>
    <row r="975" spans="1:6" x14ac:dyDescent="0.45">
      <c r="A975">
        <v>65</v>
      </c>
      <c r="B975">
        <v>16</v>
      </c>
      <c r="C975">
        <v>31000</v>
      </c>
      <c r="D975" t="s">
        <v>71</v>
      </c>
      <c r="E975" t="s">
        <v>74</v>
      </c>
      <c r="F975" t="s">
        <v>78</v>
      </c>
    </row>
    <row r="976" spans="1:6" x14ac:dyDescent="0.45">
      <c r="A976">
        <v>40</v>
      </c>
      <c r="B976">
        <v>16</v>
      </c>
      <c r="C976">
        <v>31000</v>
      </c>
      <c r="D976" t="s">
        <v>71</v>
      </c>
      <c r="E976" t="s">
        <v>72</v>
      </c>
      <c r="F976" t="s">
        <v>78</v>
      </c>
    </row>
    <row r="977" spans="1:6" x14ac:dyDescent="0.45">
      <c r="A977">
        <v>40</v>
      </c>
      <c r="B977">
        <v>16</v>
      </c>
      <c r="C977">
        <v>31000</v>
      </c>
      <c r="D977" t="s">
        <v>71</v>
      </c>
      <c r="E977" t="s">
        <v>74</v>
      </c>
      <c r="F977" t="s">
        <v>78</v>
      </c>
    </row>
    <row r="978" spans="1:6" x14ac:dyDescent="0.45">
      <c r="A978">
        <v>70</v>
      </c>
      <c r="B978">
        <v>16</v>
      </c>
      <c r="C978">
        <v>31000</v>
      </c>
      <c r="D978" t="s">
        <v>71</v>
      </c>
      <c r="E978" t="s">
        <v>74</v>
      </c>
      <c r="F978" t="s">
        <v>78</v>
      </c>
    </row>
    <row r="979" spans="1:6" x14ac:dyDescent="0.45">
      <c r="A979">
        <v>50</v>
      </c>
      <c r="B979">
        <v>16</v>
      </c>
      <c r="C979">
        <v>31200</v>
      </c>
      <c r="D979" t="s">
        <v>71</v>
      </c>
      <c r="E979" t="s">
        <v>72</v>
      </c>
      <c r="F979" t="s">
        <v>78</v>
      </c>
    </row>
    <row r="980" spans="1:6" x14ac:dyDescent="0.45">
      <c r="A980">
        <v>40</v>
      </c>
      <c r="B980">
        <v>16</v>
      </c>
      <c r="C980">
        <v>31200</v>
      </c>
      <c r="D980" t="s">
        <v>75</v>
      </c>
      <c r="E980" t="s">
        <v>74</v>
      </c>
      <c r="F980" t="s">
        <v>78</v>
      </c>
    </row>
    <row r="981" spans="1:6" x14ac:dyDescent="0.45">
      <c r="A981">
        <v>40</v>
      </c>
      <c r="B981">
        <v>16</v>
      </c>
      <c r="C981">
        <v>31200</v>
      </c>
      <c r="D981" t="s">
        <v>75</v>
      </c>
      <c r="E981" t="s">
        <v>72</v>
      </c>
      <c r="F981" t="s">
        <v>78</v>
      </c>
    </row>
    <row r="982" spans="1:6" x14ac:dyDescent="0.45">
      <c r="A982">
        <v>60</v>
      </c>
      <c r="B982">
        <v>16</v>
      </c>
      <c r="C982">
        <v>31500</v>
      </c>
      <c r="D982" t="s">
        <v>71</v>
      </c>
      <c r="E982" t="s">
        <v>72</v>
      </c>
      <c r="F982" t="s">
        <v>78</v>
      </c>
    </row>
    <row r="983" spans="1:6" x14ac:dyDescent="0.45">
      <c r="A983">
        <v>60</v>
      </c>
      <c r="B983">
        <v>16</v>
      </c>
      <c r="C983">
        <v>31579</v>
      </c>
      <c r="D983" t="s">
        <v>71</v>
      </c>
      <c r="E983" t="s">
        <v>74</v>
      </c>
      <c r="F983" t="s">
        <v>78</v>
      </c>
    </row>
    <row r="984" spans="1:6" x14ac:dyDescent="0.45">
      <c r="A984">
        <v>40</v>
      </c>
      <c r="B984">
        <v>16</v>
      </c>
      <c r="C984">
        <v>31600</v>
      </c>
      <c r="D984" t="s">
        <v>71</v>
      </c>
      <c r="E984" t="s">
        <v>72</v>
      </c>
      <c r="F984" t="s">
        <v>78</v>
      </c>
    </row>
    <row r="985" spans="1:6" x14ac:dyDescent="0.45">
      <c r="A985">
        <v>40</v>
      </c>
      <c r="B985">
        <v>16</v>
      </c>
      <c r="C985">
        <v>32000</v>
      </c>
      <c r="D985" t="s">
        <v>71</v>
      </c>
      <c r="E985" t="s">
        <v>72</v>
      </c>
      <c r="F985" t="s">
        <v>78</v>
      </c>
    </row>
    <row r="986" spans="1:6" x14ac:dyDescent="0.45">
      <c r="A986">
        <v>40</v>
      </c>
      <c r="B986">
        <v>16</v>
      </c>
      <c r="C986">
        <v>32000</v>
      </c>
      <c r="D986" t="s">
        <v>71</v>
      </c>
      <c r="E986" t="s">
        <v>72</v>
      </c>
      <c r="F986" t="s">
        <v>78</v>
      </c>
    </row>
    <row r="987" spans="1:6" x14ac:dyDescent="0.45">
      <c r="A987">
        <v>40</v>
      </c>
      <c r="B987">
        <v>16</v>
      </c>
      <c r="C987">
        <v>32000</v>
      </c>
      <c r="D987" t="s">
        <v>71</v>
      </c>
      <c r="E987" t="s">
        <v>72</v>
      </c>
      <c r="F987" t="s">
        <v>78</v>
      </c>
    </row>
    <row r="988" spans="1:6" x14ac:dyDescent="0.45">
      <c r="A988">
        <v>40</v>
      </c>
      <c r="B988">
        <v>16</v>
      </c>
      <c r="C988">
        <v>32000</v>
      </c>
      <c r="D988" t="s">
        <v>71</v>
      </c>
      <c r="E988" t="s">
        <v>72</v>
      </c>
      <c r="F988" t="s">
        <v>78</v>
      </c>
    </row>
    <row r="989" spans="1:6" x14ac:dyDescent="0.45">
      <c r="A989">
        <v>0</v>
      </c>
      <c r="B989">
        <v>16</v>
      </c>
      <c r="C989">
        <v>32000</v>
      </c>
      <c r="D989" t="s">
        <v>71</v>
      </c>
      <c r="E989" t="s">
        <v>74</v>
      </c>
      <c r="F989" t="s">
        <v>78</v>
      </c>
    </row>
    <row r="990" spans="1:6" x14ac:dyDescent="0.45">
      <c r="A990">
        <v>40</v>
      </c>
      <c r="B990">
        <v>16</v>
      </c>
      <c r="C990">
        <v>32000</v>
      </c>
      <c r="D990" t="s">
        <v>71</v>
      </c>
      <c r="E990" t="s">
        <v>72</v>
      </c>
      <c r="F990" t="s">
        <v>78</v>
      </c>
    </row>
    <row r="991" spans="1:6" x14ac:dyDescent="0.45">
      <c r="A991">
        <v>58</v>
      </c>
      <c r="B991">
        <v>16</v>
      </c>
      <c r="C991">
        <v>32000</v>
      </c>
      <c r="D991" t="s">
        <v>71</v>
      </c>
      <c r="E991" t="s">
        <v>74</v>
      </c>
      <c r="F991" t="s">
        <v>78</v>
      </c>
    </row>
    <row r="992" spans="1:6" x14ac:dyDescent="0.45">
      <c r="A992">
        <v>60</v>
      </c>
      <c r="B992">
        <v>16</v>
      </c>
      <c r="C992">
        <v>32000</v>
      </c>
      <c r="D992" t="s">
        <v>71</v>
      </c>
      <c r="E992" t="s">
        <v>72</v>
      </c>
      <c r="F992" t="s">
        <v>78</v>
      </c>
    </row>
    <row r="993" spans="1:6" x14ac:dyDescent="0.45">
      <c r="A993">
        <v>37</v>
      </c>
      <c r="B993">
        <v>16</v>
      </c>
      <c r="C993">
        <v>32000</v>
      </c>
      <c r="D993" t="s">
        <v>76</v>
      </c>
      <c r="E993" t="s">
        <v>72</v>
      </c>
      <c r="F993" t="s">
        <v>78</v>
      </c>
    </row>
    <row r="994" spans="1:6" x14ac:dyDescent="0.45">
      <c r="A994">
        <v>40</v>
      </c>
      <c r="B994">
        <v>16</v>
      </c>
      <c r="C994">
        <v>32000</v>
      </c>
      <c r="D994" t="s">
        <v>71</v>
      </c>
      <c r="E994" t="s">
        <v>72</v>
      </c>
      <c r="F994" t="s">
        <v>78</v>
      </c>
    </row>
    <row r="995" spans="1:6" x14ac:dyDescent="0.45">
      <c r="A995">
        <v>40</v>
      </c>
      <c r="B995">
        <v>16</v>
      </c>
      <c r="C995">
        <v>32000</v>
      </c>
      <c r="D995" t="s">
        <v>76</v>
      </c>
      <c r="E995" t="s">
        <v>72</v>
      </c>
      <c r="F995" t="s">
        <v>78</v>
      </c>
    </row>
    <row r="996" spans="1:6" x14ac:dyDescent="0.45">
      <c r="A996">
        <v>50</v>
      </c>
      <c r="B996">
        <v>16</v>
      </c>
      <c r="C996">
        <v>32000</v>
      </c>
      <c r="D996" t="s">
        <v>71</v>
      </c>
      <c r="E996" t="s">
        <v>72</v>
      </c>
      <c r="F996" t="s">
        <v>78</v>
      </c>
    </row>
    <row r="997" spans="1:6" x14ac:dyDescent="0.45">
      <c r="A997">
        <v>40</v>
      </c>
      <c r="B997">
        <v>16</v>
      </c>
      <c r="C997">
        <v>32000</v>
      </c>
      <c r="D997" t="s">
        <v>71</v>
      </c>
      <c r="E997" t="s">
        <v>72</v>
      </c>
      <c r="F997" t="s">
        <v>78</v>
      </c>
    </row>
    <row r="998" spans="1:6" x14ac:dyDescent="0.45">
      <c r="A998">
        <v>40</v>
      </c>
      <c r="B998">
        <v>16</v>
      </c>
      <c r="C998">
        <v>32000</v>
      </c>
      <c r="D998" t="s">
        <v>71</v>
      </c>
      <c r="E998" t="s">
        <v>74</v>
      </c>
      <c r="F998" t="s">
        <v>78</v>
      </c>
    </row>
    <row r="999" spans="1:6" x14ac:dyDescent="0.45">
      <c r="A999">
        <v>40</v>
      </c>
      <c r="B999">
        <v>16</v>
      </c>
      <c r="C999">
        <v>32000</v>
      </c>
      <c r="D999" t="s">
        <v>71</v>
      </c>
      <c r="E999" t="s">
        <v>72</v>
      </c>
      <c r="F999" t="s">
        <v>78</v>
      </c>
    </row>
    <row r="1000" spans="1:6" x14ac:dyDescent="0.45">
      <c r="A1000">
        <v>40</v>
      </c>
      <c r="B1000">
        <v>16</v>
      </c>
      <c r="C1000">
        <v>32000</v>
      </c>
      <c r="D1000" t="s">
        <v>71</v>
      </c>
      <c r="E1000" t="s">
        <v>72</v>
      </c>
      <c r="F1000" t="s">
        <v>78</v>
      </c>
    </row>
    <row r="1001" spans="1:6" x14ac:dyDescent="0.45">
      <c r="A1001">
        <v>40</v>
      </c>
      <c r="B1001">
        <v>16</v>
      </c>
      <c r="C1001">
        <v>32000</v>
      </c>
      <c r="D1001" t="s">
        <v>71</v>
      </c>
      <c r="E1001" t="s">
        <v>72</v>
      </c>
      <c r="F1001" t="s">
        <v>78</v>
      </c>
    </row>
    <row r="1002" spans="1:6" x14ac:dyDescent="0.45">
      <c r="A1002">
        <v>36</v>
      </c>
      <c r="B1002">
        <v>16</v>
      </c>
      <c r="C1002">
        <v>32000</v>
      </c>
      <c r="D1002" t="s">
        <v>71</v>
      </c>
      <c r="E1002" t="s">
        <v>72</v>
      </c>
      <c r="F1002" t="s">
        <v>78</v>
      </c>
    </row>
    <row r="1003" spans="1:6" x14ac:dyDescent="0.45">
      <c r="A1003">
        <v>40</v>
      </c>
      <c r="B1003">
        <v>16</v>
      </c>
      <c r="C1003">
        <v>32000</v>
      </c>
      <c r="D1003" t="s">
        <v>71</v>
      </c>
      <c r="E1003" t="s">
        <v>72</v>
      </c>
      <c r="F1003" t="s">
        <v>78</v>
      </c>
    </row>
    <row r="1004" spans="1:6" x14ac:dyDescent="0.45">
      <c r="A1004">
        <v>45</v>
      </c>
      <c r="B1004">
        <v>16</v>
      </c>
      <c r="C1004">
        <v>32000</v>
      </c>
      <c r="D1004" t="s">
        <v>71</v>
      </c>
      <c r="E1004" t="s">
        <v>72</v>
      </c>
      <c r="F1004" t="s">
        <v>78</v>
      </c>
    </row>
    <row r="1005" spans="1:6" x14ac:dyDescent="0.45">
      <c r="A1005">
        <v>40</v>
      </c>
      <c r="B1005">
        <v>16</v>
      </c>
      <c r="C1005">
        <v>32000</v>
      </c>
      <c r="D1005" t="s">
        <v>71</v>
      </c>
      <c r="E1005" t="s">
        <v>72</v>
      </c>
      <c r="F1005" t="s">
        <v>78</v>
      </c>
    </row>
    <row r="1006" spans="1:6" x14ac:dyDescent="0.45">
      <c r="A1006">
        <v>40</v>
      </c>
      <c r="B1006">
        <v>16</v>
      </c>
      <c r="C1006">
        <v>32000</v>
      </c>
      <c r="D1006" t="s">
        <v>71</v>
      </c>
      <c r="E1006" t="s">
        <v>72</v>
      </c>
      <c r="F1006" t="s">
        <v>78</v>
      </c>
    </row>
    <row r="1007" spans="1:6" x14ac:dyDescent="0.45">
      <c r="A1007">
        <v>40</v>
      </c>
      <c r="B1007">
        <v>16</v>
      </c>
      <c r="C1007">
        <v>32305</v>
      </c>
      <c r="D1007" t="s">
        <v>71</v>
      </c>
      <c r="E1007" t="s">
        <v>74</v>
      </c>
      <c r="F1007" t="s">
        <v>78</v>
      </c>
    </row>
    <row r="1008" spans="1:6" x14ac:dyDescent="0.45">
      <c r="A1008">
        <v>45</v>
      </c>
      <c r="B1008">
        <v>16</v>
      </c>
      <c r="C1008">
        <v>32444</v>
      </c>
      <c r="D1008" t="s">
        <v>71</v>
      </c>
      <c r="E1008" t="s">
        <v>74</v>
      </c>
      <c r="F1008" t="s">
        <v>78</v>
      </c>
    </row>
    <row r="1009" spans="1:6" x14ac:dyDescent="0.45">
      <c r="A1009">
        <v>45</v>
      </c>
      <c r="B1009">
        <v>16</v>
      </c>
      <c r="C1009">
        <v>32500</v>
      </c>
      <c r="D1009" t="s">
        <v>71</v>
      </c>
      <c r="E1009" t="s">
        <v>72</v>
      </c>
      <c r="F1009" t="s">
        <v>78</v>
      </c>
    </row>
    <row r="1010" spans="1:6" x14ac:dyDescent="0.45">
      <c r="A1010">
        <v>38</v>
      </c>
      <c r="B1010">
        <v>16</v>
      </c>
      <c r="C1010">
        <v>32545</v>
      </c>
      <c r="D1010" t="s">
        <v>71</v>
      </c>
      <c r="E1010" t="s">
        <v>74</v>
      </c>
      <c r="F1010" t="s">
        <v>78</v>
      </c>
    </row>
    <row r="1011" spans="1:6" x14ac:dyDescent="0.45">
      <c r="A1011">
        <v>58</v>
      </c>
      <c r="B1011">
        <v>16</v>
      </c>
      <c r="C1011">
        <v>32547</v>
      </c>
      <c r="D1011" t="s">
        <v>71</v>
      </c>
      <c r="E1011" t="s">
        <v>74</v>
      </c>
      <c r="F1011" t="s">
        <v>78</v>
      </c>
    </row>
    <row r="1012" spans="1:6" x14ac:dyDescent="0.45">
      <c r="A1012">
        <v>48</v>
      </c>
      <c r="B1012">
        <v>16</v>
      </c>
      <c r="C1012">
        <v>32600</v>
      </c>
      <c r="D1012" t="s">
        <v>71</v>
      </c>
      <c r="E1012" t="s">
        <v>74</v>
      </c>
      <c r="F1012" t="s">
        <v>78</v>
      </c>
    </row>
    <row r="1013" spans="1:6" x14ac:dyDescent="0.45">
      <c r="A1013">
        <v>40</v>
      </c>
      <c r="B1013">
        <v>16</v>
      </c>
      <c r="C1013">
        <v>33000</v>
      </c>
      <c r="D1013" t="s">
        <v>71</v>
      </c>
      <c r="E1013" t="s">
        <v>72</v>
      </c>
      <c r="F1013" t="s">
        <v>78</v>
      </c>
    </row>
    <row r="1014" spans="1:6" x14ac:dyDescent="0.45">
      <c r="A1014">
        <v>50</v>
      </c>
      <c r="B1014">
        <v>16</v>
      </c>
      <c r="C1014">
        <v>33000</v>
      </c>
      <c r="D1014" t="s">
        <v>71</v>
      </c>
      <c r="E1014" t="s">
        <v>72</v>
      </c>
      <c r="F1014" t="s">
        <v>78</v>
      </c>
    </row>
    <row r="1015" spans="1:6" x14ac:dyDescent="0.45">
      <c r="A1015">
        <v>40</v>
      </c>
      <c r="B1015">
        <v>16</v>
      </c>
      <c r="C1015">
        <v>33000</v>
      </c>
      <c r="D1015" t="s">
        <v>76</v>
      </c>
      <c r="E1015" t="s">
        <v>72</v>
      </c>
      <c r="F1015" t="s">
        <v>78</v>
      </c>
    </row>
    <row r="1016" spans="1:6" x14ac:dyDescent="0.45">
      <c r="A1016">
        <v>45</v>
      </c>
      <c r="B1016">
        <v>16</v>
      </c>
      <c r="C1016">
        <v>33000</v>
      </c>
      <c r="D1016" t="s">
        <v>71</v>
      </c>
      <c r="E1016" t="s">
        <v>74</v>
      </c>
      <c r="F1016" t="s">
        <v>78</v>
      </c>
    </row>
    <row r="1017" spans="1:6" x14ac:dyDescent="0.45">
      <c r="A1017">
        <v>48</v>
      </c>
      <c r="B1017">
        <v>16</v>
      </c>
      <c r="C1017">
        <v>33000</v>
      </c>
      <c r="D1017" t="s">
        <v>71</v>
      </c>
      <c r="E1017" t="s">
        <v>72</v>
      </c>
      <c r="F1017" t="s">
        <v>78</v>
      </c>
    </row>
    <row r="1018" spans="1:6" x14ac:dyDescent="0.45">
      <c r="A1018">
        <v>52</v>
      </c>
      <c r="B1018">
        <v>16</v>
      </c>
      <c r="C1018">
        <v>33000</v>
      </c>
      <c r="D1018" t="s">
        <v>71</v>
      </c>
      <c r="E1018" t="s">
        <v>72</v>
      </c>
      <c r="F1018" t="s">
        <v>78</v>
      </c>
    </row>
    <row r="1019" spans="1:6" x14ac:dyDescent="0.45">
      <c r="A1019">
        <v>50</v>
      </c>
      <c r="B1019">
        <v>16</v>
      </c>
      <c r="C1019">
        <v>33000</v>
      </c>
      <c r="D1019" t="s">
        <v>76</v>
      </c>
      <c r="E1019" t="s">
        <v>72</v>
      </c>
      <c r="F1019" t="s">
        <v>78</v>
      </c>
    </row>
    <row r="1020" spans="1:6" x14ac:dyDescent="0.45">
      <c r="A1020">
        <v>60</v>
      </c>
      <c r="B1020">
        <v>16</v>
      </c>
      <c r="C1020">
        <v>33000</v>
      </c>
      <c r="D1020" t="s">
        <v>71</v>
      </c>
      <c r="E1020" t="s">
        <v>74</v>
      </c>
      <c r="F1020" t="s">
        <v>78</v>
      </c>
    </row>
    <row r="1021" spans="1:6" x14ac:dyDescent="0.45">
      <c r="A1021">
        <v>60</v>
      </c>
      <c r="B1021">
        <v>16</v>
      </c>
      <c r="C1021">
        <v>33000</v>
      </c>
      <c r="D1021" t="s">
        <v>71</v>
      </c>
      <c r="E1021" t="s">
        <v>72</v>
      </c>
      <c r="F1021" t="s">
        <v>78</v>
      </c>
    </row>
    <row r="1022" spans="1:6" x14ac:dyDescent="0.45">
      <c r="A1022">
        <v>40</v>
      </c>
      <c r="B1022">
        <v>16</v>
      </c>
      <c r="C1022">
        <v>33000</v>
      </c>
      <c r="D1022" t="s">
        <v>71</v>
      </c>
      <c r="E1022" t="s">
        <v>72</v>
      </c>
      <c r="F1022" t="s">
        <v>78</v>
      </c>
    </row>
    <row r="1023" spans="1:6" x14ac:dyDescent="0.45">
      <c r="A1023">
        <v>45</v>
      </c>
      <c r="B1023">
        <v>16</v>
      </c>
      <c r="C1023">
        <v>33000</v>
      </c>
      <c r="D1023" t="s">
        <v>71</v>
      </c>
      <c r="E1023" t="s">
        <v>74</v>
      </c>
      <c r="F1023" t="s">
        <v>78</v>
      </c>
    </row>
    <row r="1024" spans="1:6" x14ac:dyDescent="0.45">
      <c r="A1024">
        <v>45</v>
      </c>
      <c r="B1024">
        <v>16</v>
      </c>
      <c r="C1024">
        <v>33125</v>
      </c>
      <c r="D1024" t="s">
        <v>71</v>
      </c>
      <c r="E1024" t="s">
        <v>72</v>
      </c>
      <c r="F1024" t="s">
        <v>78</v>
      </c>
    </row>
    <row r="1025" spans="1:6" x14ac:dyDescent="0.45">
      <c r="A1025">
        <v>40</v>
      </c>
      <c r="B1025">
        <v>16</v>
      </c>
      <c r="C1025">
        <v>33200</v>
      </c>
      <c r="D1025" t="s">
        <v>77</v>
      </c>
      <c r="E1025" t="s">
        <v>72</v>
      </c>
      <c r="F1025" t="s">
        <v>78</v>
      </c>
    </row>
    <row r="1026" spans="1:6" x14ac:dyDescent="0.45">
      <c r="A1026">
        <v>0</v>
      </c>
      <c r="B1026">
        <v>16</v>
      </c>
      <c r="C1026">
        <v>33464</v>
      </c>
      <c r="D1026" t="s">
        <v>71</v>
      </c>
      <c r="E1026" t="s">
        <v>74</v>
      </c>
      <c r="F1026" t="s">
        <v>78</v>
      </c>
    </row>
    <row r="1027" spans="1:6" x14ac:dyDescent="0.45">
      <c r="A1027">
        <v>40</v>
      </c>
      <c r="B1027">
        <v>16</v>
      </c>
      <c r="C1027">
        <v>33500</v>
      </c>
      <c r="D1027" t="s">
        <v>71</v>
      </c>
      <c r="E1027" t="s">
        <v>72</v>
      </c>
      <c r="F1027" t="s">
        <v>78</v>
      </c>
    </row>
    <row r="1028" spans="1:6" x14ac:dyDescent="0.45">
      <c r="A1028">
        <v>44</v>
      </c>
      <c r="B1028">
        <v>16</v>
      </c>
      <c r="C1028">
        <v>34000</v>
      </c>
      <c r="D1028" t="s">
        <v>71</v>
      </c>
      <c r="E1028" t="s">
        <v>74</v>
      </c>
      <c r="F1028" t="s">
        <v>78</v>
      </c>
    </row>
    <row r="1029" spans="1:6" x14ac:dyDescent="0.45">
      <c r="A1029">
        <v>40</v>
      </c>
      <c r="B1029">
        <v>16</v>
      </c>
      <c r="C1029">
        <v>34000</v>
      </c>
      <c r="D1029" t="s">
        <v>71</v>
      </c>
      <c r="E1029" t="s">
        <v>74</v>
      </c>
      <c r="F1029" t="s">
        <v>78</v>
      </c>
    </row>
    <row r="1030" spans="1:6" x14ac:dyDescent="0.45">
      <c r="A1030">
        <v>40</v>
      </c>
      <c r="B1030">
        <v>16</v>
      </c>
      <c r="C1030">
        <v>34000</v>
      </c>
      <c r="D1030" t="s">
        <v>71</v>
      </c>
      <c r="E1030" t="s">
        <v>74</v>
      </c>
      <c r="F1030" t="s">
        <v>78</v>
      </c>
    </row>
    <row r="1031" spans="1:6" x14ac:dyDescent="0.45">
      <c r="A1031">
        <v>40</v>
      </c>
      <c r="B1031">
        <v>16</v>
      </c>
      <c r="C1031">
        <v>34000</v>
      </c>
      <c r="D1031" t="s">
        <v>71</v>
      </c>
      <c r="E1031" t="s">
        <v>74</v>
      </c>
      <c r="F1031" t="s">
        <v>78</v>
      </c>
    </row>
    <row r="1032" spans="1:6" x14ac:dyDescent="0.45">
      <c r="A1032">
        <v>40</v>
      </c>
      <c r="B1032">
        <v>16</v>
      </c>
      <c r="C1032">
        <v>34000</v>
      </c>
      <c r="D1032" t="s">
        <v>71</v>
      </c>
      <c r="E1032" t="s">
        <v>72</v>
      </c>
      <c r="F1032" t="s">
        <v>78</v>
      </c>
    </row>
    <row r="1033" spans="1:6" x14ac:dyDescent="0.45">
      <c r="A1033">
        <v>38</v>
      </c>
      <c r="B1033">
        <v>16</v>
      </c>
      <c r="C1033">
        <v>34000</v>
      </c>
      <c r="D1033" t="s">
        <v>71</v>
      </c>
      <c r="E1033" t="s">
        <v>72</v>
      </c>
      <c r="F1033" t="s">
        <v>78</v>
      </c>
    </row>
    <row r="1034" spans="1:6" x14ac:dyDescent="0.45">
      <c r="A1034">
        <v>40</v>
      </c>
      <c r="B1034">
        <v>16</v>
      </c>
      <c r="C1034">
        <v>34000</v>
      </c>
      <c r="D1034" t="s">
        <v>71</v>
      </c>
      <c r="E1034" t="s">
        <v>74</v>
      </c>
      <c r="F1034" t="s">
        <v>78</v>
      </c>
    </row>
    <row r="1035" spans="1:6" x14ac:dyDescent="0.45">
      <c r="A1035">
        <v>0</v>
      </c>
      <c r="B1035">
        <v>16</v>
      </c>
      <c r="C1035">
        <v>34000</v>
      </c>
      <c r="D1035" t="s">
        <v>71</v>
      </c>
      <c r="E1035" t="s">
        <v>74</v>
      </c>
      <c r="F1035" t="s">
        <v>78</v>
      </c>
    </row>
    <row r="1036" spans="1:6" x14ac:dyDescent="0.45">
      <c r="A1036">
        <v>68</v>
      </c>
      <c r="B1036">
        <v>16</v>
      </c>
      <c r="C1036">
        <v>34000</v>
      </c>
      <c r="D1036" t="s">
        <v>76</v>
      </c>
      <c r="E1036" t="s">
        <v>74</v>
      </c>
      <c r="F1036" t="s">
        <v>78</v>
      </c>
    </row>
    <row r="1037" spans="1:6" x14ac:dyDescent="0.45">
      <c r="A1037">
        <v>40</v>
      </c>
      <c r="B1037">
        <v>16</v>
      </c>
      <c r="C1037">
        <v>34000</v>
      </c>
      <c r="D1037" t="s">
        <v>71</v>
      </c>
      <c r="E1037" t="s">
        <v>72</v>
      </c>
      <c r="F1037" t="s">
        <v>78</v>
      </c>
    </row>
    <row r="1038" spans="1:6" x14ac:dyDescent="0.45">
      <c r="A1038">
        <v>40</v>
      </c>
      <c r="B1038">
        <v>16</v>
      </c>
      <c r="C1038">
        <v>34000</v>
      </c>
      <c r="D1038" t="s">
        <v>71</v>
      </c>
      <c r="E1038" t="s">
        <v>74</v>
      </c>
      <c r="F1038" t="s">
        <v>78</v>
      </c>
    </row>
    <row r="1039" spans="1:6" x14ac:dyDescent="0.45">
      <c r="A1039">
        <v>40</v>
      </c>
      <c r="B1039">
        <v>16</v>
      </c>
      <c r="C1039">
        <v>34000</v>
      </c>
      <c r="D1039" t="s">
        <v>76</v>
      </c>
      <c r="E1039" t="s">
        <v>72</v>
      </c>
      <c r="F1039" t="s">
        <v>78</v>
      </c>
    </row>
    <row r="1040" spans="1:6" x14ac:dyDescent="0.45">
      <c r="A1040">
        <v>40</v>
      </c>
      <c r="B1040">
        <v>16</v>
      </c>
      <c r="C1040">
        <v>34000</v>
      </c>
      <c r="D1040" t="s">
        <v>71</v>
      </c>
      <c r="E1040" t="s">
        <v>72</v>
      </c>
      <c r="F1040" t="s">
        <v>78</v>
      </c>
    </row>
    <row r="1041" spans="1:6" x14ac:dyDescent="0.45">
      <c r="A1041">
        <v>40</v>
      </c>
      <c r="B1041">
        <v>16</v>
      </c>
      <c r="C1041">
        <v>34000</v>
      </c>
      <c r="D1041" t="s">
        <v>71</v>
      </c>
      <c r="E1041" t="s">
        <v>74</v>
      </c>
      <c r="F1041" t="s">
        <v>78</v>
      </c>
    </row>
    <row r="1042" spans="1:6" x14ac:dyDescent="0.45">
      <c r="A1042">
        <v>40</v>
      </c>
      <c r="B1042">
        <v>16</v>
      </c>
      <c r="C1042">
        <v>34500</v>
      </c>
      <c r="D1042" t="s">
        <v>71</v>
      </c>
      <c r="E1042" t="s">
        <v>74</v>
      </c>
      <c r="F1042" t="s">
        <v>78</v>
      </c>
    </row>
    <row r="1043" spans="1:6" x14ac:dyDescent="0.45">
      <c r="A1043">
        <v>45</v>
      </c>
      <c r="B1043">
        <v>16</v>
      </c>
      <c r="C1043">
        <v>35000</v>
      </c>
      <c r="D1043" t="s">
        <v>71</v>
      </c>
      <c r="E1043" t="s">
        <v>74</v>
      </c>
      <c r="F1043" t="s">
        <v>78</v>
      </c>
    </row>
    <row r="1044" spans="1:6" x14ac:dyDescent="0.45">
      <c r="A1044">
        <v>60</v>
      </c>
      <c r="B1044">
        <v>16</v>
      </c>
      <c r="C1044">
        <v>35000</v>
      </c>
      <c r="D1044" t="s">
        <v>71</v>
      </c>
      <c r="E1044" t="s">
        <v>72</v>
      </c>
      <c r="F1044" t="s">
        <v>78</v>
      </c>
    </row>
    <row r="1045" spans="1:6" x14ac:dyDescent="0.45">
      <c r="A1045">
        <v>40</v>
      </c>
      <c r="B1045">
        <v>16</v>
      </c>
      <c r="C1045">
        <v>35000</v>
      </c>
      <c r="D1045" t="s">
        <v>76</v>
      </c>
      <c r="E1045" t="s">
        <v>72</v>
      </c>
      <c r="F1045" t="s">
        <v>78</v>
      </c>
    </row>
    <row r="1046" spans="1:6" x14ac:dyDescent="0.45">
      <c r="A1046">
        <v>60</v>
      </c>
      <c r="B1046">
        <v>16</v>
      </c>
      <c r="C1046">
        <v>35000</v>
      </c>
      <c r="D1046" t="s">
        <v>71</v>
      </c>
      <c r="E1046" t="s">
        <v>72</v>
      </c>
      <c r="F1046" t="s">
        <v>78</v>
      </c>
    </row>
    <row r="1047" spans="1:6" x14ac:dyDescent="0.45">
      <c r="A1047">
        <v>40</v>
      </c>
      <c r="B1047">
        <v>16</v>
      </c>
      <c r="C1047">
        <v>35000</v>
      </c>
      <c r="D1047" t="s">
        <v>71</v>
      </c>
      <c r="E1047" t="s">
        <v>72</v>
      </c>
      <c r="F1047" t="s">
        <v>78</v>
      </c>
    </row>
    <row r="1048" spans="1:6" x14ac:dyDescent="0.45">
      <c r="A1048">
        <v>55</v>
      </c>
      <c r="B1048">
        <v>16</v>
      </c>
      <c r="C1048">
        <v>35000</v>
      </c>
      <c r="D1048" t="s">
        <v>71</v>
      </c>
      <c r="E1048" t="s">
        <v>72</v>
      </c>
      <c r="F1048" t="s">
        <v>78</v>
      </c>
    </row>
    <row r="1049" spans="1:6" x14ac:dyDescent="0.45">
      <c r="A1049">
        <v>40</v>
      </c>
      <c r="B1049">
        <v>16</v>
      </c>
      <c r="C1049">
        <v>35000</v>
      </c>
      <c r="D1049" t="s">
        <v>71</v>
      </c>
      <c r="E1049" t="s">
        <v>74</v>
      </c>
      <c r="F1049" t="s">
        <v>78</v>
      </c>
    </row>
    <row r="1050" spans="1:6" x14ac:dyDescent="0.45">
      <c r="A1050">
        <v>45</v>
      </c>
      <c r="B1050">
        <v>16</v>
      </c>
      <c r="C1050">
        <v>35000</v>
      </c>
      <c r="D1050" t="s">
        <v>71</v>
      </c>
      <c r="E1050" t="s">
        <v>74</v>
      </c>
      <c r="F1050" t="s">
        <v>78</v>
      </c>
    </row>
    <row r="1051" spans="1:6" x14ac:dyDescent="0.45">
      <c r="A1051">
        <v>60</v>
      </c>
      <c r="B1051">
        <v>16</v>
      </c>
      <c r="C1051">
        <v>35000</v>
      </c>
      <c r="D1051" t="s">
        <v>71</v>
      </c>
      <c r="E1051" t="s">
        <v>74</v>
      </c>
      <c r="F1051" t="s">
        <v>78</v>
      </c>
    </row>
    <row r="1052" spans="1:6" x14ac:dyDescent="0.45">
      <c r="A1052">
        <v>50</v>
      </c>
      <c r="B1052">
        <v>16</v>
      </c>
      <c r="C1052">
        <v>35000</v>
      </c>
      <c r="D1052" t="s">
        <v>71</v>
      </c>
      <c r="E1052" t="s">
        <v>74</v>
      </c>
      <c r="F1052" t="s">
        <v>78</v>
      </c>
    </row>
    <row r="1053" spans="1:6" x14ac:dyDescent="0.45">
      <c r="A1053">
        <v>45</v>
      </c>
      <c r="B1053">
        <v>16</v>
      </c>
      <c r="C1053">
        <v>35000</v>
      </c>
      <c r="D1053" t="s">
        <v>71</v>
      </c>
      <c r="E1053" t="s">
        <v>74</v>
      </c>
      <c r="F1053" t="s">
        <v>78</v>
      </c>
    </row>
    <row r="1054" spans="1:6" x14ac:dyDescent="0.45">
      <c r="A1054">
        <v>40</v>
      </c>
      <c r="B1054">
        <v>16</v>
      </c>
      <c r="C1054">
        <v>35000</v>
      </c>
      <c r="D1054" t="s">
        <v>76</v>
      </c>
      <c r="E1054" t="s">
        <v>72</v>
      </c>
      <c r="F1054" t="s">
        <v>78</v>
      </c>
    </row>
    <row r="1055" spans="1:6" x14ac:dyDescent="0.45">
      <c r="A1055">
        <v>40</v>
      </c>
      <c r="B1055">
        <v>16</v>
      </c>
      <c r="C1055">
        <v>35000</v>
      </c>
      <c r="D1055" t="s">
        <v>71</v>
      </c>
      <c r="E1055" t="s">
        <v>72</v>
      </c>
      <c r="F1055" t="s">
        <v>78</v>
      </c>
    </row>
    <row r="1056" spans="1:6" x14ac:dyDescent="0.45">
      <c r="A1056">
        <v>50</v>
      </c>
      <c r="B1056">
        <v>16</v>
      </c>
      <c r="C1056">
        <v>35000</v>
      </c>
      <c r="D1056" t="s">
        <v>71</v>
      </c>
      <c r="E1056" t="s">
        <v>74</v>
      </c>
      <c r="F1056" t="s">
        <v>78</v>
      </c>
    </row>
    <row r="1057" spans="1:6" x14ac:dyDescent="0.45">
      <c r="A1057">
        <v>40</v>
      </c>
      <c r="B1057">
        <v>16</v>
      </c>
      <c r="C1057">
        <v>35000</v>
      </c>
      <c r="D1057" t="s">
        <v>71</v>
      </c>
      <c r="E1057" t="s">
        <v>74</v>
      </c>
      <c r="F1057" t="s">
        <v>78</v>
      </c>
    </row>
    <row r="1058" spans="1:6" x14ac:dyDescent="0.45">
      <c r="A1058">
        <v>38</v>
      </c>
      <c r="B1058">
        <v>16</v>
      </c>
      <c r="C1058">
        <v>35000</v>
      </c>
      <c r="D1058" t="s">
        <v>71</v>
      </c>
      <c r="E1058" t="s">
        <v>72</v>
      </c>
      <c r="F1058" t="s">
        <v>78</v>
      </c>
    </row>
    <row r="1059" spans="1:6" x14ac:dyDescent="0.45">
      <c r="A1059">
        <v>38</v>
      </c>
      <c r="B1059">
        <v>16</v>
      </c>
      <c r="C1059">
        <v>35000</v>
      </c>
      <c r="D1059" t="s">
        <v>71</v>
      </c>
      <c r="E1059" t="s">
        <v>74</v>
      </c>
      <c r="F1059" t="s">
        <v>78</v>
      </c>
    </row>
    <row r="1060" spans="1:6" x14ac:dyDescent="0.45">
      <c r="A1060">
        <v>50</v>
      </c>
      <c r="B1060">
        <v>16</v>
      </c>
      <c r="C1060">
        <v>35000</v>
      </c>
      <c r="D1060" t="s">
        <v>71</v>
      </c>
      <c r="E1060" t="s">
        <v>74</v>
      </c>
      <c r="F1060" t="s">
        <v>78</v>
      </c>
    </row>
    <row r="1061" spans="1:6" x14ac:dyDescent="0.45">
      <c r="A1061">
        <v>45</v>
      </c>
      <c r="B1061">
        <v>16</v>
      </c>
      <c r="C1061">
        <v>35000</v>
      </c>
      <c r="D1061" t="s">
        <v>71</v>
      </c>
      <c r="E1061" t="s">
        <v>72</v>
      </c>
      <c r="F1061" t="s">
        <v>78</v>
      </c>
    </row>
    <row r="1062" spans="1:6" x14ac:dyDescent="0.45">
      <c r="A1062">
        <v>40</v>
      </c>
      <c r="B1062">
        <v>16</v>
      </c>
      <c r="C1062">
        <v>35000</v>
      </c>
      <c r="D1062" t="s">
        <v>71</v>
      </c>
      <c r="E1062" t="s">
        <v>72</v>
      </c>
      <c r="F1062" t="s">
        <v>78</v>
      </c>
    </row>
    <row r="1063" spans="1:6" x14ac:dyDescent="0.45">
      <c r="A1063">
        <v>0</v>
      </c>
      <c r="B1063">
        <v>16</v>
      </c>
      <c r="C1063">
        <v>35000</v>
      </c>
      <c r="D1063" t="s">
        <v>71</v>
      </c>
      <c r="E1063" t="s">
        <v>72</v>
      </c>
      <c r="F1063" t="s">
        <v>78</v>
      </c>
    </row>
    <row r="1064" spans="1:6" x14ac:dyDescent="0.45">
      <c r="A1064">
        <v>43</v>
      </c>
      <c r="B1064">
        <v>16</v>
      </c>
      <c r="C1064">
        <v>35000</v>
      </c>
      <c r="D1064" t="s">
        <v>71</v>
      </c>
      <c r="E1064" t="s">
        <v>74</v>
      </c>
      <c r="F1064" t="s">
        <v>78</v>
      </c>
    </row>
    <row r="1065" spans="1:6" x14ac:dyDescent="0.45">
      <c r="A1065">
        <v>40</v>
      </c>
      <c r="B1065">
        <v>16</v>
      </c>
      <c r="C1065">
        <v>35000</v>
      </c>
      <c r="D1065" t="s">
        <v>71</v>
      </c>
      <c r="E1065" t="s">
        <v>74</v>
      </c>
      <c r="F1065" t="s">
        <v>78</v>
      </c>
    </row>
    <row r="1066" spans="1:6" x14ac:dyDescent="0.45">
      <c r="A1066">
        <v>50</v>
      </c>
      <c r="B1066">
        <v>16</v>
      </c>
      <c r="C1066">
        <v>35000</v>
      </c>
      <c r="D1066" t="s">
        <v>76</v>
      </c>
      <c r="E1066" t="s">
        <v>74</v>
      </c>
      <c r="F1066" t="s">
        <v>78</v>
      </c>
    </row>
    <row r="1067" spans="1:6" x14ac:dyDescent="0.45">
      <c r="A1067">
        <v>40</v>
      </c>
      <c r="B1067">
        <v>16</v>
      </c>
      <c r="C1067">
        <v>35000</v>
      </c>
      <c r="D1067" t="s">
        <v>71</v>
      </c>
      <c r="E1067" t="s">
        <v>72</v>
      </c>
      <c r="F1067" t="s">
        <v>78</v>
      </c>
    </row>
    <row r="1068" spans="1:6" x14ac:dyDescent="0.45">
      <c r="A1068">
        <v>0</v>
      </c>
      <c r="B1068">
        <v>16</v>
      </c>
      <c r="C1068">
        <v>35000</v>
      </c>
      <c r="D1068" t="s">
        <v>71</v>
      </c>
      <c r="E1068" t="s">
        <v>72</v>
      </c>
      <c r="F1068" t="s">
        <v>78</v>
      </c>
    </row>
    <row r="1069" spans="1:6" x14ac:dyDescent="0.45">
      <c r="A1069">
        <v>80</v>
      </c>
      <c r="B1069">
        <v>16</v>
      </c>
      <c r="C1069">
        <v>35000</v>
      </c>
      <c r="D1069" t="s">
        <v>71</v>
      </c>
      <c r="E1069" t="s">
        <v>74</v>
      </c>
      <c r="F1069" t="s">
        <v>78</v>
      </c>
    </row>
    <row r="1070" spans="1:6" x14ac:dyDescent="0.45">
      <c r="A1070">
        <v>45</v>
      </c>
      <c r="B1070">
        <v>16</v>
      </c>
      <c r="C1070">
        <v>35000</v>
      </c>
      <c r="D1070" t="s">
        <v>71</v>
      </c>
      <c r="E1070" t="s">
        <v>74</v>
      </c>
      <c r="F1070" t="s">
        <v>78</v>
      </c>
    </row>
    <row r="1071" spans="1:6" x14ac:dyDescent="0.45">
      <c r="A1071">
        <v>45</v>
      </c>
      <c r="B1071">
        <v>16</v>
      </c>
      <c r="C1071">
        <v>35000</v>
      </c>
      <c r="D1071" t="s">
        <v>71</v>
      </c>
      <c r="E1071" t="s">
        <v>74</v>
      </c>
      <c r="F1071" t="s">
        <v>78</v>
      </c>
    </row>
    <row r="1072" spans="1:6" x14ac:dyDescent="0.45">
      <c r="A1072">
        <v>50</v>
      </c>
      <c r="B1072">
        <v>16</v>
      </c>
      <c r="C1072">
        <v>35000</v>
      </c>
      <c r="D1072" t="s">
        <v>71</v>
      </c>
      <c r="E1072" t="s">
        <v>72</v>
      </c>
      <c r="F1072" t="s">
        <v>78</v>
      </c>
    </row>
    <row r="1073" spans="1:6" x14ac:dyDescent="0.45">
      <c r="A1073">
        <v>42</v>
      </c>
      <c r="B1073">
        <v>16</v>
      </c>
      <c r="C1073">
        <v>35000</v>
      </c>
      <c r="D1073" t="s">
        <v>71</v>
      </c>
      <c r="E1073" t="s">
        <v>72</v>
      </c>
      <c r="F1073" t="s">
        <v>78</v>
      </c>
    </row>
    <row r="1074" spans="1:6" x14ac:dyDescent="0.45">
      <c r="A1074">
        <v>40</v>
      </c>
      <c r="B1074">
        <v>16</v>
      </c>
      <c r="C1074">
        <v>35000</v>
      </c>
      <c r="D1074" t="s">
        <v>71</v>
      </c>
      <c r="E1074" t="s">
        <v>72</v>
      </c>
      <c r="F1074" t="s">
        <v>78</v>
      </c>
    </row>
    <row r="1075" spans="1:6" x14ac:dyDescent="0.45">
      <c r="A1075">
        <v>60</v>
      </c>
      <c r="B1075">
        <v>16</v>
      </c>
      <c r="C1075">
        <v>35000</v>
      </c>
      <c r="D1075" t="s">
        <v>71</v>
      </c>
      <c r="E1075" t="s">
        <v>74</v>
      </c>
      <c r="F1075" t="s">
        <v>78</v>
      </c>
    </row>
    <row r="1076" spans="1:6" x14ac:dyDescent="0.45">
      <c r="A1076">
        <v>40</v>
      </c>
      <c r="B1076">
        <v>16</v>
      </c>
      <c r="C1076">
        <v>35300</v>
      </c>
      <c r="D1076" t="s">
        <v>71</v>
      </c>
      <c r="E1076" t="s">
        <v>74</v>
      </c>
      <c r="F1076" t="s">
        <v>78</v>
      </c>
    </row>
    <row r="1077" spans="1:6" x14ac:dyDescent="0.45">
      <c r="A1077">
        <v>46</v>
      </c>
      <c r="B1077">
        <v>16</v>
      </c>
      <c r="C1077">
        <v>35583</v>
      </c>
      <c r="D1077" t="s">
        <v>71</v>
      </c>
      <c r="E1077" t="s">
        <v>72</v>
      </c>
      <c r="F1077" t="s">
        <v>78</v>
      </c>
    </row>
    <row r="1078" spans="1:6" x14ac:dyDescent="0.45">
      <c r="A1078">
        <v>40</v>
      </c>
      <c r="B1078">
        <v>16</v>
      </c>
      <c r="C1078">
        <v>35600</v>
      </c>
      <c r="D1078" t="s">
        <v>71</v>
      </c>
      <c r="E1078" t="s">
        <v>74</v>
      </c>
      <c r="F1078" t="s">
        <v>78</v>
      </c>
    </row>
    <row r="1079" spans="1:6" x14ac:dyDescent="0.45">
      <c r="A1079">
        <v>50</v>
      </c>
      <c r="B1079">
        <v>16</v>
      </c>
      <c r="C1079">
        <v>35932</v>
      </c>
      <c r="D1079" t="s">
        <v>71</v>
      </c>
      <c r="E1079" t="s">
        <v>74</v>
      </c>
      <c r="F1079" t="s">
        <v>78</v>
      </c>
    </row>
    <row r="1080" spans="1:6" x14ac:dyDescent="0.45">
      <c r="A1080">
        <v>40</v>
      </c>
      <c r="B1080">
        <v>16</v>
      </c>
      <c r="C1080">
        <v>35999</v>
      </c>
      <c r="D1080" t="s">
        <v>71</v>
      </c>
      <c r="E1080" t="s">
        <v>72</v>
      </c>
      <c r="F1080" t="s">
        <v>78</v>
      </c>
    </row>
    <row r="1081" spans="1:6" x14ac:dyDescent="0.45">
      <c r="A1081">
        <v>40</v>
      </c>
      <c r="B1081">
        <v>16</v>
      </c>
      <c r="C1081">
        <v>36000</v>
      </c>
      <c r="D1081" t="s">
        <v>71</v>
      </c>
      <c r="E1081" t="s">
        <v>72</v>
      </c>
      <c r="F1081" t="s">
        <v>78</v>
      </c>
    </row>
    <row r="1082" spans="1:6" x14ac:dyDescent="0.45">
      <c r="A1082">
        <v>40</v>
      </c>
      <c r="B1082">
        <v>16</v>
      </c>
      <c r="C1082">
        <v>36000</v>
      </c>
      <c r="D1082" t="s">
        <v>75</v>
      </c>
      <c r="E1082" t="s">
        <v>74</v>
      </c>
      <c r="F1082" t="s">
        <v>78</v>
      </c>
    </row>
    <row r="1083" spans="1:6" x14ac:dyDescent="0.45">
      <c r="A1083">
        <v>45</v>
      </c>
      <c r="B1083">
        <v>16</v>
      </c>
      <c r="C1083">
        <v>36000</v>
      </c>
      <c r="D1083" t="s">
        <v>71</v>
      </c>
      <c r="E1083" t="s">
        <v>72</v>
      </c>
      <c r="F1083" t="s">
        <v>78</v>
      </c>
    </row>
    <row r="1084" spans="1:6" x14ac:dyDescent="0.45">
      <c r="A1084">
        <v>38</v>
      </c>
      <c r="B1084">
        <v>16</v>
      </c>
      <c r="C1084">
        <v>36000</v>
      </c>
      <c r="D1084" t="s">
        <v>71</v>
      </c>
      <c r="E1084" t="s">
        <v>72</v>
      </c>
      <c r="F1084" t="s">
        <v>78</v>
      </c>
    </row>
    <row r="1085" spans="1:6" x14ac:dyDescent="0.45">
      <c r="A1085">
        <v>40</v>
      </c>
      <c r="B1085">
        <v>16</v>
      </c>
      <c r="C1085">
        <v>36000</v>
      </c>
      <c r="D1085" t="s">
        <v>71</v>
      </c>
      <c r="E1085" t="s">
        <v>72</v>
      </c>
      <c r="F1085" t="s">
        <v>78</v>
      </c>
    </row>
    <row r="1086" spans="1:6" x14ac:dyDescent="0.45">
      <c r="A1086">
        <v>40</v>
      </c>
      <c r="B1086">
        <v>16</v>
      </c>
      <c r="C1086">
        <v>36000</v>
      </c>
      <c r="D1086" t="s">
        <v>71</v>
      </c>
      <c r="E1086" t="s">
        <v>72</v>
      </c>
      <c r="F1086" t="s">
        <v>78</v>
      </c>
    </row>
    <row r="1087" spans="1:6" x14ac:dyDescent="0.45">
      <c r="A1087">
        <v>45</v>
      </c>
      <c r="B1087">
        <v>16</v>
      </c>
      <c r="C1087">
        <v>36000</v>
      </c>
      <c r="D1087" t="s">
        <v>71</v>
      </c>
      <c r="E1087" t="s">
        <v>72</v>
      </c>
      <c r="F1087" t="s">
        <v>78</v>
      </c>
    </row>
    <row r="1088" spans="1:6" x14ac:dyDescent="0.45">
      <c r="A1088">
        <v>80</v>
      </c>
      <c r="B1088">
        <v>16</v>
      </c>
      <c r="C1088">
        <v>36000</v>
      </c>
      <c r="D1088" t="s">
        <v>71</v>
      </c>
      <c r="E1088" t="s">
        <v>74</v>
      </c>
      <c r="F1088" t="s">
        <v>78</v>
      </c>
    </row>
    <row r="1089" spans="1:6" x14ac:dyDescent="0.45">
      <c r="A1089">
        <v>40</v>
      </c>
      <c r="B1089">
        <v>16</v>
      </c>
      <c r="C1089">
        <v>36000</v>
      </c>
      <c r="D1089" t="s">
        <v>71</v>
      </c>
      <c r="E1089" t="s">
        <v>74</v>
      </c>
      <c r="F1089" t="s">
        <v>78</v>
      </c>
    </row>
    <row r="1090" spans="1:6" x14ac:dyDescent="0.45">
      <c r="A1090">
        <v>40</v>
      </c>
      <c r="B1090">
        <v>16</v>
      </c>
      <c r="C1090">
        <v>36000</v>
      </c>
      <c r="D1090" t="s">
        <v>71</v>
      </c>
      <c r="E1090" t="s">
        <v>72</v>
      </c>
      <c r="F1090" t="s">
        <v>78</v>
      </c>
    </row>
    <row r="1091" spans="1:6" x14ac:dyDescent="0.45">
      <c r="A1091">
        <v>50</v>
      </c>
      <c r="B1091">
        <v>16</v>
      </c>
      <c r="C1091">
        <v>36000</v>
      </c>
      <c r="D1091" t="s">
        <v>71</v>
      </c>
      <c r="E1091" t="s">
        <v>74</v>
      </c>
      <c r="F1091" t="s">
        <v>78</v>
      </c>
    </row>
    <row r="1092" spans="1:6" x14ac:dyDescent="0.45">
      <c r="A1092">
        <v>40</v>
      </c>
      <c r="B1092">
        <v>16</v>
      </c>
      <c r="C1092">
        <v>36000</v>
      </c>
      <c r="D1092" t="s">
        <v>71</v>
      </c>
      <c r="E1092" t="s">
        <v>74</v>
      </c>
      <c r="F1092" t="s">
        <v>78</v>
      </c>
    </row>
    <row r="1093" spans="1:6" x14ac:dyDescent="0.45">
      <c r="A1093">
        <v>45</v>
      </c>
      <c r="B1093">
        <v>16</v>
      </c>
      <c r="C1093">
        <v>36000</v>
      </c>
      <c r="D1093" t="s">
        <v>71</v>
      </c>
      <c r="E1093" t="s">
        <v>72</v>
      </c>
      <c r="F1093" t="s">
        <v>78</v>
      </c>
    </row>
    <row r="1094" spans="1:6" x14ac:dyDescent="0.45">
      <c r="A1094">
        <v>40</v>
      </c>
      <c r="B1094">
        <v>16</v>
      </c>
      <c r="C1094">
        <v>36000</v>
      </c>
      <c r="D1094" t="s">
        <v>71</v>
      </c>
      <c r="E1094" t="s">
        <v>72</v>
      </c>
      <c r="F1094" t="s">
        <v>78</v>
      </c>
    </row>
    <row r="1095" spans="1:6" x14ac:dyDescent="0.45">
      <c r="A1095">
        <v>45</v>
      </c>
      <c r="B1095">
        <v>16</v>
      </c>
      <c r="C1095">
        <v>36000</v>
      </c>
      <c r="D1095" t="s">
        <v>71</v>
      </c>
      <c r="E1095" t="s">
        <v>74</v>
      </c>
      <c r="F1095" t="s">
        <v>78</v>
      </c>
    </row>
    <row r="1096" spans="1:6" x14ac:dyDescent="0.45">
      <c r="A1096">
        <v>40</v>
      </c>
      <c r="B1096">
        <v>16</v>
      </c>
      <c r="C1096">
        <v>36400</v>
      </c>
      <c r="D1096" t="s">
        <v>71</v>
      </c>
      <c r="E1096" t="s">
        <v>74</v>
      </c>
      <c r="F1096" t="s">
        <v>78</v>
      </c>
    </row>
    <row r="1097" spans="1:6" x14ac:dyDescent="0.45">
      <c r="A1097">
        <v>60</v>
      </c>
      <c r="B1097">
        <v>16</v>
      </c>
      <c r="C1097">
        <v>36400</v>
      </c>
      <c r="D1097" t="s">
        <v>71</v>
      </c>
      <c r="E1097" t="s">
        <v>74</v>
      </c>
      <c r="F1097" t="s">
        <v>78</v>
      </c>
    </row>
    <row r="1098" spans="1:6" x14ac:dyDescent="0.45">
      <c r="A1098">
        <v>70</v>
      </c>
      <c r="B1098">
        <v>16</v>
      </c>
      <c r="C1098">
        <v>36500</v>
      </c>
      <c r="D1098" t="s">
        <v>71</v>
      </c>
      <c r="E1098" t="s">
        <v>74</v>
      </c>
      <c r="F1098" t="s">
        <v>78</v>
      </c>
    </row>
    <row r="1099" spans="1:6" x14ac:dyDescent="0.45">
      <c r="A1099">
        <v>38</v>
      </c>
      <c r="B1099">
        <v>16</v>
      </c>
      <c r="C1099">
        <v>36525</v>
      </c>
      <c r="D1099" t="s">
        <v>71</v>
      </c>
      <c r="E1099" t="s">
        <v>74</v>
      </c>
      <c r="F1099" t="s">
        <v>78</v>
      </c>
    </row>
    <row r="1100" spans="1:6" x14ac:dyDescent="0.45">
      <c r="A1100">
        <v>40</v>
      </c>
      <c r="B1100">
        <v>16</v>
      </c>
      <c r="C1100">
        <v>36800</v>
      </c>
      <c r="D1100" t="s">
        <v>71</v>
      </c>
      <c r="E1100" t="s">
        <v>72</v>
      </c>
      <c r="F1100" t="s">
        <v>78</v>
      </c>
    </row>
    <row r="1101" spans="1:6" x14ac:dyDescent="0.45">
      <c r="A1101">
        <v>40</v>
      </c>
      <c r="B1101">
        <v>16</v>
      </c>
      <c r="C1101">
        <v>37000</v>
      </c>
      <c r="D1101" t="s">
        <v>71</v>
      </c>
      <c r="E1101" t="s">
        <v>74</v>
      </c>
      <c r="F1101" t="s">
        <v>78</v>
      </c>
    </row>
    <row r="1102" spans="1:6" x14ac:dyDescent="0.45">
      <c r="A1102">
        <v>40</v>
      </c>
      <c r="B1102">
        <v>16</v>
      </c>
      <c r="C1102">
        <v>37000</v>
      </c>
      <c r="D1102" t="s">
        <v>71</v>
      </c>
      <c r="E1102" t="s">
        <v>74</v>
      </c>
      <c r="F1102" t="s">
        <v>78</v>
      </c>
    </row>
    <row r="1103" spans="1:6" x14ac:dyDescent="0.45">
      <c r="A1103">
        <v>50</v>
      </c>
      <c r="B1103">
        <v>16</v>
      </c>
      <c r="C1103">
        <v>37000</v>
      </c>
      <c r="D1103" t="s">
        <v>71</v>
      </c>
      <c r="E1103" t="s">
        <v>72</v>
      </c>
      <c r="F1103" t="s">
        <v>78</v>
      </c>
    </row>
    <row r="1104" spans="1:6" x14ac:dyDescent="0.45">
      <c r="A1104">
        <v>40</v>
      </c>
      <c r="B1104">
        <v>16</v>
      </c>
      <c r="C1104">
        <v>37000</v>
      </c>
      <c r="D1104" t="s">
        <v>71</v>
      </c>
      <c r="E1104" t="s">
        <v>72</v>
      </c>
      <c r="F1104" t="s">
        <v>78</v>
      </c>
    </row>
    <row r="1105" spans="1:6" x14ac:dyDescent="0.45">
      <c r="A1105">
        <v>40</v>
      </c>
      <c r="B1105">
        <v>16</v>
      </c>
      <c r="C1105">
        <v>37000</v>
      </c>
      <c r="D1105" t="s">
        <v>71</v>
      </c>
      <c r="E1105" t="s">
        <v>72</v>
      </c>
      <c r="F1105" t="s">
        <v>78</v>
      </c>
    </row>
    <row r="1106" spans="1:6" x14ac:dyDescent="0.45">
      <c r="A1106">
        <v>40</v>
      </c>
      <c r="B1106">
        <v>16</v>
      </c>
      <c r="C1106">
        <v>37000</v>
      </c>
      <c r="D1106" t="s">
        <v>71</v>
      </c>
      <c r="E1106" t="s">
        <v>72</v>
      </c>
      <c r="F1106" t="s">
        <v>78</v>
      </c>
    </row>
    <row r="1107" spans="1:6" x14ac:dyDescent="0.45">
      <c r="A1107">
        <v>50</v>
      </c>
      <c r="B1107">
        <v>16</v>
      </c>
      <c r="C1107">
        <v>37000</v>
      </c>
      <c r="D1107" t="s">
        <v>71</v>
      </c>
      <c r="E1107" t="s">
        <v>74</v>
      </c>
      <c r="F1107" t="s">
        <v>78</v>
      </c>
    </row>
    <row r="1108" spans="1:6" x14ac:dyDescent="0.45">
      <c r="A1108">
        <v>40</v>
      </c>
      <c r="B1108">
        <v>16</v>
      </c>
      <c r="C1108">
        <v>37000</v>
      </c>
      <c r="D1108" t="s">
        <v>71</v>
      </c>
      <c r="E1108" t="s">
        <v>74</v>
      </c>
      <c r="F1108" t="s">
        <v>78</v>
      </c>
    </row>
    <row r="1109" spans="1:6" x14ac:dyDescent="0.45">
      <c r="A1109">
        <v>40</v>
      </c>
      <c r="B1109">
        <v>16</v>
      </c>
      <c r="C1109">
        <v>37000</v>
      </c>
      <c r="D1109" t="s">
        <v>71</v>
      </c>
      <c r="E1109" t="s">
        <v>74</v>
      </c>
      <c r="F1109" t="s">
        <v>78</v>
      </c>
    </row>
    <row r="1110" spans="1:6" x14ac:dyDescent="0.45">
      <c r="A1110">
        <v>40</v>
      </c>
      <c r="B1110">
        <v>16</v>
      </c>
      <c r="C1110">
        <v>37000</v>
      </c>
      <c r="D1110" t="s">
        <v>71</v>
      </c>
      <c r="E1110" t="s">
        <v>72</v>
      </c>
      <c r="F1110" t="s">
        <v>78</v>
      </c>
    </row>
    <row r="1111" spans="1:6" x14ac:dyDescent="0.45">
      <c r="A1111">
        <v>50</v>
      </c>
      <c r="B1111">
        <v>16</v>
      </c>
      <c r="C1111">
        <v>37000</v>
      </c>
      <c r="D1111" t="s">
        <v>71</v>
      </c>
      <c r="E1111" t="s">
        <v>72</v>
      </c>
      <c r="F1111" t="s">
        <v>78</v>
      </c>
    </row>
    <row r="1112" spans="1:6" x14ac:dyDescent="0.45">
      <c r="A1112">
        <v>38</v>
      </c>
      <c r="B1112">
        <v>16</v>
      </c>
      <c r="C1112">
        <v>37000</v>
      </c>
      <c r="D1112" t="s">
        <v>71</v>
      </c>
      <c r="E1112" t="s">
        <v>72</v>
      </c>
      <c r="F1112" t="s">
        <v>78</v>
      </c>
    </row>
    <row r="1113" spans="1:6" x14ac:dyDescent="0.45">
      <c r="A1113">
        <v>40</v>
      </c>
      <c r="B1113">
        <v>16</v>
      </c>
      <c r="C1113">
        <v>37000</v>
      </c>
      <c r="D1113" t="s">
        <v>71</v>
      </c>
      <c r="E1113" t="s">
        <v>74</v>
      </c>
      <c r="F1113" t="s">
        <v>78</v>
      </c>
    </row>
    <row r="1114" spans="1:6" x14ac:dyDescent="0.45">
      <c r="A1114">
        <v>40</v>
      </c>
      <c r="B1114">
        <v>16</v>
      </c>
      <c r="C1114">
        <v>37200</v>
      </c>
      <c r="D1114" t="s">
        <v>71</v>
      </c>
      <c r="E1114" t="s">
        <v>74</v>
      </c>
      <c r="F1114" t="s">
        <v>78</v>
      </c>
    </row>
    <row r="1115" spans="1:6" x14ac:dyDescent="0.45">
      <c r="A1115">
        <v>50</v>
      </c>
      <c r="B1115">
        <v>16</v>
      </c>
      <c r="C1115">
        <v>37223</v>
      </c>
      <c r="D1115" t="s">
        <v>71</v>
      </c>
      <c r="E1115" t="s">
        <v>74</v>
      </c>
      <c r="F1115" t="s">
        <v>78</v>
      </c>
    </row>
    <row r="1116" spans="1:6" x14ac:dyDescent="0.45">
      <c r="A1116">
        <v>60</v>
      </c>
      <c r="B1116">
        <v>16</v>
      </c>
      <c r="C1116">
        <v>37500</v>
      </c>
      <c r="D1116" t="s">
        <v>71</v>
      </c>
      <c r="E1116" t="s">
        <v>72</v>
      </c>
      <c r="F1116" t="s">
        <v>78</v>
      </c>
    </row>
    <row r="1117" spans="1:6" x14ac:dyDescent="0.45">
      <c r="A1117">
        <v>55</v>
      </c>
      <c r="B1117">
        <v>16</v>
      </c>
      <c r="C1117">
        <v>37500</v>
      </c>
      <c r="D1117" t="s">
        <v>71</v>
      </c>
      <c r="E1117" t="s">
        <v>72</v>
      </c>
      <c r="F1117" t="s">
        <v>78</v>
      </c>
    </row>
    <row r="1118" spans="1:6" x14ac:dyDescent="0.45">
      <c r="A1118">
        <v>40</v>
      </c>
      <c r="B1118">
        <v>16</v>
      </c>
      <c r="C1118">
        <v>38000</v>
      </c>
      <c r="D1118" t="s">
        <v>71</v>
      </c>
      <c r="E1118" t="s">
        <v>72</v>
      </c>
      <c r="F1118" t="s">
        <v>78</v>
      </c>
    </row>
    <row r="1119" spans="1:6" x14ac:dyDescent="0.45">
      <c r="A1119">
        <v>42</v>
      </c>
      <c r="B1119">
        <v>16</v>
      </c>
      <c r="C1119">
        <v>38000</v>
      </c>
      <c r="D1119" t="s">
        <v>71</v>
      </c>
      <c r="E1119" t="s">
        <v>72</v>
      </c>
      <c r="F1119" t="s">
        <v>78</v>
      </c>
    </row>
    <row r="1120" spans="1:6" x14ac:dyDescent="0.45">
      <c r="A1120">
        <v>40</v>
      </c>
      <c r="B1120">
        <v>16</v>
      </c>
      <c r="C1120">
        <v>38000</v>
      </c>
      <c r="D1120" t="s">
        <v>76</v>
      </c>
      <c r="E1120" t="s">
        <v>72</v>
      </c>
      <c r="F1120" t="s">
        <v>78</v>
      </c>
    </row>
    <row r="1121" spans="1:6" x14ac:dyDescent="0.45">
      <c r="A1121">
        <v>40</v>
      </c>
      <c r="B1121">
        <v>16</v>
      </c>
      <c r="C1121">
        <v>38000</v>
      </c>
      <c r="D1121" t="s">
        <v>71</v>
      </c>
      <c r="E1121" t="s">
        <v>72</v>
      </c>
      <c r="F1121" t="s">
        <v>78</v>
      </c>
    </row>
    <row r="1122" spans="1:6" x14ac:dyDescent="0.45">
      <c r="A1122">
        <v>40</v>
      </c>
      <c r="B1122">
        <v>16</v>
      </c>
      <c r="C1122">
        <v>38000</v>
      </c>
      <c r="D1122" t="s">
        <v>71</v>
      </c>
      <c r="E1122" t="s">
        <v>74</v>
      </c>
      <c r="F1122" t="s">
        <v>78</v>
      </c>
    </row>
    <row r="1123" spans="1:6" x14ac:dyDescent="0.45">
      <c r="A1123">
        <v>64</v>
      </c>
      <c r="B1123">
        <v>16</v>
      </c>
      <c r="C1123">
        <v>38000</v>
      </c>
      <c r="D1123" t="s">
        <v>71</v>
      </c>
      <c r="E1123" t="s">
        <v>74</v>
      </c>
      <c r="F1123" t="s">
        <v>78</v>
      </c>
    </row>
    <row r="1124" spans="1:6" x14ac:dyDescent="0.45">
      <c r="A1124">
        <v>65</v>
      </c>
      <c r="B1124">
        <v>16</v>
      </c>
      <c r="C1124">
        <v>38000</v>
      </c>
      <c r="D1124" t="s">
        <v>76</v>
      </c>
      <c r="E1124" t="s">
        <v>72</v>
      </c>
      <c r="F1124" t="s">
        <v>78</v>
      </c>
    </row>
    <row r="1125" spans="1:6" x14ac:dyDescent="0.45">
      <c r="A1125">
        <v>40</v>
      </c>
      <c r="B1125">
        <v>16</v>
      </c>
      <c r="C1125">
        <v>38000</v>
      </c>
      <c r="D1125" t="s">
        <v>71</v>
      </c>
      <c r="E1125" t="s">
        <v>74</v>
      </c>
      <c r="F1125" t="s">
        <v>78</v>
      </c>
    </row>
    <row r="1126" spans="1:6" x14ac:dyDescent="0.45">
      <c r="A1126">
        <v>50</v>
      </c>
      <c r="B1126">
        <v>16</v>
      </c>
      <c r="C1126">
        <v>38000</v>
      </c>
      <c r="D1126" t="s">
        <v>71</v>
      </c>
      <c r="E1126" t="s">
        <v>72</v>
      </c>
      <c r="F1126" t="s">
        <v>78</v>
      </c>
    </row>
    <row r="1127" spans="1:6" x14ac:dyDescent="0.45">
      <c r="A1127">
        <v>40</v>
      </c>
      <c r="B1127">
        <v>16</v>
      </c>
      <c r="C1127">
        <v>38000</v>
      </c>
      <c r="D1127" t="s">
        <v>71</v>
      </c>
      <c r="E1127" t="s">
        <v>74</v>
      </c>
      <c r="F1127" t="s">
        <v>78</v>
      </c>
    </row>
    <row r="1128" spans="1:6" x14ac:dyDescent="0.45">
      <c r="A1128">
        <v>0</v>
      </c>
      <c r="B1128">
        <v>16</v>
      </c>
      <c r="C1128">
        <v>38000</v>
      </c>
      <c r="D1128" t="s">
        <v>76</v>
      </c>
      <c r="E1128" t="s">
        <v>72</v>
      </c>
      <c r="F1128" t="s">
        <v>78</v>
      </c>
    </row>
    <row r="1129" spans="1:6" x14ac:dyDescent="0.45">
      <c r="A1129">
        <v>0</v>
      </c>
      <c r="B1129">
        <v>16</v>
      </c>
      <c r="C1129">
        <v>38000</v>
      </c>
      <c r="D1129" t="s">
        <v>71</v>
      </c>
      <c r="E1129" t="s">
        <v>74</v>
      </c>
      <c r="F1129" t="s">
        <v>78</v>
      </c>
    </row>
    <row r="1130" spans="1:6" x14ac:dyDescent="0.45">
      <c r="A1130">
        <v>35</v>
      </c>
      <c r="B1130">
        <v>16</v>
      </c>
      <c r="C1130">
        <v>38000</v>
      </c>
      <c r="D1130" t="s">
        <v>76</v>
      </c>
      <c r="E1130" t="s">
        <v>72</v>
      </c>
      <c r="F1130" t="s">
        <v>78</v>
      </c>
    </row>
    <row r="1131" spans="1:6" x14ac:dyDescent="0.45">
      <c r="A1131">
        <v>45</v>
      </c>
      <c r="B1131">
        <v>16</v>
      </c>
      <c r="C1131">
        <v>38000</v>
      </c>
      <c r="D1131" t="s">
        <v>71</v>
      </c>
      <c r="E1131" t="s">
        <v>74</v>
      </c>
      <c r="F1131" t="s">
        <v>78</v>
      </c>
    </row>
    <row r="1132" spans="1:6" x14ac:dyDescent="0.45">
      <c r="A1132">
        <v>40</v>
      </c>
      <c r="B1132">
        <v>16</v>
      </c>
      <c r="C1132">
        <v>38041</v>
      </c>
      <c r="D1132" t="s">
        <v>71</v>
      </c>
      <c r="E1132" t="s">
        <v>74</v>
      </c>
      <c r="F1132" t="s">
        <v>78</v>
      </c>
    </row>
    <row r="1133" spans="1:6" x14ac:dyDescent="0.45">
      <c r="A1133">
        <v>45</v>
      </c>
      <c r="B1133">
        <v>16</v>
      </c>
      <c r="C1133">
        <v>38402</v>
      </c>
      <c r="D1133" t="s">
        <v>71</v>
      </c>
      <c r="E1133" t="s">
        <v>74</v>
      </c>
      <c r="F1133" t="s">
        <v>78</v>
      </c>
    </row>
    <row r="1134" spans="1:6" x14ac:dyDescent="0.45">
      <c r="A1134">
        <v>40</v>
      </c>
      <c r="B1134">
        <v>16</v>
      </c>
      <c r="C1134">
        <v>38500</v>
      </c>
      <c r="D1134" t="s">
        <v>71</v>
      </c>
      <c r="E1134" t="s">
        <v>72</v>
      </c>
      <c r="F1134" t="s">
        <v>78</v>
      </c>
    </row>
    <row r="1135" spans="1:6" x14ac:dyDescent="0.45">
      <c r="A1135">
        <v>43</v>
      </c>
      <c r="B1135">
        <v>16</v>
      </c>
      <c r="C1135">
        <v>38560</v>
      </c>
      <c r="D1135" t="s">
        <v>71</v>
      </c>
      <c r="E1135" t="s">
        <v>74</v>
      </c>
      <c r="F1135" t="s">
        <v>78</v>
      </c>
    </row>
    <row r="1136" spans="1:6" x14ac:dyDescent="0.45">
      <c r="A1136">
        <v>40</v>
      </c>
      <c r="B1136">
        <v>16</v>
      </c>
      <c r="C1136">
        <v>38587</v>
      </c>
      <c r="D1136" t="s">
        <v>71</v>
      </c>
      <c r="E1136" t="s">
        <v>72</v>
      </c>
      <c r="F1136" t="s">
        <v>78</v>
      </c>
    </row>
    <row r="1137" spans="1:6" x14ac:dyDescent="0.45">
      <c r="A1137">
        <v>50</v>
      </c>
      <c r="B1137">
        <v>16</v>
      </c>
      <c r="C1137">
        <v>39000</v>
      </c>
      <c r="D1137" t="s">
        <v>71</v>
      </c>
      <c r="E1137" t="s">
        <v>74</v>
      </c>
      <c r="F1137" t="s">
        <v>78</v>
      </c>
    </row>
    <row r="1138" spans="1:6" x14ac:dyDescent="0.45">
      <c r="A1138">
        <v>40</v>
      </c>
      <c r="B1138">
        <v>16</v>
      </c>
      <c r="C1138">
        <v>39000</v>
      </c>
      <c r="D1138" t="s">
        <v>71</v>
      </c>
      <c r="E1138" t="s">
        <v>74</v>
      </c>
      <c r="F1138" t="s">
        <v>78</v>
      </c>
    </row>
    <row r="1139" spans="1:6" x14ac:dyDescent="0.45">
      <c r="A1139">
        <v>40</v>
      </c>
      <c r="B1139">
        <v>16</v>
      </c>
      <c r="C1139">
        <v>39000</v>
      </c>
      <c r="D1139" t="s">
        <v>71</v>
      </c>
      <c r="E1139" t="s">
        <v>72</v>
      </c>
      <c r="F1139" t="s">
        <v>78</v>
      </c>
    </row>
    <row r="1140" spans="1:6" x14ac:dyDescent="0.45">
      <c r="A1140">
        <v>50</v>
      </c>
      <c r="B1140">
        <v>16</v>
      </c>
      <c r="C1140">
        <v>39000</v>
      </c>
      <c r="D1140" t="s">
        <v>71</v>
      </c>
      <c r="E1140" t="s">
        <v>72</v>
      </c>
      <c r="F1140" t="s">
        <v>78</v>
      </c>
    </row>
    <row r="1141" spans="1:6" x14ac:dyDescent="0.45">
      <c r="A1141">
        <v>40</v>
      </c>
      <c r="B1141">
        <v>16</v>
      </c>
      <c r="C1141">
        <v>39000</v>
      </c>
      <c r="D1141" t="s">
        <v>77</v>
      </c>
      <c r="E1141" t="s">
        <v>74</v>
      </c>
      <c r="F1141" t="s">
        <v>78</v>
      </c>
    </row>
    <row r="1142" spans="1:6" x14ac:dyDescent="0.45">
      <c r="A1142">
        <v>58</v>
      </c>
      <c r="B1142">
        <v>16</v>
      </c>
      <c r="C1142">
        <v>39000</v>
      </c>
      <c r="D1142" t="s">
        <v>71</v>
      </c>
      <c r="E1142" t="s">
        <v>72</v>
      </c>
      <c r="F1142" t="s">
        <v>78</v>
      </c>
    </row>
    <row r="1143" spans="1:6" x14ac:dyDescent="0.45">
      <c r="A1143">
        <v>60</v>
      </c>
      <c r="B1143">
        <v>16</v>
      </c>
      <c r="C1143">
        <v>39000</v>
      </c>
      <c r="D1143" t="s">
        <v>71</v>
      </c>
      <c r="E1143" t="s">
        <v>74</v>
      </c>
      <c r="F1143" t="s">
        <v>78</v>
      </c>
    </row>
    <row r="1144" spans="1:6" x14ac:dyDescent="0.45">
      <c r="A1144">
        <v>35</v>
      </c>
      <c r="B1144">
        <v>16</v>
      </c>
      <c r="C1144">
        <v>39500</v>
      </c>
      <c r="D1144" t="s">
        <v>71</v>
      </c>
      <c r="E1144" t="s">
        <v>72</v>
      </c>
      <c r="F1144" t="s">
        <v>78</v>
      </c>
    </row>
    <row r="1145" spans="1:6" x14ac:dyDescent="0.45">
      <c r="A1145">
        <v>40</v>
      </c>
      <c r="B1145">
        <v>16</v>
      </c>
      <c r="C1145">
        <v>40000</v>
      </c>
      <c r="D1145" t="s">
        <v>71</v>
      </c>
      <c r="E1145" t="s">
        <v>74</v>
      </c>
      <c r="F1145" t="s">
        <v>78</v>
      </c>
    </row>
    <row r="1146" spans="1:6" x14ac:dyDescent="0.45">
      <c r="A1146">
        <v>40</v>
      </c>
      <c r="B1146">
        <v>16</v>
      </c>
      <c r="C1146">
        <v>40000</v>
      </c>
      <c r="D1146" t="s">
        <v>71</v>
      </c>
      <c r="E1146" t="s">
        <v>74</v>
      </c>
      <c r="F1146" t="s">
        <v>78</v>
      </c>
    </row>
    <row r="1147" spans="1:6" x14ac:dyDescent="0.45">
      <c r="A1147">
        <v>40</v>
      </c>
      <c r="B1147">
        <v>16</v>
      </c>
      <c r="C1147">
        <v>40000</v>
      </c>
      <c r="D1147" t="s">
        <v>71</v>
      </c>
      <c r="E1147" t="s">
        <v>74</v>
      </c>
      <c r="F1147" t="s">
        <v>78</v>
      </c>
    </row>
    <row r="1148" spans="1:6" x14ac:dyDescent="0.45">
      <c r="A1148">
        <v>40</v>
      </c>
      <c r="B1148">
        <v>16</v>
      </c>
      <c r="C1148">
        <v>40000</v>
      </c>
      <c r="D1148" t="s">
        <v>71</v>
      </c>
      <c r="E1148" t="s">
        <v>74</v>
      </c>
      <c r="F1148" t="s">
        <v>78</v>
      </c>
    </row>
    <row r="1149" spans="1:6" x14ac:dyDescent="0.45">
      <c r="A1149">
        <v>40</v>
      </c>
      <c r="B1149">
        <v>16</v>
      </c>
      <c r="C1149">
        <v>40000</v>
      </c>
      <c r="D1149" t="s">
        <v>71</v>
      </c>
      <c r="E1149" t="s">
        <v>74</v>
      </c>
      <c r="F1149" t="s">
        <v>78</v>
      </c>
    </row>
    <row r="1150" spans="1:6" x14ac:dyDescent="0.45">
      <c r="A1150">
        <v>40</v>
      </c>
      <c r="B1150">
        <v>16</v>
      </c>
      <c r="C1150">
        <v>40000</v>
      </c>
      <c r="D1150" t="s">
        <v>76</v>
      </c>
      <c r="E1150" t="s">
        <v>72</v>
      </c>
      <c r="F1150" t="s">
        <v>78</v>
      </c>
    </row>
    <row r="1151" spans="1:6" x14ac:dyDescent="0.45">
      <c r="A1151">
        <v>40</v>
      </c>
      <c r="B1151">
        <v>16</v>
      </c>
      <c r="C1151">
        <v>40000</v>
      </c>
      <c r="D1151" t="s">
        <v>71</v>
      </c>
      <c r="E1151" t="s">
        <v>72</v>
      </c>
      <c r="F1151" t="s">
        <v>78</v>
      </c>
    </row>
    <row r="1152" spans="1:6" x14ac:dyDescent="0.45">
      <c r="A1152">
        <v>43</v>
      </c>
      <c r="B1152">
        <v>16</v>
      </c>
      <c r="C1152">
        <v>40000</v>
      </c>
      <c r="D1152" t="s">
        <v>71</v>
      </c>
      <c r="E1152" t="s">
        <v>72</v>
      </c>
      <c r="F1152" t="s">
        <v>78</v>
      </c>
    </row>
    <row r="1153" spans="1:6" x14ac:dyDescent="0.45">
      <c r="A1153">
        <v>40</v>
      </c>
      <c r="B1153">
        <v>16</v>
      </c>
      <c r="C1153">
        <v>40000</v>
      </c>
      <c r="D1153" t="s">
        <v>71</v>
      </c>
      <c r="E1153" t="s">
        <v>72</v>
      </c>
      <c r="F1153" t="s">
        <v>78</v>
      </c>
    </row>
    <row r="1154" spans="1:6" x14ac:dyDescent="0.45">
      <c r="A1154">
        <v>55</v>
      </c>
      <c r="B1154">
        <v>16</v>
      </c>
      <c r="C1154">
        <v>40000</v>
      </c>
      <c r="D1154" t="s">
        <v>71</v>
      </c>
      <c r="E1154" t="s">
        <v>74</v>
      </c>
      <c r="F1154" t="s">
        <v>78</v>
      </c>
    </row>
    <row r="1155" spans="1:6" x14ac:dyDescent="0.45">
      <c r="A1155">
        <v>60</v>
      </c>
      <c r="B1155">
        <v>16</v>
      </c>
      <c r="C1155">
        <v>40000</v>
      </c>
      <c r="D1155" t="s">
        <v>71</v>
      </c>
      <c r="E1155" t="s">
        <v>74</v>
      </c>
      <c r="F1155" t="s">
        <v>78</v>
      </c>
    </row>
    <row r="1156" spans="1:6" x14ac:dyDescent="0.45">
      <c r="A1156">
        <v>0</v>
      </c>
      <c r="B1156">
        <v>16</v>
      </c>
      <c r="C1156">
        <v>40000</v>
      </c>
      <c r="D1156" t="s">
        <v>71</v>
      </c>
      <c r="E1156" t="s">
        <v>74</v>
      </c>
      <c r="F1156" t="s">
        <v>78</v>
      </c>
    </row>
    <row r="1157" spans="1:6" x14ac:dyDescent="0.45">
      <c r="A1157">
        <v>50</v>
      </c>
      <c r="B1157">
        <v>16</v>
      </c>
      <c r="C1157">
        <v>40000</v>
      </c>
      <c r="D1157" t="s">
        <v>71</v>
      </c>
      <c r="E1157" t="s">
        <v>74</v>
      </c>
      <c r="F1157" t="s">
        <v>78</v>
      </c>
    </row>
    <row r="1158" spans="1:6" x14ac:dyDescent="0.45">
      <c r="A1158">
        <v>40</v>
      </c>
      <c r="B1158">
        <v>16</v>
      </c>
      <c r="C1158">
        <v>40000</v>
      </c>
      <c r="D1158" t="s">
        <v>75</v>
      </c>
      <c r="E1158" t="s">
        <v>72</v>
      </c>
      <c r="F1158" t="s">
        <v>78</v>
      </c>
    </row>
    <row r="1159" spans="1:6" x14ac:dyDescent="0.45">
      <c r="A1159">
        <v>40</v>
      </c>
      <c r="B1159">
        <v>16</v>
      </c>
      <c r="C1159">
        <v>40000</v>
      </c>
      <c r="D1159" t="s">
        <v>71</v>
      </c>
      <c r="E1159" t="s">
        <v>74</v>
      </c>
      <c r="F1159" t="s">
        <v>78</v>
      </c>
    </row>
    <row r="1160" spans="1:6" x14ac:dyDescent="0.45">
      <c r="A1160">
        <v>40</v>
      </c>
      <c r="B1160">
        <v>16</v>
      </c>
      <c r="C1160">
        <v>40000</v>
      </c>
      <c r="D1160" t="s">
        <v>71</v>
      </c>
      <c r="E1160" t="s">
        <v>72</v>
      </c>
      <c r="F1160" t="s">
        <v>78</v>
      </c>
    </row>
    <row r="1161" spans="1:6" x14ac:dyDescent="0.45">
      <c r="A1161">
        <v>40</v>
      </c>
      <c r="B1161">
        <v>16</v>
      </c>
      <c r="C1161">
        <v>40000</v>
      </c>
      <c r="D1161" t="s">
        <v>76</v>
      </c>
      <c r="E1161" t="s">
        <v>74</v>
      </c>
      <c r="F1161" t="s">
        <v>78</v>
      </c>
    </row>
    <row r="1162" spans="1:6" x14ac:dyDescent="0.45">
      <c r="A1162">
        <v>40</v>
      </c>
      <c r="B1162">
        <v>16</v>
      </c>
      <c r="C1162">
        <v>40000</v>
      </c>
      <c r="D1162" t="s">
        <v>71</v>
      </c>
      <c r="E1162" t="s">
        <v>72</v>
      </c>
      <c r="F1162" t="s">
        <v>78</v>
      </c>
    </row>
    <row r="1163" spans="1:6" x14ac:dyDescent="0.45">
      <c r="A1163">
        <v>50</v>
      </c>
      <c r="B1163">
        <v>16</v>
      </c>
      <c r="C1163">
        <v>40000</v>
      </c>
      <c r="D1163" t="s">
        <v>71</v>
      </c>
      <c r="E1163" t="s">
        <v>74</v>
      </c>
      <c r="F1163" t="s">
        <v>78</v>
      </c>
    </row>
    <row r="1164" spans="1:6" x14ac:dyDescent="0.45">
      <c r="A1164">
        <v>40</v>
      </c>
      <c r="B1164">
        <v>16</v>
      </c>
      <c r="C1164">
        <v>40000</v>
      </c>
      <c r="D1164" t="s">
        <v>71</v>
      </c>
      <c r="E1164" t="s">
        <v>72</v>
      </c>
      <c r="F1164" t="s">
        <v>78</v>
      </c>
    </row>
    <row r="1165" spans="1:6" x14ac:dyDescent="0.45">
      <c r="A1165">
        <v>40</v>
      </c>
      <c r="B1165">
        <v>16</v>
      </c>
      <c r="C1165">
        <v>40000</v>
      </c>
      <c r="D1165" t="s">
        <v>76</v>
      </c>
      <c r="E1165" t="s">
        <v>74</v>
      </c>
      <c r="F1165" t="s">
        <v>78</v>
      </c>
    </row>
    <row r="1166" spans="1:6" x14ac:dyDescent="0.45">
      <c r="A1166">
        <v>40</v>
      </c>
      <c r="B1166">
        <v>16</v>
      </c>
      <c r="C1166">
        <v>40000</v>
      </c>
      <c r="D1166" t="s">
        <v>75</v>
      </c>
      <c r="E1166" t="s">
        <v>74</v>
      </c>
      <c r="F1166" t="s">
        <v>78</v>
      </c>
    </row>
    <row r="1167" spans="1:6" x14ac:dyDescent="0.45">
      <c r="A1167">
        <v>37</v>
      </c>
      <c r="B1167">
        <v>16</v>
      </c>
      <c r="C1167">
        <v>40000</v>
      </c>
      <c r="D1167" t="s">
        <v>71</v>
      </c>
      <c r="E1167" t="s">
        <v>72</v>
      </c>
      <c r="F1167" t="s">
        <v>78</v>
      </c>
    </row>
    <row r="1168" spans="1:6" x14ac:dyDescent="0.45">
      <c r="A1168">
        <v>40</v>
      </c>
      <c r="B1168">
        <v>16</v>
      </c>
      <c r="C1168">
        <v>40000</v>
      </c>
      <c r="D1168" t="s">
        <v>71</v>
      </c>
      <c r="E1168" t="s">
        <v>74</v>
      </c>
      <c r="F1168" t="s">
        <v>78</v>
      </c>
    </row>
    <row r="1169" spans="1:6" x14ac:dyDescent="0.45">
      <c r="A1169">
        <v>40</v>
      </c>
      <c r="B1169">
        <v>16</v>
      </c>
      <c r="C1169">
        <v>40000</v>
      </c>
      <c r="D1169" t="s">
        <v>71</v>
      </c>
      <c r="E1169" t="s">
        <v>72</v>
      </c>
      <c r="F1169" t="s">
        <v>78</v>
      </c>
    </row>
    <row r="1170" spans="1:6" x14ac:dyDescent="0.45">
      <c r="A1170">
        <v>40</v>
      </c>
      <c r="B1170">
        <v>16</v>
      </c>
      <c r="C1170">
        <v>40000</v>
      </c>
      <c r="D1170" t="s">
        <v>71</v>
      </c>
      <c r="E1170" t="s">
        <v>72</v>
      </c>
      <c r="F1170" t="s">
        <v>78</v>
      </c>
    </row>
    <row r="1171" spans="1:6" x14ac:dyDescent="0.45">
      <c r="A1171">
        <v>40</v>
      </c>
      <c r="B1171">
        <v>16</v>
      </c>
      <c r="C1171">
        <v>40000</v>
      </c>
      <c r="D1171" t="s">
        <v>71</v>
      </c>
      <c r="E1171" t="s">
        <v>72</v>
      </c>
      <c r="F1171" t="s">
        <v>78</v>
      </c>
    </row>
    <row r="1172" spans="1:6" x14ac:dyDescent="0.45">
      <c r="A1172">
        <v>40</v>
      </c>
      <c r="B1172">
        <v>16</v>
      </c>
      <c r="C1172">
        <v>40000</v>
      </c>
      <c r="D1172" t="s">
        <v>71</v>
      </c>
      <c r="E1172" t="s">
        <v>72</v>
      </c>
      <c r="F1172" t="s">
        <v>78</v>
      </c>
    </row>
    <row r="1173" spans="1:6" x14ac:dyDescent="0.45">
      <c r="A1173">
        <v>40</v>
      </c>
      <c r="B1173">
        <v>16</v>
      </c>
      <c r="C1173">
        <v>40000</v>
      </c>
      <c r="D1173" t="s">
        <v>71</v>
      </c>
      <c r="E1173" t="s">
        <v>74</v>
      </c>
      <c r="F1173" t="s">
        <v>78</v>
      </c>
    </row>
    <row r="1174" spans="1:6" x14ac:dyDescent="0.45">
      <c r="A1174">
        <v>40</v>
      </c>
      <c r="B1174">
        <v>16</v>
      </c>
      <c r="C1174">
        <v>40000</v>
      </c>
      <c r="D1174" t="s">
        <v>71</v>
      </c>
      <c r="E1174" t="s">
        <v>72</v>
      </c>
      <c r="F1174" t="s">
        <v>78</v>
      </c>
    </row>
    <row r="1175" spans="1:6" x14ac:dyDescent="0.45">
      <c r="A1175">
        <v>35</v>
      </c>
      <c r="B1175">
        <v>16</v>
      </c>
      <c r="C1175">
        <v>40000</v>
      </c>
      <c r="D1175" t="s">
        <v>71</v>
      </c>
      <c r="E1175" t="s">
        <v>72</v>
      </c>
      <c r="F1175" t="s">
        <v>78</v>
      </c>
    </row>
    <row r="1176" spans="1:6" x14ac:dyDescent="0.45">
      <c r="A1176">
        <v>40</v>
      </c>
      <c r="B1176">
        <v>16</v>
      </c>
      <c r="C1176">
        <v>40000</v>
      </c>
      <c r="D1176" t="s">
        <v>71</v>
      </c>
      <c r="E1176" t="s">
        <v>74</v>
      </c>
      <c r="F1176" t="s">
        <v>78</v>
      </c>
    </row>
    <row r="1177" spans="1:6" x14ac:dyDescent="0.45">
      <c r="A1177">
        <v>0</v>
      </c>
      <c r="B1177">
        <v>16</v>
      </c>
      <c r="C1177">
        <v>40000</v>
      </c>
      <c r="D1177" t="s">
        <v>71</v>
      </c>
      <c r="E1177" t="s">
        <v>74</v>
      </c>
      <c r="F1177" t="s">
        <v>78</v>
      </c>
    </row>
    <row r="1178" spans="1:6" x14ac:dyDescent="0.45">
      <c r="A1178">
        <v>40</v>
      </c>
      <c r="B1178">
        <v>16</v>
      </c>
      <c r="C1178">
        <v>40000</v>
      </c>
      <c r="D1178" t="s">
        <v>71</v>
      </c>
      <c r="E1178" t="s">
        <v>72</v>
      </c>
      <c r="F1178" t="s">
        <v>78</v>
      </c>
    </row>
    <row r="1179" spans="1:6" x14ac:dyDescent="0.45">
      <c r="A1179">
        <v>40</v>
      </c>
      <c r="B1179">
        <v>16</v>
      </c>
      <c r="C1179">
        <v>40000</v>
      </c>
      <c r="D1179" t="s">
        <v>71</v>
      </c>
      <c r="E1179" t="s">
        <v>72</v>
      </c>
      <c r="F1179" t="s">
        <v>78</v>
      </c>
    </row>
    <row r="1180" spans="1:6" x14ac:dyDescent="0.45">
      <c r="A1180">
        <v>40</v>
      </c>
      <c r="B1180">
        <v>16</v>
      </c>
      <c r="C1180">
        <v>40000</v>
      </c>
      <c r="D1180" t="s">
        <v>76</v>
      </c>
      <c r="E1180" t="s">
        <v>72</v>
      </c>
      <c r="F1180" t="s">
        <v>78</v>
      </c>
    </row>
    <row r="1181" spans="1:6" x14ac:dyDescent="0.45">
      <c r="A1181">
        <v>40</v>
      </c>
      <c r="B1181">
        <v>16</v>
      </c>
      <c r="C1181">
        <v>40000</v>
      </c>
      <c r="D1181" t="s">
        <v>71</v>
      </c>
      <c r="E1181" t="s">
        <v>72</v>
      </c>
      <c r="F1181" t="s">
        <v>78</v>
      </c>
    </row>
    <row r="1182" spans="1:6" x14ac:dyDescent="0.45">
      <c r="A1182">
        <v>40</v>
      </c>
      <c r="B1182">
        <v>16</v>
      </c>
      <c r="C1182">
        <v>40000</v>
      </c>
      <c r="D1182" t="s">
        <v>71</v>
      </c>
      <c r="E1182" t="s">
        <v>72</v>
      </c>
      <c r="F1182" t="s">
        <v>78</v>
      </c>
    </row>
    <row r="1183" spans="1:6" x14ac:dyDescent="0.45">
      <c r="A1183">
        <v>55</v>
      </c>
      <c r="B1183">
        <v>16</v>
      </c>
      <c r="C1183">
        <v>40000</v>
      </c>
      <c r="D1183" t="s">
        <v>71</v>
      </c>
      <c r="E1183" t="s">
        <v>74</v>
      </c>
      <c r="F1183" t="s">
        <v>78</v>
      </c>
    </row>
    <row r="1184" spans="1:6" x14ac:dyDescent="0.45">
      <c r="A1184">
        <v>40</v>
      </c>
      <c r="B1184">
        <v>16</v>
      </c>
      <c r="C1184">
        <v>40000</v>
      </c>
      <c r="D1184" t="s">
        <v>71</v>
      </c>
      <c r="E1184" t="s">
        <v>74</v>
      </c>
      <c r="F1184" t="s">
        <v>78</v>
      </c>
    </row>
    <row r="1185" spans="1:6" x14ac:dyDescent="0.45">
      <c r="A1185">
        <v>0</v>
      </c>
      <c r="B1185">
        <v>16</v>
      </c>
      <c r="C1185">
        <v>40000</v>
      </c>
      <c r="D1185" t="s">
        <v>71</v>
      </c>
      <c r="E1185" t="s">
        <v>74</v>
      </c>
      <c r="F1185" t="s">
        <v>78</v>
      </c>
    </row>
    <row r="1186" spans="1:6" x14ac:dyDescent="0.45">
      <c r="A1186">
        <v>60</v>
      </c>
      <c r="B1186">
        <v>16</v>
      </c>
      <c r="C1186">
        <v>40000</v>
      </c>
      <c r="D1186" t="s">
        <v>71</v>
      </c>
      <c r="E1186" t="s">
        <v>72</v>
      </c>
      <c r="F1186" t="s">
        <v>78</v>
      </c>
    </row>
    <row r="1187" spans="1:6" x14ac:dyDescent="0.45">
      <c r="A1187">
        <v>40</v>
      </c>
      <c r="B1187">
        <v>16</v>
      </c>
      <c r="C1187">
        <v>40773</v>
      </c>
      <c r="D1187" t="s">
        <v>71</v>
      </c>
      <c r="E1187" t="s">
        <v>74</v>
      </c>
      <c r="F1187" t="s">
        <v>78</v>
      </c>
    </row>
    <row r="1188" spans="1:6" x14ac:dyDescent="0.45">
      <c r="A1188">
        <v>40</v>
      </c>
      <c r="B1188">
        <v>16</v>
      </c>
      <c r="C1188">
        <v>40800</v>
      </c>
      <c r="D1188" t="s">
        <v>71</v>
      </c>
      <c r="E1188" t="s">
        <v>74</v>
      </c>
      <c r="F1188" t="s">
        <v>78</v>
      </c>
    </row>
    <row r="1189" spans="1:6" x14ac:dyDescent="0.45">
      <c r="A1189">
        <v>60</v>
      </c>
      <c r="B1189">
        <v>16</v>
      </c>
      <c r="C1189">
        <v>41000</v>
      </c>
      <c r="D1189" t="s">
        <v>71</v>
      </c>
      <c r="E1189" t="s">
        <v>74</v>
      </c>
      <c r="F1189" t="s">
        <v>78</v>
      </c>
    </row>
    <row r="1190" spans="1:6" x14ac:dyDescent="0.45">
      <c r="A1190">
        <v>50</v>
      </c>
      <c r="B1190">
        <v>16</v>
      </c>
      <c r="C1190">
        <v>41000</v>
      </c>
      <c r="D1190" t="s">
        <v>71</v>
      </c>
      <c r="E1190" t="s">
        <v>74</v>
      </c>
      <c r="F1190" t="s">
        <v>78</v>
      </c>
    </row>
    <row r="1191" spans="1:6" x14ac:dyDescent="0.45">
      <c r="A1191">
        <v>40</v>
      </c>
      <c r="B1191">
        <v>16</v>
      </c>
      <c r="C1191">
        <v>41000</v>
      </c>
      <c r="D1191" t="s">
        <v>71</v>
      </c>
      <c r="E1191" t="s">
        <v>74</v>
      </c>
      <c r="F1191" t="s">
        <v>78</v>
      </c>
    </row>
    <row r="1192" spans="1:6" x14ac:dyDescent="0.45">
      <c r="A1192">
        <v>0</v>
      </c>
      <c r="B1192">
        <v>16</v>
      </c>
      <c r="C1192">
        <v>41000</v>
      </c>
      <c r="D1192" t="s">
        <v>71</v>
      </c>
      <c r="E1192" t="s">
        <v>72</v>
      </c>
      <c r="F1192" t="s">
        <v>78</v>
      </c>
    </row>
    <row r="1193" spans="1:6" x14ac:dyDescent="0.45">
      <c r="A1193">
        <v>40</v>
      </c>
      <c r="B1193">
        <v>16</v>
      </c>
      <c r="C1193">
        <v>41000</v>
      </c>
      <c r="D1193" t="s">
        <v>71</v>
      </c>
      <c r="E1193" t="s">
        <v>74</v>
      </c>
      <c r="F1193" t="s">
        <v>78</v>
      </c>
    </row>
    <row r="1194" spans="1:6" x14ac:dyDescent="0.45">
      <c r="A1194">
        <v>40</v>
      </c>
      <c r="B1194">
        <v>16</v>
      </c>
      <c r="C1194">
        <v>41000</v>
      </c>
      <c r="D1194" t="s">
        <v>71</v>
      </c>
      <c r="E1194" t="s">
        <v>72</v>
      </c>
      <c r="F1194" t="s">
        <v>78</v>
      </c>
    </row>
    <row r="1195" spans="1:6" x14ac:dyDescent="0.45">
      <c r="A1195">
        <v>44</v>
      </c>
      <c r="B1195">
        <v>16</v>
      </c>
      <c r="C1195">
        <v>41000</v>
      </c>
      <c r="D1195" t="s">
        <v>71</v>
      </c>
      <c r="E1195" t="s">
        <v>72</v>
      </c>
      <c r="F1195" t="s">
        <v>78</v>
      </c>
    </row>
    <row r="1196" spans="1:6" x14ac:dyDescent="0.45">
      <c r="A1196">
        <v>40</v>
      </c>
      <c r="B1196">
        <v>16</v>
      </c>
      <c r="C1196">
        <v>41111</v>
      </c>
      <c r="D1196" t="s">
        <v>71</v>
      </c>
      <c r="E1196" t="s">
        <v>74</v>
      </c>
      <c r="F1196" t="s">
        <v>78</v>
      </c>
    </row>
    <row r="1197" spans="1:6" x14ac:dyDescent="0.45">
      <c r="A1197">
        <v>40</v>
      </c>
      <c r="B1197">
        <v>16</v>
      </c>
      <c r="C1197">
        <v>41392</v>
      </c>
      <c r="D1197" t="s">
        <v>71</v>
      </c>
      <c r="E1197" t="s">
        <v>74</v>
      </c>
      <c r="F1197" t="s">
        <v>78</v>
      </c>
    </row>
    <row r="1198" spans="1:6" x14ac:dyDescent="0.45">
      <c r="A1198">
        <v>36</v>
      </c>
      <c r="B1198">
        <v>16</v>
      </c>
      <c r="C1198">
        <v>41500</v>
      </c>
      <c r="D1198" t="s">
        <v>71</v>
      </c>
      <c r="E1198" t="s">
        <v>72</v>
      </c>
      <c r="F1198" t="s">
        <v>78</v>
      </c>
    </row>
    <row r="1199" spans="1:6" x14ac:dyDescent="0.45">
      <c r="A1199">
        <v>40</v>
      </c>
      <c r="B1199">
        <v>16</v>
      </c>
      <c r="C1199">
        <v>41500</v>
      </c>
      <c r="D1199" t="s">
        <v>71</v>
      </c>
      <c r="E1199" t="s">
        <v>72</v>
      </c>
      <c r="F1199" t="s">
        <v>78</v>
      </c>
    </row>
    <row r="1200" spans="1:6" x14ac:dyDescent="0.45">
      <c r="A1200">
        <v>40</v>
      </c>
      <c r="B1200">
        <v>16</v>
      </c>
      <c r="C1200">
        <v>41912</v>
      </c>
      <c r="D1200" t="s">
        <v>71</v>
      </c>
      <c r="E1200" t="s">
        <v>72</v>
      </c>
      <c r="F1200" t="s">
        <v>78</v>
      </c>
    </row>
    <row r="1201" spans="1:6" x14ac:dyDescent="0.45">
      <c r="A1201">
        <v>40</v>
      </c>
      <c r="B1201">
        <v>16</v>
      </c>
      <c r="C1201">
        <v>42000</v>
      </c>
      <c r="D1201" t="s">
        <v>71</v>
      </c>
      <c r="E1201" t="s">
        <v>74</v>
      </c>
      <c r="F1201" t="s">
        <v>78</v>
      </c>
    </row>
    <row r="1202" spans="1:6" x14ac:dyDescent="0.45">
      <c r="A1202">
        <v>40</v>
      </c>
      <c r="B1202">
        <v>16</v>
      </c>
      <c r="C1202">
        <v>42000</v>
      </c>
      <c r="D1202" t="s">
        <v>71</v>
      </c>
      <c r="E1202" t="s">
        <v>72</v>
      </c>
      <c r="F1202" t="s">
        <v>78</v>
      </c>
    </row>
    <row r="1203" spans="1:6" x14ac:dyDescent="0.45">
      <c r="A1203">
        <v>40</v>
      </c>
      <c r="B1203">
        <v>16</v>
      </c>
      <c r="C1203">
        <v>42000</v>
      </c>
      <c r="D1203" t="s">
        <v>71</v>
      </c>
      <c r="E1203" t="s">
        <v>72</v>
      </c>
      <c r="F1203" t="s">
        <v>78</v>
      </c>
    </row>
    <row r="1204" spans="1:6" x14ac:dyDescent="0.45">
      <c r="A1204">
        <v>57</v>
      </c>
      <c r="B1204">
        <v>16</v>
      </c>
      <c r="C1204">
        <v>42000</v>
      </c>
      <c r="D1204" t="s">
        <v>71</v>
      </c>
      <c r="E1204" t="s">
        <v>74</v>
      </c>
      <c r="F1204" t="s">
        <v>78</v>
      </c>
    </row>
    <row r="1205" spans="1:6" x14ac:dyDescent="0.45">
      <c r="A1205">
        <v>40</v>
      </c>
      <c r="B1205">
        <v>16</v>
      </c>
      <c r="C1205">
        <v>42000</v>
      </c>
      <c r="D1205" t="s">
        <v>71</v>
      </c>
      <c r="E1205" t="s">
        <v>74</v>
      </c>
      <c r="F1205" t="s">
        <v>78</v>
      </c>
    </row>
    <row r="1206" spans="1:6" x14ac:dyDescent="0.45">
      <c r="A1206">
        <v>45</v>
      </c>
      <c r="B1206">
        <v>16</v>
      </c>
      <c r="C1206">
        <v>42000</v>
      </c>
      <c r="D1206" t="s">
        <v>71</v>
      </c>
      <c r="E1206" t="s">
        <v>74</v>
      </c>
      <c r="F1206" t="s">
        <v>78</v>
      </c>
    </row>
    <row r="1207" spans="1:6" x14ac:dyDescent="0.45">
      <c r="A1207">
        <v>40</v>
      </c>
      <c r="B1207">
        <v>16</v>
      </c>
      <c r="C1207">
        <v>42000</v>
      </c>
      <c r="D1207" t="s">
        <v>71</v>
      </c>
      <c r="E1207" t="s">
        <v>72</v>
      </c>
      <c r="F1207" t="s">
        <v>78</v>
      </c>
    </row>
    <row r="1208" spans="1:6" x14ac:dyDescent="0.45">
      <c r="A1208">
        <v>40</v>
      </c>
      <c r="B1208">
        <v>16</v>
      </c>
      <c r="C1208">
        <v>42000</v>
      </c>
      <c r="D1208" t="s">
        <v>76</v>
      </c>
      <c r="E1208" t="s">
        <v>72</v>
      </c>
      <c r="F1208" t="s">
        <v>78</v>
      </c>
    </row>
    <row r="1209" spans="1:6" x14ac:dyDescent="0.45">
      <c r="A1209">
        <v>50</v>
      </c>
      <c r="B1209">
        <v>16</v>
      </c>
      <c r="C1209">
        <v>42000</v>
      </c>
      <c r="D1209" t="s">
        <v>71</v>
      </c>
      <c r="E1209" t="s">
        <v>74</v>
      </c>
      <c r="F1209" t="s">
        <v>78</v>
      </c>
    </row>
    <row r="1210" spans="1:6" x14ac:dyDescent="0.45">
      <c r="A1210">
        <v>60</v>
      </c>
      <c r="B1210">
        <v>16</v>
      </c>
      <c r="C1210">
        <v>42000</v>
      </c>
      <c r="D1210" t="s">
        <v>71</v>
      </c>
      <c r="E1210" t="s">
        <v>72</v>
      </c>
      <c r="F1210" t="s">
        <v>78</v>
      </c>
    </row>
    <row r="1211" spans="1:6" x14ac:dyDescent="0.45">
      <c r="A1211">
        <v>60</v>
      </c>
      <c r="B1211">
        <v>16</v>
      </c>
      <c r="C1211">
        <v>42000</v>
      </c>
      <c r="D1211" t="s">
        <v>71</v>
      </c>
      <c r="E1211" t="s">
        <v>74</v>
      </c>
      <c r="F1211" t="s">
        <v>78</v>
      </c>
    </row>
    <row r="1212" spans="1:6" x14ac:dyDescent="0.45">
      <c r="A1212">
        <v>50</v>
      </c>
      <c r="B1212">
        <v>16</v>
      </c>
      <c r="C1212">
        <v>42000</v>
      </c>
      <c r="D1212" t="s">
        <v>71</v>
      </c>
      <c r="E1212" t="s">
        <v>74</v>
      </c>
      <c r="F1212" t="s">
        <v>78</v>
      </c>
    </row>
    <row r="1213" spans="1:6" x14ac:dyDescent="0.45">
      <c r="A1213">
        <v>40</v>
      </c>
      <c r="B1213">
        <v>16</v>
      </c>
      <c r="C1213">
        <v>42000</v>
      </c>
      <c r="D1213" t="s">
        <v>71</v>
      </c>
      <c r="E1213" t="s">
        <v>72</v>
      </c>
      <c r="F1213" t="s">
        <v>78</v>
      </c>
    </row>
    <row r="1214" spans="1:6" x14ac:dyDescent="0.45">
      <c r="A1214">
        <v>50</v>
      </c>
      <c r="B1214">
        <v>16</v>
      </c>
      <c r="C1214">
        <v>42000</v>
      </c>
      <c r="D1214" t="s">
        <v>71</v>
      </c>
      <c r="E1214" t="s">
        <v>72</v>
      </c>
      <c r="F1214" t="s">
        <v>78</v>
      </c>
    </row>
    <row r="1215" spans="1:6" x14ac:dyDescent="0.45">
      <c r="A1215">
        <v>45</v>
      </c>
      <c r="B1215">
        <v>16</v>
      </c>
      <c r="C1215">
        <v>42000</v>
      </c>
      <c r="D1215" t="s">
        <v>71</v>
      </c>
      <c r="E1215" t="s">
        <v>74</v>
      </c>
      <c r="F1215" t="s">
        <v>78</v>
      </c>
    </row>
    <row r="1216" spans="1:6" x14ac:dyDescent="0.45">
      <c r="A1216">
        <v>40</v>
      </c>
      <c r="B1216">
        <v>16</v>
      </c>
      <c r="C1216">
        <v>42344</v>
      </c>
      <c r="D1216" t="s">
        <v>71</v>
      </c>
      <c r="E1216" t="s">
        <v>72</v>
      </c>
      <c r="F1216" t="s">
        <v>78</v>
      </c>
    </row>
    <row r="1217" spans="1:6" x14ac:dyDescent="0.45">
      <c r="A1217">
        <v>50</v>
      </c>
      <c r="B1217">
        <v>16</v>
      </c>
      <c r="C1217">
        <v>42400</v>
      </c>
      <c r="D1217" t="s">
        <v>71</v>
      </c>
      <c r="E1217" t="s">
        <v>72</v>
      </c>
      <c r="F1217" t="s">
        <v>78</v>
      </c>
    </row>
    <row r="1218" spans="1:6" x14ac:dyDescent="0.45">
      <c r="A1218">
        <v>40</v>
      </c>
      <c r="B1218">
        <v>16</v>
      </c>
      <c r="C1218">
        <v>42500</v>
      </c>
      <c r="D1218" t="s">
        <v>71</v>
      </c>
      <c r="E1218" t="s">
        <v>74</v>
      </c>
      <c r="F1218" t="s">
        <v>78</v>
      </c>
    </row>
    <row r="1219" spans="1:6" x14ac:dyDescent="0.45">
      <c r="A1219">
        <v>40</v>
      </c>
      <c r="B1219">
        <v>16</v>
      </c>
      <c r="C1219">
        <v>42500</v>
      </c>
      <c r="D1219" t="s">
        <v>71</v>
      </c>
      <c r="E1219" t="s">
        <v>74</v>
      </c>
      <c r="F1219" t="s">
        <v>78</v>
      </c>
    </row>
    <row r="1220" spans="1:6" x14ac:dyDescent="0.45">
      <c r="A1220">
        <v>40</v>
      </c>
      <c r="B1220">
        <v>16</v>
      </c>
      <c r="C1220">
        <v>43000</v>
      </c>
      <c r="D1220" t="s">
        <v>71</v>
      </c>
      <c r="E1220" t="s">
        <v>72</v>
      </c>
      <c r="F1220" t="s">
        <v>78</v>
      </c>
    </row>
    <row r="1221" spans="1:6" x14ac:dyDescent="0.45">
      <c r="A1221">
        <v>65</v>
      </c>
      <c r="B1221">
        <v>16</v>
      </c>
      <c r="C1221">
        <v>43000</v>
      </c>
      <c r="D1221" t="s">
        <v>71</v>
      </c>
      <c r="E1221" t="s">
        <v>74</v>
      </c>
      <c r="F1221" t="s">
        <v>78</v>
      </c>
    </row>
    <row r="1222" spans="1:6" x14ac:dyDescent="0.45">
      <c r="A1222">
        <v>40</v>
      </c>
      <c r="B1222">
        <v>16</v>
      </c>
      <c r="C1222">
        <v>43000</v>
      </c>
      <c r="D1222" t="s">
        <v>71</v>
      </c>
      <c r="E1222" t="s">
        <v>72</v>
      </c>
      <c r="F1222" t="s">
        <v>78</v>
      </c>
    </row>
    <row r="1223" spans="1:6" x14ac:dyDescent="0.45">
      <c r="A1223">
        <v>40</v>
      </c>
      <c r="B1223">
        <v>16</v>
      </c>
      <c r="C1223">
        <v>43000</v>
      </c>
      <c r="D1223" t="s">
        <v>71</v>
      </c>
      <c r="E1223" t="s">
        <v>74</v>
      </c>
      <c r="F1223" t="s">
        <v>78</v>
      </c>
    </row>
    <row r="1224" spans="1:6" x14ac:dyDescent="0.45">
      <c r="A1224">
        <v>50</v>
      </c>
      <c r="B1224">
        <v>16</v>
      </c>
      <c r="C1224">
        <v>43000</v>
      </c>
      <c r="D1224" t="s">
        <v>71</v>
      </c>
      <c r="E1224" t="s">
        <v>72</v>
      </c>
      <c r="F1224" t="s">
        <v>78</v>
      </c>
    </row>
    <row r="1225" spans="1:6" x14ac:dyDescent="0.45">
      <c r="A1225">
        <v>38</v>
      </c>
      <c r="B1225">
        <v>16</v>
      </c>
      <c r="C1225">
        <v>43000</v>
      </c>
      <c r="D1225" t="s">
        <v>76</v>
      </c>
      <c r="E1225" t="s">
        <v>72</v>
      </c>
      <c r="F1225" t="s">
        <v>78</v>
      </c>
    </row>
    <row r="1226" spans="1:6" x14ac:dyDescent="0.45">
      <c r="A1226">
        <v>40</v>
      </c>
      <c r="B1226">
        <v>16</v>
      </c>
      <c r="C1226">
        <v>43000</v>
      </c>
      <c r="D1226" t="s">
        <v>71</v>
      </c>
      <c r="E1226" t="s">
        <v>72</v>
      </c>
      <c r="F1226" t="s">
        <v>78</v>
      </c>
    </row>
    <row r="1227" spans="1:6" x14ac:dyDescent="0.45">
      <c r="A1227">
        <v>40</v>
      </c>
      <c r="B1227">
        <v>16</v>
      </c>
      <c r="C1227">
        <v>43000</v>
      </c>
      <c r="D1227" t="s">
        <v>71</v>
      </c>
      <c r="E1227" t="s">
        <v>72</v>
      </c>
      <c r="F1227" t="s">
        <v>78</v>
      </c>
    </row>
    <row r="1228" spans="1:6" x14ac:dyDescent="0.45">
      <c r="A1228">
        <v>40</v>
      </c>
      <c r="B1228">
        <v>16</v>
      </c>
      <c r="C1228">
        <v>43000</v>
      </c>
      <c r="D1228" t="s">
        <v>71</v>
      </c>
      <c r="E1228" t="s">
        <v>72</v>
      </c>
      <c r="F1228" t="s">
        <v>78</v>
      </c>
    </row>
    <row r="1229" spans="1:6" x14ac:dyDescent="0.45">
      <c r="A1229">
        <v>40</v>
      </c>
      <c r="B1229">
        <v>16</v>
      </c>
      <c r="C1229">
        <v>43000</v>
      </c>
      <c r="D1229" t="s">
        <v>71</v>
      </c>
      <c r="E1229" t="s">
        <v>74</v>
      </c>
      <c r="F1229" t="s">
        <v>78</v>
      </c>
    </row>
    <row r="1230" spans="1:6" x14ac:dyDescent="0.45">
      <c r="A1230">
        <v>40</v>
      </c>
      <c r="B1230">
        <v>16</v>
      </c>
      <c r="C1230">
        <v>44000</v>
      </c>
      <c r="D1230" t="s">
        <v>76</v>
      </c>
      <c r="E1230" t="s">
        <v>74</v>
      </c>
      <c r="F1230" t="s">
        <v>78</v>
      </c>
    </row>
    <row r="1231" spans="1:6" x14ac:dyDescent="0.45">
      <c r="A1231">
        <v>0</v>
      </c>
      <c r="B1231">
        <v>16</v>
      </c>
      <c r="C1231">
        <v>44000</v>
      </c>
      <c r="D1231" t="s">
        <v>76</v>
      </c>
      <c r="E1231" t="s">
        <v>74</v>
      </c>
      <c r="F1231" t="s">
        <v>78</v>
      </c>
    </row>
    <row r="1232" spans="1:6" x14ac:dyDescent="0.45">
      <c r="A1232">
        <v>35</v>
      </c>
      <c r="B1232">
        <v>16</v>
      </c>
      <c r="C1232">
        <v>44000</v>
      </c>
      <c r="D1232" t="s">
        <v>71</v>
      </c>
      <c r="E1232" t="s">
        <v>72</v>
      </c>
      <c r="F1232" t="s">
        <v>78</v>
      </c>
    </row>
    <row r="1233" spans="1:6" x14ac:dyDescent="0.45">
      <c r="A1233">
        <v>55</v>
      </c>
      <c r="B1233">
        <v>16</v>
      </c>
      <c r="C1233">
        <v>44000</v>
      </c>
      <c r="D1233" t="s">
        <v>71</v>
      </c>
      <c r="E1233" t="s">
        <v>74</v>
      </c>
      <c r="F1233" t="s">
        <v>78</v>
      </c>
    </row>
    <row r="1234" spans="1:6" x14ac:dyDescent="0.45">
      <c r="A1234">
        <v>50</v>
      </c>
      <c r="B1234">
        <v>16</v>
      </c>
      <c r="C1234">
        <v>44000</v>
      </c>
      <c r="D1234" t="s">
        <v>71</v>
      </c>
      <c r="E1234" t="s">
        <v>72</v>
      </c>
      <c r="F1234" t="s">
        <v>78</v>
      </c>
    </row>
    <row r="1235" spans="1:6" x14ac:dyDescent="0.45">
      <c r="A1235">
        <v>44</v>
      </c>
      <c r="B1235">
        <v>16</v>
      </c>
      <c r="C1235">
        <v>44000</v>
      </c>
      <c r="D1235" t="s">
        <v>71</v>
      </c>
      <c r="E1235" t="s">
        <v>72</v>
      </c>
      <c r="F1235" t="s">
        <v>78</v>
      </c>
    </row>
    <row r="1236" spans="1:6" x14ac:dyDescent="0.45">
      <c r="A1236">
        <v>0</v>
      </c>
      <c r="B1236">
        <v>16</v>
      </c>
      <c r="C1236">
        <v>44000</v>
      </c>
      <c r="D1236" t="s">
        <v>71</v>
      </c>
      <c r="E1236" t="s">
        <v>74</v>
      </c>
      <c r="F1236" t="s">
        <v>78</v>
      </c>
    </row>
    <row r="1237" spans="1:6" x14ac:dyDescent="0.45">
      <c r="A1237">
        <v>55</v>
      </c>
      <c r="B1237">
        <v>16</v>
      </c>
      <c r="C1237">
        <v>44000</v>
      </c>
      <c r="D1237" t="s">
        <v>71</v>
      </c>
      <c r="E1237" t="s">
        <v>72</v>
      </c>
      <c r="F1237" t="s">
        <v>78</v>
      </c>
    </row>
    <row r="1238" spans="1:6" x14ac:dyDescent="0.45">
      <c r="A1238">
        <v>40</v>
      </c>
      <c r="B1238">
        <v>16</v>
      </c>
      <c r="C1238">
        <v>44307</v>
      </c>
      <c r="D1238" t="s">
        <v>71</v>
      </c>
      <c r="E1238" t="s">
        <v>74</v>
      </c>
      <c r="F1238" t="s">
        <v>78</v>
      </c>
    </row>
    <row r="1239" spans="1:6" x14ac:dyDescent="0.45">
      <c r="A1239">
        <v>40</v>
      </c>
      <c r="B1239">
        <v>16</v>
      </c>
      <c r="C1239">
        <v>44651</v>
      </c>
      <c r="D1239" t="s">
        <v>71</v>
      </c>
      <c r="E1239" t="s">
        <v>72</v>
      </c>
      <c r="F1239" t="s">
        <v>78</v>
      </c>
    </row>
    <row r="1240" spans="1:6" x14ac:dyDescent="0.45">
      <c r="A1240">
        <v>55</v>
      </c>
      <c r="B1240">
        <v>16</v>
      </c>
      <c r="C1240">
        <v>44850</v>
      </c>
      <c r="D1240" t="s">
        <v>76</v>
      </c>
      <c r="E1240" t="s">
        <v>74</v>
      </c>
      <c r="F1240" t="s">
        <v>78</v>
      </c>
    </row>
    <row r="1241" spans="1:6" x14ac:dyDescent="0.45">
      <c r="A1241">
        <v>60</v>
      </c>
      <c r="B1241">
        <v>16</v>
      </c>
      <c r="C1241">
        <v>44850</v>
      </c>
      <c r="D1241" t="s">
        <v>71</v>
      </c>
      <c r="E1241" t="s">
        <v>74</v>
      </c>
      <c r="F1241" t="s">
        <v>78</v>
      </c>
    </row>
    <row r="1242" spans="1:6" x14ac:dyDescent="0.45">
      <c r="A1242">
        <v>40</v>
      </c>
      <c r="B1242">
        <v>16</v>
      </c>
      <c r="C1242">
        <v>44880</v>
      </c>
      <c r="D1242" t="s">
        <v>71</v>
      </c>
      <c r="E1242" t="s">
        <v>74</v>
      </c>
      <c r="F1242" t="s">
        <v>78</v>
      </c>
    </row>
    <row r="1243" spans="1:6" x14ac:dyDescent="0.45">
      <c r="A1243">
        <v>55</v>
      </c>
      <c r="B1243">
        <v>16</v>
      </c>
      <c r="C1243">
        <v>45000</v>
      </c>
      <c r="D1243" t="s">
        <v>71</v>
      </c>
      <c r="E1243" t="s">
        <v>74</v>
      </c>
      <c r="F1243" t="s">
        <v>78</v>
      </c>
    </row>
    <row r="1244" spans="1:6" x14ac:dyDescent="0.45">
      <c r="A1244">
        <v>40</v>
      </c>
      <c r="B1244">
        <v>16</v>
      </c>
      <c r="C1244">
        <v>45000</v>
      </c>
      <c r="D1244" t="s">
        <v>71</v>
      </c>
      <c r="E1244" t="s">
        <v>74</v>
      </c>
      <c r="F1244" t="s">
        <v>78</v>
      </c>
    </row>
    <row r="1245" spans="1:6" x14ac:dyDescent="0.45">
      <c r="A1245">
        <v>0</v>
      </c>
      <c r="B1245">
        <v>16</v>
      </c>
      <c r="C1245">
        <v>45000</v>
      </c>
      <c r="D1245" t="s">
        <v>71</v>
      </c>
      <c r="E1245" t="s">
        <v>74</v>
      </c>
      <c r="F1245" t="s">
        <v>78</v>
      </c>
    </row>
    <row r="1246" spans="1:6" x14ac:dyDescent="0.45">
      <c r="A1246">
        <v>45</v>
      </c>
      <c r="B1246">
        <v>16</v>
      </c>
      <c r="C1246">
        <v>45000</v>
      </c>
      <c r="D1246" t="s">
        <v>71</v>
      </c>
      <c r="E1246" t="s">
        <v>72</v>
      </c>
      <c r="F1246" t="s">
        <v>78</v>
      </c>
    </row>
    <row r="1247" spans="1:6" x14ac:dyDescent="0.45">
      <c r="A1247">
        <v>40</v>
      </c>
      <c r="B1247">
        <v>16</v>
      </c>
      <c r="C1247">
        <v>45000</v>
      </c>
      <c r="D1247" t="s">
        <v>71</v>
      </c>
      <c r="E1247" t="s">
        <v>74</v>
      </c>
      <c r="F1247" t="s">
        <v>78</v>
      </c>
    </row>
    <row r="1248" spans="1:6" x14ac:dyDescent="0.45">
      <c r="A1248">
        <v>50</v>
      </c>
      <c r="B1248">
        <v>16</v>
      </c>
      <c r="C1248">
        <v>45000</v>
      </c>
      <c r="D1248" t="s">
        <v>71</v>
      </c>
      <c r="E1248" t="s">
        <v>72</v>
      </c>
      <c r="F1248" t="s">
        <v>78</v>
      </c>
    </row>
    <row r="1249" spans="1:6" x14ac:dyDescent="0.45">
      <c r="A1249">
        <v>40</v>
      </c>
      <c r="B1249">
        <v>16</v>
      </c>
      <c r="C1249">
        <v>45000</v>
      </c>
      <c r="D1249" t="s">
        <v>75</v>
      </c>
      <c r="E1249" t="s">
        <v>74</v>
      </c>
      <c r="F1249" t="s">
        <v>78</v>
      </c>
    </row>
    <row r="1250" spans="1:6" x14ac:dyDescent="0.45">
      <c r="A1250">
        <v>45</v>
      </c>
      <c r="B1250">
        <v>16</v>
      </c>
      <c r="C1250">
        <v>45000</v>
      </c>
      <c r="D1250" t="s">
        <v>71</v>
      </c>
      <c r="E1250" t="s">
        <v>74</v>
      </c>
      <c r="F1250" t="s">
        <v>78</v>
      </c>
    </row>
    <row r="1251" spans="1:6" x14ac:dyDescent="0.45">
      <c r="A1251">
        <v>52</v>
      </c>
      <c r="B1251">
        <v>16</v>
      </c>
      <c r="C1251">
        <v>45000</v>
      </c>
      <c r="D1251" t="s">
        <v>71</v>
      </c>
      <c r="E1251" t="s">
        <v>74</v>
      </c>
      <c r="F1251" t="s">
        <v>78</v>
      </c>
    </row>
    <row r="1252" spans="1:6" x14ac:dyDescent="0.45">
      <c r="A1252">
        <v>36</v>
      </c>
      <c r="B1252">
        <v>16</v>
      </c>
      <c r="C1252">
        <v>45000</v>
      </c>
      <c r="D1252" t="s">
        <v>71</v>
      </c>
      <c r="E1252" t="s">
        <v>72</v>
      </c>
      <c r="F1252" t="s">
        <v>78</v>
      </c>
    </row>
    <row r="1253" spans="1:6" x14ac:dyDescent="0.45">
      <c r="A1253">
        <v>50</v>
      </c>
      <c r="B1253">
        <v>16</v>
      </c>
      <c r="C1253">
        <v>45000</v>
      </c>
      <c r="D1253" t="s">
        <v>71</v>
      </c>
      <c r="E1253" t="s">
        <v>72</v>
      </c>
      <c r="F1253" t="s">
        <v>78</v>
      </c>
    </row>
    <row r="1254" spans="1:6" x14ac:dyDescent="0.45">
      <c r="A1254">
        <v>44</v>
      </c>
      <c r="B1254">
        <v>16</v>
      </c>
      <c r="C1254">
        <v>45000</v>
      </c>
      <c r="D1254" t="s">
        <v>71</v>
      </c>
      <c r="E1254" t="s">
        <v>74</v>
      </c>
      <c r="F1254" t="s">
        <v>78</v>
      </c>
    </row>
    <row r="1255" spans="1:6" x14ac:dyDescent="0.45">
      <c r="A1255">
        <v>48</v>
      </c>
      <c r="B1255">
        <v>16</v>
      </c>
      <c r="C1255">
        <v>45000</v>
      </c>
      <c r="D1255" t="s">
        <v>71</v>
      </c>
      <c r="E1255" t="s">
        <v>74</v>
      </c>
      <c r="F1255" t="s">
        <v>78</v>
      </c>
    </row>
    <row r="1256" spans="1:6" x14ac:dyDescent="0.45">
      <c r="A1256">
        <v>40</v>
      </c>
      <c r="B1256">
        <v>16</v>
      </c>
      <c r="C1256">
        <v>45000</v>
      </c>
      <c r="D1256" t="s">
        <v>76</v>
      </c>
      <c r="E1256" t="s">
        <v>72</v>
      </c>
      <c r="F1256" t="s">
        <v>78</v>
      </c>
    </row>
    <row r="1257" spans="1:6" x14ac:dyDescent="0.45">
      <c r="A1257">
        <v>50</v>
      </c>
      <c r="B1257">
        <v>16</v>
      </c>
      <c r="C1257">
        <v>45000</v>
      </c>
      <c r="D1257" t="s">
        <v>71</v>
      </c>
      <c r="E1257" t="s">
        <v>74</v>
      </c>
      <c r="F1257" t="s">
        <v>78</v>
      </c>
    </row>
    <row r="1258" spans="1:6" x14ac:dyDescent="0.45">
      <c r="A1258">
        <v>40</v>
      </c>
      <c r="B1258">
        <v>16</v>
      </c>
      <c r="C1258">
        <v>45000</v>
      </c>
      <c r="D1258" t="s">
        <v>76</v>
      </c>
      <c r="E1258" t="s">
        <v>72</v>
      </c>
      <c r="F1258" t="s">
        <v>78</v>
      </c>
    </row>
    <row r="1259" spans="1:6" x14ac:dyDescent="0.45">
      <c r="A1259">
        <v>40</v>
      </c>
      <c r="B1259">
        <v>16</v>
      </c>
      <c r="C1259">
        <v>45000</v>
      </c>
      <c r="D1259" t="s">
        <v>76</v>
      </c>
      <c r="E1259" t="s">
        <v>74</v>
      </c>
      <c r="F1259" t="s">
        <v>78</v>
      </c>
    </row>
    <row r="1260" spans="1:6" x14ac:dyDescent="0.45">
      <c r="A1260">
        <v>43</v>
      </c>
      <c r="B1260">
        <v>16</v>
      </c>
      <c r="C1260">
        <v>45000</v>
      </c>
      <c r="D1260" t="s">
        <v>71</v>
      </c>
      <c r="E1260" t="s">
        <v>72</v>
      </c>
      <c r="F1260" t="s">
        <v>78</v>
      </c>
    </row>
    <row r="1261" spans="1:6" x14ac:dyDescent="0.45">
      <c r="A1261">
        <v>45</v>
      </c>
      <c r="B1261">
        <v>16</v>
      </c>
      <c r="C1261">
        <v>45000</v>
      </c>
      <c r="D1261" t="s">
        <v>71</v>
      </c>
      <c r="E1261" t="s">
        <v>74</v>
      </c>
      <c r="F1261" t="s">
        <v>78</v>
      </c>
    </row>
    <row r="1262" spans="1:6" x14ac:dyDescent="0.45">
      <c r="A1262">
        <v>45</v>
      </c>
      <c r="B1262">
        <v>16</v>
      </c>
      <c r="C1262">
        <v>45000</v>
      </c>
      <c r="D1262" t="s">
        <v>71</v>
      </c>
      <c r="E1262" t="s">
        <v>72</v>
      </c>
      <c r="F1262" t="s">
        <v>78</v>
      </c>
    </row>
    <row r="1263" spans="1:6" x14ac:dyDescent="0.45">
      <c r="A1263">
        <v>40</v>
      </c>
      <c r="B1263">
        <v>16</v>
      </c>
      <c r="C1263">
        <v>45000</v>
      </c>
      <c r="D1263" t="s">
        <v>71</v>
      </c>
      <c r="E1263" t="s">
        <v>74</v>
      </c>
      <c r="F1263" t="s">
        <v>78</v>
      </c>
    </row>
    <row r="1264" spans="1:6" x14ac:dyDescent="0.45">
      <c r="A1264">
        <v>50</v>
      </c>
      <c r="B1264">
        <v>16</v>
      </c>
      <c r="C1264">
        <v>45900</v>
      </c>
      <c r="D1264" t="s">
        <v>71</v>
      </c>
      <c r="E1264" t="s">
        <v>74</v>
      </c>
      <c r="F1264" t="s">
        <v>78</v>
      </c>
    </row>
    <row r="1265" spans="1:6" x14ac:dyDescent="0.45">
      <c r="A1265">
        <v>40</v>
      </c>
      <c r="B1265">
        <v>16</v>
      </c>
      <c r="C1265">
        <v>46000</v>
      </c>
      <c r="D1265" t="s">
        <v>71</v>
      </c>
      <c r="E1265" t="s">
        <v>74</v>
      </c>
      <c r="F1265" t="s">
        <v>78</v>
      </c>
    </row>
    <row r="1266" spans="1:6" x14ac:dyDescent="0.45">
      <c r="A1266">
        <v>60</v>
      </c>
      <c r="B1266">
        <v>16</v>
      </c>
      <c r="C1266">
        <v>46000</v>
      </c>
      <c r="D1266" t="s">
        <v>71</v>
      </c>
      <c r="E1266" t="s">
        <v>74</v>
      </c>
      <c r="F1266" t="s">
        <v>78</v>
      </c>
    </row>
    <row r="1267" spans="1:6" x14ac:dyDescent="0.45">
      <c r="A1267">
        <v>50</v>
      </c>
      <c r="B1267">
        <v>16</v>
      </c>
      <c r="C1267">
        <v>46000</v>
      </c>
      <c r="D1267" t="s">
        <v>71</v>
      </c>
      <c r="E1267" t="s">
        <v>74</v>
      </c>
      <c r="F1267" t="s">
        <v>78</v>
      </c>
    </row>
    <row r="1268" spans="1:6" x14ac:dyDescent="0.45">
      <c r="A1268">
        <v>40</v>
      </c>
      <c r="B1268">
        <v>16</v>
      </c>
      <c r="C1268">
        <v>46000</v>
      </c>
      <c r="D1268" t="s">
        <v>71</v>
      </c>
      <c r="E1268" t="s">
        <v>72</v>
      </c>
      <c r="F1268" t="s">
        <v>78</v>
      </c>
    </row>
    <row r="1269" spans="1:6" x14ac:dyDescent="0.45">
      <c r="A1269">
        <v>85</v>
      </c>
      <c r="B1269">
        <v>16</v>
      </c>
      <c r="C1269">
        <v>46000</v>
      </c>
      <c r="D1269" t="s">
        <v>71</v>
      </c>
      <c r="E1269" t="s">
        <v>74</v>
      </c>
      <c r="F1269" t="s">
        <v>78</v>
      </c>
    </row>
    <row r="1270" spans="1:6" x14ac:dyDescent="0.45">
      <c r="A1270">
        <v>40</v>
      </c>
      <c r="B1270">
        <v>16</v>
      </c>
      <c r="C1270">
        <v>46000</v>
      </c>
      <c r="D1270" t="s">
        <v>71</v>
      </c>
      <c r="E1270" t="s">
        <v>72</v>
      </c>
      <c r="F1270" t="s">
        <v>78</v>
      </c>
    </row>
    <row r="1271" spans="1:6" x14ac:dyDescent="0.45">
      <c r="A1271">
        <v>40</v>
      </c>
      <c r="B1271">
        <v>16</v>
      </c>
      <c r="C1271">
        <v>46000</v>
      </c>
      <c r="D1271" t="s">
        <v>71</v>
      </c>
      <c r="E1271" t="s">
        <v>72</v>
      </c>
      <c r="F1271" t="s">
        <v>78</v>
      </c>
    </row>
    <row r="1272" spans="1:6" x14ac:dyDescent="0.45">
      <c r="A1272">
        <v>47</v>
      </c>
      <c r="B1272">
        <v>16</v>
      </c>
      <c r="C1272">
        <v>46200</v>
      </c>
      <c r="D1272" t="s">
        <v>71</v>
      </c>
      <c r="E1272" t="s">
        <v>74</v>
      </c>
      <c r="F1272" t="s">
        <v>78</v>
      </c>
    </row>
    <row r="1273" spans="1:6" x14ac:dyDescent="0.45">
      <c r="A1273">
        <v>40</v>
      </c>
      <c r="B1273">
        <v>16</v>
      </c>
      <c r="C1273">
        <v>46500</v>
      </c>
      <c r="D1273" t="s">
        <v>71</v>
      </c>
      <c r="E1273" t="s">
        <v>74</v>
      </c>
      <c r="F1273" t="s">
        <v>78</v>
      </c>
    </row>
    <row r="1274" spans="1:6" x14ac:dyDescent="0.45">
      <c r="A1274">
        <v>40</v>
      </c>
      <c r="B1274">
        <v>16</v>
      </c>
      <c r="C1274">
        <v>46747</v>
      </c>
      <c r="D1274" t="s">
        <v>71</v>
      </c>
      <c r="E1274" t="s">
        <v>74</v>
      </c>
      <c r="F1274" t="s">
        <v>78</v>
      </c>
    </row>
    <row r="1275" spans="1:6" x14ac:dyDescent="0.45">
      <c r="A1275">
        <v>40</v>
      </c>
      <c r="B1275">
        <v>16</v>
      </c>
      <c r="C1275">
        <v>46800</v>
      </c>
      <c r="D1275" t="s">
        <v>71</v>
      </c>
      <c r="E1275" t="s">
        <v>74</v>
      </c>
      <c r="F1275" t="s">
        <v>78</v>
      </c>
    </row>
    <row r="1276" spans="1:6" x14ac:dyDescent="0.45">
      <c r="A1276">
        <v>50</v>
      </c>
      <c r="B1276">
        <v>16</v>
      </c>
      <c r="C1276">
        <v>47000</v>
      </c>
      <c r="D1276" t="s">
        <v>71</v>
      </c>
      <c r="E1276" t="s">
        <v>72</v>
      </c>
      <c r="F1276" t="s">
        <v>78</v>
      </c>
    </row>
    <row r="1277" spans="1:6" x14ac:dyDescent="0.45">
      <c r="A1277">
        <v>60</v>
      </c>
      <c r="B1277">
        <v>16</v>
      </c>
      <c r="C1277">
        <v>47000</v>
      </c>
      <c r="D1277" t="s">
        <v>71</v>
      </c>
      <c r="E1277" t="s">
        <v>74</v>
      </c>
      <c r="F1277" t="s">
        <v>78</v>
      </c>
    </row>
    <row r="1278" spans="1:6" x14ac:dyDescent="0.45">
      <c r="A1278">
        <v>48</v>
      </c>
      <c r="B1278">
        <v>16</v>
      </c>
      <c r="C1278">
        <v>47000</v>
      </c>
      <c r="D1278" t="s">
        <v>71</v>
      </c>
      <c r="E1278" t="s">
        <v>74</v>
      </c>
      <c r="F1278" t="s">
        <v>78</v>
      </c>
    </row>
    <row r="1279" spans="1:6" x14ac:dyDescent="0.45">
      <c r="A1279">
        <v>50</v>
      </c>
      <c r="B1279">
        <v>16</v>
      </c>
      <c r="C1279">
        <v>47000</v>
      </c>
      <c r="D1279" t="s">
        <v>71</v>
      </c>
      <c r="E1279" t="s">
        <v>74</v>
      </c>
      <c r="F1279" t="s">
        <v>78</v>
      </c>
    </row>
    <row r="1280" spans="1:6" x14ac:dyDescent="0.45">
      <c r="A1280">
        <v>40</v>
      </c>
      <c r="B1280">
        <v>16</v>
      </c>
      <c r="C1280">
        <v>47000</v>
      </c>
      <c r="D1280" t="s">
        <v>71</v>
      </c>
      <c r="E1280" t="s">
        <v>72</v>
      </c>
      <c r="F1280" t="s">
        <v>78</v>
      </c>
    </row>
    <row r="1281" spans="1:6" x14ac:dyDescent="0.45">
      <c r="A1281">
        <v>36</v>
      </c>
      <c r="B1281">
        <v>16</v>
      </c>
      <c r="C1281">
        <v>47000</v>
      </c>
      <c r="D1281" t="s">
        <v>71</v>
      </c>
      <c r="E1281" t="s">
        <v>72</v>
      </c>
      <c r="F1281" t="s">
        <v>78</v>
      </c>
    </row>
    <row r="1282" spans="1:6" x14ac:dyDescent="0.45">
      <c r="A1282">
        <v>47</v>
      </c>
      <c r="B1282">
        <v>16</v>
      </c>
      <c r="C1282">
        <v>47239</v>
      </c>
      <c r="D1282" t="s">
        <v>71</v>
      </c>
      <c r="E1282" t="s">
        <v>74</v>
      </c>
      <c r="F1282" t="s">
        <v>78</v>
      </c>
    </row>
    <row r="1283" spans="1:6" x14ac:dyDescent="0.45">
      <c r="A1283">
        <v>40</v>
      </c>
      <c r="B1283">
        <v>16</v>
      </c>
      <c r="C1283">
        <v>47440</v>
      </c>
      <c r="D1283" t="s">
        <v>71</v>
      </c>
      <c r="E1283" t="s">
        <v>72</v>
      </c>
      <c r="F1283" t="s">
        <v>78</v>
      </c>
    </row>
    <row r="1284" spans="1:6" x14ac:dyDescent="0.45">
      <c r="A1284">
        <v>45</v>
      </c>
      <c r="B1284">
        <v>16</v>
      </c>
      <c r="C1284">
        <v>47490</v>
      </c>
      <c r="D1284" t="s">
        <v>71</v>
      </c>
      <c r="E1284" t="s">
        <v>74</v>
      </c>
      <c r="F1284" t="s">
        <v>78</v>
      </c>
    </row>
    <row r="1285" spans="1:6" x14ac:dyDescent="0.45">
      <c r="A1285">
        <v>45</v>
      </c>
      <c r="B1285">
        <v>16</v>
      </c>
      <c r="C1285">
        <v>47500</v>
      </c>
      <c r="D1285" t="s">
        <v>71</v>
      </c>
      <c r="E1285" t="s">
        <v>74</v>
      </c>
      <c r="F1285" t="s">
        <v>78</v>
      </c>
    </row>
    <row r="1286" spans="1:6" x14ac:dyDescent="0.45">
      <c r="A1286">
        <v>50</v>
      </c>
      <c r="B1286">
        <v>16</v>
      </c>
      <c r="C1286">
        <v>47500</v>
      </c>
      <c r="D1286" t="s">
        <v>76</v>
      </c>
      <c r="E1286" t="s">
        <v>74</v>
      </c>
      <c r="F1286" t="s">
        <v>78</v>
      </c>
    </row>
    <row r="1287" spans="1:6" x14ac:dyDescent="0.45">
      <c r="A1287">
        <v>45</v>
      </c>
      <c r="B1287">
        <v>16</v>
      </c>
      <c r="C1287">
        <v>47668</v>
      </c>
      <c r="D1287" t="s">
        <v>71</v>
      </c>
      <c r="E1287" t="s">
        <v>72</v>
      </c>
      <c r="F1287" t="s">
        <v>78</v>
      </c>
    </row>
    <row r="1288" spans="1:6" x14ac:dyDescent="0.45">
      <c r="A1288">
        <v>50</v>
      </c>
      <c r="B1288">
        <v>16</v>
      </c>
      <c r="C1288">
        <v>48000</v>
      </c>
      <c r="D1288" t="s">
        <v>71</v>
      </c>
      <c r="E1288" t="s">
        <v>74</v>
      </c>
      <c r="F1288" t="s">
        <v>78</v>
      </c>
    </row>
    <row r="1289" spans="1:6" x14ac:dyDescent="0.45">
      <c r="A1289">
        <v>60</v>
      </c>
      <c r="B1289">
        <v>16</v>
      </c>
      <c r="C1289">
        <v>48000</v>
      </c>
      <c r="D1289" t="s">
        <v>71</v>
      </c>
      <c r="E1289" t="s">
        <v>72</v>
      </c>
      <c r="F1289" t="s">
        <v>78</v>
      </c>
    </row>
    <row r="1290" spans="1:6" x14ac:dyDescent="0.45">
      <c r="A1290">
        <v>48</v>
      </c>
      <c r="B1290">
        <v>16</v>
      </c>
      <c r="C1290">
        <v>48000</v>
      </c>
      <c r="D1290" t="s">
        <v>71</v>
      </c>
      <c r="E1290" t="s">
        <v>74</v>
      </c>
      <c r="F1290" t="s">
        <v>78</v>
      </c>
    </row>
    <row r="1291" spans="1:6" x14ac:dyDescent="0.45">
      <c r="A1291">
        <v>50</v>
      </c>
      <c r="B1291">
        <v>16</v>
      </c>
      <c r="C1291">
        <v>48000</v>
      </c>
      <c r="D1291" t="s">
        <v>71</v>
      </c>
      <c r="E1291" t="s">
        <v>74</v>
      </c>
      <c r="F1291" t="s">
        <v>78</v>
      </c>
    </row>
    <row r="1292" spans="1:6" x14ac:dyDescent="0.45">
      <c r="A1292">
        <v>40</v>
      </c>
      <c r="B1292">
        <v>16</v>
      </c>
      <c r="C1292">
        <v>48000</v>
      </c>
      <c r="D1292" t="s">
        <v>71</v>
      </c>
      <c r="E1292" t="s">
        <v>72</v>
      </c>
      <c r="F1292" t="s">
        <v>78</v>
      </c>
    </row>
    <row r="1293" spans="1:6" x14ac:dyDescent="0.45">
      <c r="A1293">
        <v>50</v>
      </c>
      <c r="B1293">
        <v>16</v>
      </c>
      <c r="C1293">
        <v>48000</v>
      </c>
      <c r="D1293" t="s">
        <v>71</v>
      </c>
      <c r="E1293" t="s">
        <v>74</v>
      </c>
      <c r="F1293" t="s">
        <v>78</v>
      </c>
    </row>
    <row r="1294" spans="1:6" x14ac:dyDescent="0.45">
      <c r="A1294">
        <v>40</v>
      </c>
      <c r="B1294">
        <v>16</v>
      </c>
      <c r="C1294">
        <v>48000</v>
      </c>
      <c r="D1294" t="s">
        <v>71</v>
      </c>
      <c r="E1294" t="s">
        <v>74</v>
      </c>
      <c r="F1294" t="s">
        <v>78</v>
      </c>
    </row>
    <row r="1295" spans="1:6" x14ac:dyDescent="0.45">
      <c r="A1295">
        <v>40</v>
      </c>
      <c r="B1295">
        <v>16</v>
      </c>
      <c r="C1295">
        <v>48000</v>
      </c>
      <c r="D1295" t="s">
        <v>76</v>
      </c>
      <c r="E1295" t="s">
        <v>74</v>
      </c>
      <c r="F1295" t="s">
        <v>78</v>
      </c>
    </row>
    <row r="1296" spans="1:6" x14ac:dyDescent="0.45">
      <c r="A1296">
        <v>48</v>
      </c>
      <c r="B1296">
        <v>16</v>
      </c>
      <c r="C1296">
        <v>48000</v>
      </c>
      <c r="D1296" t="s">
        <v>71</v>
      </c>
      <c r="E1296" t="s">
        <v>74</v>
      </c>
      <c r="F1296" t="s">
        <v>78</v>
      </c>
    </row>
    <row r="1297" spans="1:6" x14ac:dyDescent="0.45">
      <c r="A1297">
        <v>65</v>
      </c>
      <c r="B1297">
        <v>16</v>
      </c>
      <c r="C1297">
        <v>48000</v>
      </c>
      <c r="D1297" t="s">
        <v>71</v>
      </c>
      <c r="E1297" t="s">
        <v>74</v>
      </c>
      <c r="F1297" t="s">
        <v>78</v>
      </c>
    </row>
    <row r="1298" spans="1:6" x14ac:dyDescent="0.45">
      <c r="A1298">
        <v>75</v>
      </c>
      <c r="B1298">
        <v>16</v>
      </c>
      <c r="C1298">
        <v>48000</v>
      </c>
      <c r="D1298" t="s">
        <v>71</v>
      </c>
      <c r="E1298" t="s">
        <v>74</v>
      </c>
      <c r="F1298" t="s">
        <v>78</v>
      </c>
    </row>
    <row r="1299" spans="1:6" x14ac:dyDescent="0.45">
      <c r="A1299">
        <v>45</v>
      </c>
      <c r="B1299">
        <v>16</v>
      </c>
      <c r="C1299">
        <v>48000</v>
      </c>
      <c r="D1299" t="s">
        <v>71</v>
      </c>
      <c r="E1299" t="s">
        <v>74</v>
      </c>
      <c r="F1299" t="s">
        <v>78</v>
      </c>
    </row>
    <row r="1300" spans="1:6" x14ac:dyDescent="0.45">
      <c r="A1300">
        <v>41</v>
      </c>
      <c r="B1300">
        <v>16</v>
      </c>
      <c r="C1300">
        <v>48000</v>
      </c>
      <c r="D1300" t="s">
        <v>76</v>
      </c>
      <c r="E1300" t="s">
        <v>74</v>
      </c>
      <c r="F1300" t="s">
        <v>78</v>
      </c>
    </row>
    <row r="1301" spans="1:6" x14ac:dyDescent="0.45">
      <c r="A1301">
        <v>50</v>
      </c>
      <c r="B1301">
        <v>16</v>
      </c>
      <c r="C1301">
        <v>48000</v>
      </c>
      <c r="D1301" t="s">
        <v>71</v>
      </c>
      <c r="E1301" t="s">
        <v>74</v>
      </c>
      <c r="F1301" t="s">
        <v>78</v>
      </c>
    </row>
    <row r="1302" spans="1:6" x14ac:dyDescent="0.45">
      <c r="A1302">
        <v>65</v>
      </c>
      <c r="B1302">
        <v>16</v>
      </c>
      <c r="C1302">
        <v>48000</v>
      </c>
      <c r="D1302" t="s">
        <v>71</v>
      </c>
      <c r="E1302" t="s">
        <v>74</v>
      </c>
      <c r="F1302" t="s">
        <v>78</v>
      </c>
    </row>
    <row r="1303" spans="1:6" x14ac:dyDescent="0.45">
      <c r="A1303">
        <v>44</v>
      </c>
      <c r="B1303">
        <v>16</v>
      </c>
      <c r="C1303">
        <v>48000</v>
      </c>
      <c r="D1303" t="s">
        <v>71</v>
      </c>
      <c r="E1303" t="s">
        <v>72</v>
      </c>
      <c r="F1303" t="s">
        <v>78</v>
      </c>
    </row>
    <row r="1304" spans="1:6" x14ac:dyDescent="0.45">
      <c r="A1304">
        <v>40</v>
      </c>
      <c r="B1304">
        <v>16</v>
      </c>
      <c r="C1304">
        <v>48000</v>
      </c>
      <c r="D1304" t="s">
        <v>71</v>
      </c>
      <c r="E1304" t="s">
        <v>74</v>
      </c>
      <c r="F1304" t="s">
        <v>78</v>
      </c>
    </row>
    <row r="1305" spans="1:6" x14ac:dyDescent="0.45">
      <c r="A1305">
        <v>40</v>
      </c>
      <c r="B1305">
        <v>16</v>
      </c>
      <c r="C1305">
        <v>48000</v>
      </c>
      <c r="D1305" t="s">
        <v>71</v>
      </c>
      <c r="E1305" t="s">
        <v>74</v>
      </c>
      <c r="F1305" t="s">
        <v>78</v>
      </c>
    </row>
    <row r="1306" spans="1:6" x14ac:dyDescent="0.45">
      <c r="A1306">
        <v>0</v>
      </c>
      <c r="B1306">
        <v>16</v>
      </c>
      <c r="C1306">
        <v>48000</v>
      </c>
      <c r="D1306" t="s">
        <v>71</v>
      </c>
      <c r="E1306" t="s">
        <v>74</v>
      </c>
      <c r="F1306" t="s">
        <v>78</v>
      </c>
    </row>
    <row r="1307" spans="1:6" x14ac:dyDescent="0.45">
      <c r="A1307">
        <v>40</v>
      </c>
      <c r="B1307">
        <v>16</v>
      </c>
      <c r="C1307">
        <v>48200</v>
      </c>
      <c r="D1307" t="s">
        <v>71</v>
      </c>
      <c r="E1307" t="s">
        <v>74</v>
      </c>
      <c r="F1307" t="s">
        <v>78</v>
      </c>
    </row>
    <row r="1308" spans="1:6" x14ac:dyDescent="0.45">
      <c r="A1308">
        <v>40</v>
      </c>
      <c r="B1308">
        <v>16</v>
      </c>
      <c r="C1308">
        <v>48320</v>
      </c>
      <c r="D1308" t="s">
        <v>71</v>
      </c>
      <c r="E1308" t="s">
        <v>72</v>
      </c>
      <c r="F1308" t="s">
        <v>78</v>
      </c>
    </row>
    <row r="1309" spans="1:6" x14ac:dyDescent="0.45">
      <c r="A1309">
        <v>40</v>
      </c>
      <c r="B1309">
        <v>16</v>
      </c>
      <c r="C1309">
        <v>48500</v>
      </c>
      <c r="D1309" t="s">
        <v>71</v>
      </c>
      <c r="E1309" t="s">
        <v>74</v>
      </c>
      <c r="F1309" t="s">
        <v>78</v>
      </c>
    </row>
    <row r="1310" spans="1:6" x14ac:dyDescent="0.45">
      <c r="A1310">
        <v>40</v>
      </c>
      <c r="B1310">
        <v>16</v>
      </c>
      <c r="C1310">
        <v>49000</v>
      </c>
      <c r="D1310" t="s">
        <v>71</v>
      </c>
      <c r="E1310" t="s">
        <v>74</v>
      </c>
      <c r="F1310" t="s">
        <v>78</v>
      </c>
    </row>
    <row r="1311" spans="1:6" x14ac:dyDescent="0.45">
      <c r="A1311">
        <v>35</v>
      </c>
      <c r="B1311">
        <v>16</v>
      </c>
      <c r="C1311">
        <v>49000</v>
      </c>
      <c r="D1311" t="s">
        <v>71</v>
      </c>
      <c r="E1311" t="s">
        <v>72</v>
      </c>
      <c r="F1311" t="s">
        <v>78</v>
      </c>
    </row>
    <row r="1312" spans="1:6" x14ac:dyDescent="0.45">
      <c r="A1312">
        <v>40</v>
      </c>
      <c r="B1312">
        <v>16</v>
      </c>
      <c r="C1312">
        <v>49000</v>
      </c>
      <c r="D1312" t="s">
        <v>71</v>
      </c>
      <c r="E1312" t="s">
        <v>74</v>
      </c>
      <c r="F1312" t="s">
        <v>78</v>
      </c>
    </row>
    <row r="1313" spans="1:6" x14ac:dyDescent="0.45">
      <c r="A1313">
        <v>48</v>
      </c>
      <c r="B1313">
        <v>16</v>
      </c>
      <c r="C1313">
        <v>49470</v>
      </c>
      <c r="D1313" t="s">
        <v>71</v>
      </c>
      <c r="E1313" t="s">
        <v>74</v>
      </c>
      <c r="F1313" t="s">
        <v>78</v>
      </c>
    </row>
    <row r="1314" spans="1:6" x14ac:dyDescent="0.45">
      <c r="A1314">
        <v>40</v>
      </c>
      <c r="B1314">
        <v>16</v>
      </c>
      <c r="C1314">
        <v>49500</v>
      </c>
      <c r="D1314" t="s">
        <v>71</v>
      </c>
      <c r="E1314" t="s">
        <v>72</v>
      </c>
      <c r="F1314" t="s">
        <v>78</v>
      </c>
    </row>
    <row r="1315" spans="1:6" x14ac:dyDescent="0.45">
      <c r="A1315">
        <v>45</v>
      </c>
      <c r="B1315">
        <v>16</v>
      </c>
      <c r="C1315">
        <v>49900</v>
      </c>
      <c r="D1315" t="s">
        <v>71</v>
      </c>
      <c r="E1315" t="s">
        <v>74</v>
      </c>
      <c r="F1315" t="s">
        <v>78</v>
      </c>
    </row>
    <row r="1316" spans="1:6" x14ac:dyDescent="0.45">
      <c r="A1316">
        <v>37</v>
      </c>
      <c r="B1316">
        <v>16</v>
      </c>
      <c r="C1316">
        <v>49915</v>
      </c>
      <c r="D1316" t="s">
        <v>71</v>
      </c>
      <c r="E1316" t="s">
        <v>72</v>
      </c>
      <c r="F1316" t="s">
        <v>78</v>
      </c>
    </row>
    <row r="1317" spans="1:6" x14ac:dyDescent="0.45">
      <c r="A1317">
        <v>40</v>
      </c>
      <c r="B1317">
        <v>16</v>
      </c>
      <c r="C1317">
        <v>50000</v>
      </c>
      <c r="D1317" t="s">
        <v>71</v>
      </c>
      <c r="E1317" t="s">
        <v>74</v>
      </c>
      <c r="F1317" t="s">
        <v>78</v>
      </c>
    </row>
    <row r="1318" spans="1:6" x14ac:dyDescent="0.45">
      <c r="A1318">
        <v>40</v>
      </c>
      <c r="B1318">
        <v>16</v>
      </c>
      <c r="C1318">
        <v>50000</v>
      </c>
      <c r="D1318" t="s">
        <v>71</v>
      </c>
      <c r="E1318" t="s">
        <v>72</v>
      </c>
      <c r="F1318" t="s">
        <v>78</v>
      </c>
    </row>
    <row r="1319" spans="1:6" x14ac:dyDescent="0.45">
      <c r="A1319">
        <v>40</v>
      </c>
      <c r="B1319">
        <v>16</v>
      </c>
      <c r="C1319">
        <v>50000</v>
      </c>
      <c r="D1319" t="s">
        <v>71</v>
      </c>
      <c r="E1319" t="s">
        <v>74</v>
      </c>
      <c r="F1319" t="s">
        <v>78</v>
      </c>
    </row>
    <row r="1320" spans="1:6" x14ac:dyDescent="0.45">
      <c r="A1320">
        <v>40</v>
      </c>
      <c r="B1320">
        <v>16</v>
      </c>
      <c r="C1320">
        <v>50000</v>
      </c>
      <c r="D1320" t="s">
        <v>71</v>
      </c>
      <c r="E1320" t="s">
        <v>74</v>
      </c>
      <c r="F1320" t="s">
        <v>78</v>
      </c>
    </row>
    <row r="1321" spans="1:6" x14ac:dyDescent="0.45">
      <c r="A1321">
        <v>45</v>
      </c>
      <c r="B1321">
        <v>16</v>
      </c>
      <c r="C1321">
        <v>50000</v>
      </c>
      <c r="D1321" t="s">
        <v>71</v>
      </c>
      <c r="E1321" t="s">
        <v>74</v>
      </c>
      <c r="F1321" t="s">
        <v>78</v>
      </c>
    </row>
    <row r="1322" spans="1:6" x14ac:dyDescent="0.45">
      <c r="A1322">
        <v>40</v>
      </c>
      <c r="B1322">
        <v>16</v>
      </c>
      <c r="C1322">
        <v>50000</v>
      </c>
      <c r="D1322" t="s">
        <v>75</v>
      </c>
      <c r="E1322" t="s">
        <v>74</v>
      </c>
      <c r="F1322" t="s">
        <v>78</v>
      </c>
    </row>
    <row r="1323" spans="1:6" x14ac:dyDescent="0.45">
      <c r="A1323">
        <v>40</v>
      </c>
      <c r="B1323">
        <v>16</v>
      </c>
      <c r="C1323">
        <v>50000</v>
      </c>
      <c r="D1323" t="s">
        <v>71</v>
      </c>
      <c r="E1323" t="s">
        <v>72</v>
      </c>
      <c r="F1323" t="s">
        <v>78</v>
      </c>
    </row>
    <row r="1324" spans="1:6" x14ac:dyDescent="0.45">
      <c r="A1324">
        <v>59</v>
      </c>
      <c r="B1324">
        <v>16</v>
      </c>
      <c r="C1324">
        <v>50000</v>
      </c>
      <c r="D1324" t="s">
        <v>71</v>
      </c>
      <c r="E1324" t="s">
        <v>74</v>
      </c>
      <c r="F1324" t="s">
        <v>78</v>
      </c>
    </row>
    <row r="1325" spans="1:6" x14ac:dyDescent="0.45">
      <c r="A1325">
        <v>60</v>
      </c>
      <c r="B1325">
        <v>16</v>
      </c>
      <c r="C1325">
        <v>50000</v>
      </c>
      <c r="D1325" t="s">
        <v>71</v>
      </c>
      <c r="E1325" t="s">
        <v>74</v>
      </c>
      <c r="F1325" t="s">
        <v>78</v>
      </c>
    </row>
    <row r="1326" spans="1:6" x14ac:dyDescent="0.45">
      <c r="A1326">
        <v>40</v>
      </c>
      <c r="B1326">
        <v>16</v>
      </c>
      <c r="C1326">
        <v>50000</v>
      </c>
      <c r="D1326" t="s">
        <v>71</v>
      </c>
      <c r="E1326" t="s">
        <v>74</v>
      </c>
      <c r="F1326" t="s">
        <v>78</v>
      </c>
    </row>
    <row r="1327" spans="1:6" x14ac:dyDescent="0.45">
      <c r="A1327">
        <v>38</v>
      </c>
      <c r="B1327">
        <v>16</v>
      </c>
      <c r="C1327">
        <v>50000</v>
      </c>
      <c r="D1327" t="s">
        <v>71</v>
      </c>
      <c r="E1327" t="s">
        <v>74</v>
      </c>
      <c r="F1327" t="s">
        <v>78</v>
      </c>
    </row>
    <row r="1328" spans="1:6" x14ac:dyDescent="0.45">
      <c r="A1328">
        <v>55</v>
      </c>
      <c r="B1328">
        <v>16</v>
      </c>
      <c r="C1328">
        <v>50000</v>
      </c>
      <c r="D1328" t="s">
        <v>71</v>
      </c>
      <c r="E1328" t="s">
        <v>74</v>
      </c>
      <c r="F1328" t="s">
        <v>78</v>
      </c>
    </row>
    <row r="1329" spans="1:6" x14ac:dyDescent="0.45">
      <c r="A1329">
        <v>60</v>
      </c>
      <c r="B1329">
        <v>16</v>
      </c>
      <c r="C1329">
        <v>50000</v>
      </c>
      <c r="D1329" t="s">
        <v>71</v>
      </c>
      <c r="E1329" t="s">
        <v>74</v>
      </c>
      <c r="F1329" t="s">
        <v>78</v>
      </c>
    </row>
    <row r="1330" spans="1:6" x14ac:dyDescent="0.45">
      <c r="A1330">
        <v>45</v>
      </c>
      <c r="B1330">
        <v>16</v>
      </c>
      <c r="C1330">
        <v>50000</v>
      </c>
      <c r="D1330" t="s">
        <v>71</v>
      </c>
      <c r="E1330" t="s">
        <v>74</v>
      </c>
      <c r="F1330" t="s">
        <v>78</v>
      </c>
    </row>
    <row r="1331" spans="1:6" x14ac:dyDescent="0.45">
      <c r="A1331">
        <v>40</v>
      </c>
      <c r="B1331">
        <v>16</v>
      </c>
      <c r="C1331">
        <v>50000</v>
      </c>
      <c r="D1331" t="s">
        <v>76</v>
      </c>
      <c r="E1331" t="s">
        <v>74</v>
      </c>
      <c r="F1331" t="s">
        <v>78</v>
      </c>
    </row>
    <row r="1332" spans="1:6" x14ac:dyDescent="0.45">
      <c r="A1332">
        <v>40</v>
      </c>
      <c r="B1332">
        <v>16</v>
      </c>
      <c r="C1332">
        <v>50000</v>
      </c>
      <c r="D1332" t="s">
        <v>76</v>
      </c>
      <c r="E1332" t="s">
        <v>74</v>
      </c>
      <c r="F1332" t="s">
        <v>78</v>
      </c>
    </row>
    <row r="1333" spans="1:6" x14ac:dyDescent="0.45">
      <c r="A1333">
        <v>40</v>
      </c>
      <c r="B1333">
        <v>16</v>
      </c>
      <c r="C1333">
        <v>50000</v>
      </c>
      <c r="D1333" t="s">
        <v>71</v>
      </c>
      <c r="E1333" t="s">
        <v>72</v>
      </c>
      <c r="F1333" t="s">
        <v>78</v>
      </c>
    </row>
    <row r="1334" spans="1:6" x14ac:dyDescent="0.45">
      <c r="A1334">
        <v>50</v>
      </c>
      <c r="B1334">
        <v>16</v>
      </c>
      <c r="C1334">
        <v>50000</v>
      </c>
      <c r="D1334" t="s">
        <v>71</v>
      </c>
      <c r="E1334" t="s">
        <v>72</v>
      </c>
      <c r="F1334" t="s">
        <v>78</v>
      </c>
    </row>
    <row r="1335" spans="1:6" x14ac:dyDescent="0.45">
      <c r="A1335">
        <v>45</v>
      </c>
      <c r="B1335">
        <v>16</v>
      </c>
      <c r="C1335">
        <v>50000</v>
      </c>
      <c r="D1335" t="s">
        <v>71</v>
      </c>
      <c r="E1335" t="s">
        <v>74</v>
      </c>
      <c r="F1335" t="s">
        <v>78</v>
      </c>
    </row>
    <row r="1336" spans="1:6" x14ac:dyDescent="0.45">
      <c r="A1336">
        <v>40</v>
      </c>
      <c r="B1336">
        <v>16</v>
      </c>
      <c r="C1336">
        <v>50000</v>
      </c>
      <c r="D1336" t="s">
        <v>71</v>
      </c>
      <c r="E1336" t="s">
        <v>74</v>
      </c>
      <c r="F1336" t="s">
        <v>78</v>
      </c>
    </row>
    <row r="1337" spans="1:6" x14ac:dyDescent="0.45">
      <c r="A1337">
        <v>40</v>
      </c>
      <c r="B1337">
        <v>16</v>
      </c>
      <c r="C1337">
        <v>50000</v>
      </c>
      <c r="D1337" t="s">
        <v>71</v>
      </c>
      <c r="E1337" t="s">
        <v>72</v>
      </c>
      <c r="F1337" t="s">
        <v>78</v>
      </c>
    </row>
    <row r="1338" spans="1:6" x14ac:dyDescent="0.45">
      <c r="A1338">
        <v>40</v>
      </c>
      <c r="B1338">
        <v>16</v>
      </c>
      <c r="C1338">
        <v>50000</v>
      </c>
      <c r="D1338" t="s">
        <v>71</v>
      </c>
      <c r="E1338" t="s">
        <v>72</v>
      </c>
      <c r="F1338" t="s">
        <v>78</v>
      </c>
    </row>
    <row r="1339" spans="1:6" x14ac:dyDescent="0.45">
      <c r="A1339">
        <v>60</v>
      </c>
      <c r="B1339">
        <v>16</v>
      </c>
      <c r="C1339">
        <v>50000</v>
      </c>
      <c r="D1339" t="s">
        <v>76</v>
      </c>
      <c r="E1339" t="s">
        <v>74</v>
      </c>
      <c r="F1339" t="s">
        <v>78</v>
      </c>
    </row>
    <row r="1340" spans="1:6" x14ac:dyDescent="0.45">
      <c r="A1340">
        <v>60</v>
      </c>
      <c r="B1340">
        <v>16</v>
      </c>
      <c r="C1340">
        <v>50000</v>
      </c>
      <c r="D1340" t="s">
        <v>76</v>
      </c>
      <c r="E1340" t="s">
        <v>74</v>
      </c>
      <c r="F1340" t="s">
        <v>78</v>
      </c>
    </row>
    <row r="1341" spans="1:6" x14ac:dyDescent="0.45">
      <c r="A1341">
        <v>40</v>
      </c>
      <c r="B1341">
        <v>16</v>
      </c>
      <c r="C1341">
        <v>50000</v>
      </c>
      <c r="D1341" t="s">
        <v>71</v>
      </c>
      <c r="E1341" t="s">
        <v>74</v>
      </c>
      <c r="F1341" t="s">
        <v>78</v>
      </c>
    </row>
    <row r="1342" spans="1:6" x14ac:dyDescent="0.45">
      <c r="A1342">
        <v>40</v>
      </c>
      <c r="B1342">
        <v>16</v>
      </c>
      <c r="C1342">
        <v>50000</v>
      </c>
      <c r="D1342" t="s">
        <v>71</v>
      </c>
      <c r="E1342" t="s">
        <v>74</v>
      </c>
      <c r="F1342" t="s">
        <v>78</v>
      </c>
    </row>
    <row r="1343" spans="1:6" x14ac:dyDescent="0.45">
      <c r="A1343">
        <v>36</v>
      </c>
      <c r="B1343">
        <v>16</v>
      </c>
      <c r="C1343">
        <v>50000</v>
      </c>
      <c r="D1343" t="s">
        <v>71</v>
      </c>
      <c r="E1343" t="s">
        <v>72</v>
      </c>
      <c r="F1343" t="s">
        <v>78</v>
      </c>
    </row>
    <row r="1344" spans="1:6" x14ac:dyDescent="0.45">
      <c r="A1344">
        <v>45</v>
      </c>
      <c r="B1344">
        <v>16</v>
      </c>
      <c r="C1344">
        <v>50000</v>
      </c>
      <c r="D1344" t="s">
        <v>71</v>
      </c>
      <c r="E1344" t="s">
        <v>74</v>
      </c>
      <c r="F1344" t="s">
        <v>78</v>
      </c>
    </row>
    <row r="1345" spans="1:6" x14ac:dyDescent="0.45">
      <c r="A1345">
        <v>40</v>
      </c>
      <c r="B1345">
        <v>16</v>
      </c>
      <c r="C1345">
        <v>50000</v>
      </c>
      <c r="D1345" t="s">
        <v>71</v>
      </c>
      <c r="E1345" t="s">
        <v>74</v>
      </c>
      <c r="F1345" t="s">
        <v>78</v>
      </c>
    </row>
    <row r="1346" spans="1:6" x14ac:dyDescent="0.45">
      <c r="A1346">
        <v>41</v>
      </c>
      <c r="B1346">
        <v>16</v>
      </c>
      <c r="C1346">
        <v>50000</v>
      </c>
      <c r="D1346" t="s">
        <v>71</v>
      </c>
      <c r="E1346" t="s">
        <v>72</v>
      </c>
      <c r="F1346" t="s">
        <v>78</v>
      </c>
    </row>
    <row r="1347" spans="1:6" x14ac:dyDescent="0.45">
      <c r="A1347">
        <v>50</v>
      </c>
      <c r="B1347">
        <v>16</v>
      </c>
      <c r="C1347">
        <v>50000</v>
      </c>
      <c r="D1347" t="s">
        <v>71</v>
      </c>
      <c r="E1347" t="s">
        <v>74</v>
      </c>
      <c r="F1347" t="s">
        <v>78</v>
      </c>
    </row>
    <row r="1348" spans="1:6" x14ac:dyDescent="0.45">
      <c r="A1348">
        <v>50</v>
      </c>
      <c r="B1348">
        <v>16</v>
      </c>
      <c r="C1348">
        <v>50000</v>
      </c>
      <c r="D1348" t="s">
        <v>76</v>
      </c>
      <c r="E1348" t="s">
        <v>72</v>
      </c>
      <c r="F1348" t="s">
        <v>78</v>
      </c>
    </row>
    <row r="1349" spans="1:6" x14ac:dyDescent="0.45">
      <c r="A1349">
        <v>50</v>
      </c>
      <c r="B1349">
        <v>16</v>
      </c>
      <c r="C1349">
        <v>50000</v>
      </c>
      <c r="D1349" t="s">
        <v>71</v>
      </c>
      <c r="E1349" t="s">
        <v>74</v>
      </c>
      <c r="F1349" t="s">
        <v>78</v>
      </c>
    </row>
    <row r="1350" spans="1:6" x14ac:dyDescent="0.45">
      <c r="A1350">
        <v>45</v>
      </c>
      <c r="B1350">
        <v>16</v>
      </c>
      <c r="C1350">
        <v>50000</v>
      </c>
      <c r="D1350" t="s">
        <v>71</v>
      </c>
      <c r="E1350" t="s">
        <v>74</v>
      </c>
      <c r="F1350" t="s">
        <v>78</v>
      </c>
    </row>
    <row r="1351" spans="1:6" x14ac:dyDescent="0.45">
      <c r="A1351">
        <v>40</v>
      </c>
      <c r="B1351">
        <v>16</v>
      </c>
      <c r="C1351">
        <v>50000</v>
      </c>
      <c r="D1351" t="s">
        <v>71</v>
      </c>
      <c r="E1351" t="s">
        <v>74</v>
      </c>
      <c r="F1351" t="s">
        <v>78</v>
      </c>
    </row>
    <row r="1352" spans="1:6" x14ac:dyDescent="0.45">
      <c r="A1352">
        <v>45</v>
      </c>
      <c r="B1352">
        <v>16</v>
      </c>
      <c r="C1352">
        <v>50450</v>
      </c>
      <c r="D1352" t="s">
        <v>71</v>
      </c>
      <c r="E1352" t="s">
        <v>72</v>
      </c>
      <c r="F1352" t="s">
        <v>78</v>
      </c>
    </row>
    <row r="1353" spans="1:6" x14ac:dyDescent="0.45">
      <c r="A1353">
        <v>58</v>
      </c>
      <c r="B1353">
        <v>16</v>
      </c>
      <c r="C1353">
        <v>51000</v>
      </c>
      <c r="D1353" t="s">
        <v>71</v>
      </c>
      <c r="E1353" t="s">
        <v>74</v>
      </c>
      <c r="F1353" t="s">
        <v>78</v>
      </c>
    </row>
    <row r="1354" spans="1:6" x14ac:dyDescent="0.45">
      <c r="A1354">
        <v>50</v>
      </c>
      <c r="B1354">
        <v>16</v>
      </c>
      <c r="C1354">
        <v>51000</v>
      </c>
      <c r="D1354" t="s">
        <v>71</v>
      </c>
      <c r="E1354" t="s">
        <v>72</v>
      </c>
      <c r="F1354" t="s">
        <v>78</v>
      </c>
    </row>
    <row r="1355" spans="1:6" x14ac:dyDescent="0.45">
      <c r="A1355">
        <v>45</v>
      </c>
      <c r="B1355">
        <v>16</v>
      </c>
      <c r="C1355">
        <v>51000</v>
      </c>
      <c r="D1355" t="s">
        <v>71</v>
      </c>
      <c r="E1355" t="s">
        <v>74</v>
      </c>
      <c r="F1355" t="s">
        <v>78</v>
      </c>
    </row>
    <row r="1356" spans="1:6" x14ac:dyDescent="0.45">
      <c r="A1356">
        <v>40</v>
      </c>
      <c r="B1356">
        <v>16</v>
      </c>
      <c r="C1356">
        <v>51000</v>
      </c>
      <c r="D1356" t="s">
        <v>71</v>
      </c>
      <c r="E1356" t="s">
        <v>74</v>
      </c>
      <c r="F1356" t="s">
        <v>78</v>
      </c>
    </row>
    <row r="1357" spans="1:6" x14ac:dyDescent="0.45">
      <c r="A1357">
        <v>48</v>
      </c>
      <c r="B1357">
        <v>16</v>
      </c>
      <c r="C1357">
        <v>51108</v>
      </c>
      <c r="D1357" t="s">
        <v>71</v>
      </c>
      <c r="E1357" t="s">
        <v>74</v>
      </c>
      <c r="F1357" t="s">
        <v>78</v>
      </c>
    </row>
    <row r="1358" spans="1:6" x14ac:dyDescent="0.45">
      <c r="A1358">
        <v>40</v>
      </c>
      <c r="B1358">
        <v>16</v>
      </c>
      <c r="C1358">
        <v>51130</v>
      </c>
      <c r="D1358" t="s">
        <v>71</v>
      </c>
      <c r="E1358" t="s">
        <v>72</v>
      </c>
      <c r="F1358" t="s">
        <v>78</v>
      </c>
    </row>
    <row r="1359" spans="1:6" x14ac:dyDescent="0.45">
      <c r="A1359">
        <v>40</v>
      </c>
      <c r="B1359">
        <v>16</v>
      </c>
      <c r="C1359">
        <v>51458</v>
      </c>
      <c r="D1359" t="s">
        <v>71</v>
      </c>
      <c r="E1359" t="s">
        <v>74</v>
      </c>
      <c r="F1359" t="s">
        <v>78</v>
      </c>
    </row>
    <row r="1360" spans="1:6" x14ac:dyDescent="0.45">
      <c r="A1360">
        <v>40</v>
      </c>
      <c r="B1360">
        <v>16</v>
      </c>
      <c r="C1360">
        <v>51600</v>
      </c>
      <c r="D1360" t="s">
        <v>71</v>
      </c>
      <c r="E1360" t="s">
        <v>74</v>
      </c>
      <c r="F1360" t="s">
        <v>78</v>
      </c>
    </row>
    <row r="1361" spans="1:6" x14ac:dyDescent="0.45">
      <c r="A1361">
        <v>55</v>
      </c>
      <c r="B1361">
        <v>16</v>
      </c>
      <c r="C1361">
        <v>52000</v>
      </c>
      <c r="D1361" t="s">
        <v>71</v>
      </c>
      <c r="E1361" t="s">
        <v>74</v>
      </c>
      <c r="F1361" t="s">
        <v>78</v>
      </c>
    </row>
    <row r="1362" spans="1:6" x14ac:dyDescent="0.45">
      <c r="A1362">
        <v>40</v>
      </c>
      <c r="B1362">
        <v>16</v>
      </c>
      <c r="C1362">
        <v>52000</v>
      </c>
      <c r="D1362" t="s">
        <v>71</v>
      </c>
      <c r="E1362" t="s">
        <v>74</v>
      </c>
      <c r="F1362" t="s">
        <v>78</v>
      </c>
    </row>
    <row r="1363" spans="1:6" x14ac:dyDescent="0.45">
      <c r="A1363">
        <v>45</v>
      </c>
      <c r="B1363">
        <v>16</v>
      </c>
      <c r="C1363">
        <v>52000</v>
      </c>
      <c r="D1363" t="s">
        <v>71</v>
      </c>
      <c r="E1363" t="s">
        <v>74</v>
      </c>
      <c r="F1363" t="s">
        <v>78</v>
      </c>
    </row>
    <row r="1364" spans="1:6" x14ac:dyDescent="0.45">
      <c r="A1364">
        <v>50</v>
      </c>
      <c r="B1364">
        <v>16</v>
      </c>
      <c r="C1364">
        <v>52000</v>
      </c>
      <c r="D1364" t="s">
        <v>71</v>
      </c>
      <c r="E1364" t="s">
        <v>74</v>
      </c>
      <c r="F1364" t="s">
        <v>78</v>
      </c>
    </row>
    <row r="1365" spans="1:6" x14ac:dyDescent="0.45">
      <c r="A1365">
        <v>75</v>
      </c>
      <c r="B1365">
        <v>16</v>
      </c>
      <c r="C1365">
        <v>52000</v>
      </c>
      <c r="D1365" t="s">
        <v>71</v>
      </c>
      <c r="E1365" t="s">
        <v>74</v>
      </c>
      <c r="F1365" t="s">
        <v>78</v>
      </c>
    </row>
    <row r="1366" spans="1:6" x14ac:dyDescent="0.45">
      <c r="A1366">
        <v>40</v>
      </c>
      <c r="B1366">
        <v>16</v>
      </c>
      <c r="C1366">
        <v>52000</v>
      </c>
      <c r="D1366" t="s">
        <v>71</v>
      </c>
      <c r="E1366" t="s">
        <v>74</v>
      </c>
      <c r="F1366" t="s">
        <v>78</v>
      </c>
    </row>
    <row r="1367" spans="1:6" x14ac:dyDescent="0.45">
      <c r="A1367">
        <v>40</v>
      </c>
      <c r="B1367">
        <v>16</v>
      </c>
      <c r="C1367">
        <v>52000</v>
      </c>
      <c r="D1367" t="s">
        <v>75</v>
      </c>
      <c r="E1367" t="s">
        <v>74</v>
      </c>
      <c r="F1367" t="s">
        <v>78</v>
      </c>
    </row>
    <row r="1368" spans="1:6" x14ac:dyDescent="0.45">
      <c r="A1368">
        <v>40</v>
      </c>
      <c r="B1368">
        <v>16</v>
      </c>
      <c r="C1368">
        <v>52000</v>
      </c>
      <c r="D1368" t="s">
        <v>71</v>
      </c>
      <c r="E1368" t="s">
        <v>74</v>
      </c>
      <c r="F1368" t="s">
        <v>78</v>
      </c>
    </row>
    <row r="1369" spans="1:6" x14ac:dyDescent="0.45">
      <c r="A1369">
        <v>40</v>
      </c>
      <c r="B1369">
        <v>16</v>
      </c>
      <c r="C1369">
        <v>52000</v>
      </c>
      <c r="D1369" t="s">
        <v>71</v>
      </c>
      <c r="E1369" t="s">
        <v>74</v>
      </c>
      <c r="F1369" t="s">
        <v>78</v>
      </c>
    </row>
    <row r="1370" spans="1:6" x14ac:dyDescent="0.45">
      <c r="A1370">
        <v>50</v>
      </c>
      <c r="B1370">
        <v>16</v>
      </c>
      <c r="C1370">
        <v>52000</v>
      </c>
      <c r="D1370" t="s">
        <v>71</v>
      </c>
      <c r="E1370" t="s">
        <v>74</v>
      </c>
      <c r="F1370" t="s">
        <v>78</v>
      </c>
    </row>
    <row r="1371" spans="1:6" x14ac:dyDescent="0.45">
      <c r="A1371">
        <v>42</v>
      </c>
      <c r="B1371">
        <v>16</v>
      </c>
      <c r="C1371">
        <v>52000</v>
      </c>
      <c r="D1371" t="s">
        <v>71</v>
      </c>
      <c r="E1371" t="s">
        <v>72</v>
      </c>
      <c r="F1371" t="s">
        <v>78</v>
      </c>
    </row>
    <row r="1372" spans="1:6" x14ac:dyDescent="0.45">
      <c r="A1372">
        <v>0</v>
      </c>
      <c r="B1372">
        <v>16</v>
      </c>
      <c r="C1372">
        <v>52000</v>
      </c>
      <c r="D1372" t="s">
        <v>76</v>
      </c>
      <c r="E1372" t="s">
        <v>72</v>
      </c>
      <c r="F1372" t="s">
        <v>78</v>
      </c>
    </row>
    <row r="1373" spans="1:6" x14ac:dyDescent="0.45">
      <c r="A1373">
        <v>42</v>
      </c>
      <c r="B1373">
        <v>16</v>
      </c>
      <c r="C1373">
        <v>52000</v>
      </c>
      <c r="D1373" t="s">
        <v>71</v>
      </c>
      <c r="E1373" t="s">
        <v>74</v>
      </c>
      <c r="F1373" t="s">
        <v>78</v>
      </c>
    </row>
    <row r="1374" spans="1:6" x14ac:dyDescent="0.45">
      <c r="A1374">
        <v>50</v>
      </c>
      <c r="B1374">
        <v>16</v>
      </c>
      <c r="C1374">
        <v>52000</v>
      </c>
      <c r="D1374" t="s">
        <v>71</v>
      </c>
      <c r="E1374" t="s">
        <v>74</v>
      </c>
      <c r="F1374" t="s">
        <v>78</v>
      </c>
    </row>
    <row r="1375" spans="1:6" x14ac:dyDescent="0.45">
      <c r="A1375">
        <v>40</v>
      </c>
      <c r="B1375">
        <v>16</v>
      </c>
      <c r="C1375">
        <v>52000</v>
      </c>
      <c r="D1375" t="s">
        <v>71</v>
      </c>
      <c r="E1375" t="s">
        <v>72</v>
      </c>
      <c r="F1375" t="s">
        <v>78</v>
      </c>
    </row>
    <row r="1376" spans="1:6" x14ac:dyDescent="0.45">
      <c r="A1376">
        <v>40</v>
      </c>
      <c r="B1376">
        <v>16</v>
      </c>
      <c r="C1376">
        <v>52450</v>
      </c>
      <c r="D1376" t="s">
        <v>71</v>
      </c>
      <c r="E1376" t="s">
        <v>72</v>
      </c>
      <c r="F1376" t="s">
        <v>78</v>
      </c>
    </row>
    <row r="1377" spans="1:6" x14ac:dyDescent="0.45">
      <c r="A1377">
        <v>50</v>
      </c>
      <c r="B1377">
        <v>16</v>
      </c>
      <c r="C1377">
        <v>52500</v>
      </c>
      <c r="D1377" t="s">
        <v>76</v>
      </c>
      <c r="E1377" t="s">
        <v>72</v>
      </c>
      <c r="F1377" t="s">
        <v>78</v>
      </c>
    </row>
    <row r="1378" spans="1:6" x14ac:dyDescent="0.45">
      <c r="A1378">
        <v>40</v>
      </c>
      <c r="B1378">
        <v>16</v>
      </c>
      <c r="C1378">
        <v>52800</v>
      </c>
      <c r="D1378" t="s">
        <v>71</v>
      </c>
      <c r="E1378" t="s">
        <v>74</v>
      </c>
      <c r="F1378" t="s">
        <v>78</v>
      </c>
    </row>
    <row r="1379" spans="1:6" x14ac:dyDescent="0.45">
      <c r="A1379">
        <v>65</v>
      </c>
      <c r="B1379">
        <v>16</v>
      </c>
      <c r="C1379">
        <v>53000</v>
      </c>
      <c r="D1379" t="s">
        <v>71</v>
      </c>
      <c r="E1379" t="s">
        <v>74</v>
      </c>
      <c r="F1379" t="s">
        <v>78</v>
      </c>
    </row>
    <row r="1380" spans="1:6" x14ac:dyDescent="0.45">
      <c r="A1380">
        <v>40</v>
      </c>
      <c r="B1380">
        <v>16</v>
      </c>
      <c r="C1380">
        <v>53000</v>
      </c>
      <c r="D1380" t="s">
        <v>71</v>
      </c>
      <c r="E1380" t="s">
        <v>74</v>
      </c>
      <c r="F1380" t="s">
        <v>78</v>
      </c>
    </row>
    <row r="1381" spans="1:6" x14ac:dyDescent="0.45">
      <c r="A1381">
        <v>50</v>
      </c>
      <c r="B1381">
        <v>16</v>
      </c>
      <c r="C1381">
        <v>53000</v>
      </c>
      <c r="D1381" t="s">
        <v>71</v>
      </c>
      <c r="E1381" t="s">
        <v>72</v>
      </c>
      <c r="F1381" t="s">
        <v>78</v>
      </c>
    </row>
    <row r="1382" spans="1:6" x14ac:dyDescent="0.45">
      <c r="A1382">
        <v>55</v>
      </c>
      <c r="B1382">
        <v>16</v>
      </c>
      <c r="C1382">
        <v>53000</v>
      </c>
      <c r="D1382" t="s">
        <v>71</v>
      </c>
      <c r="E1382" t="s">
        <v>74</v>
      </c>
      <c r="F1382" t="s">
        <v>78</v>
      </c>
    </row>
    <row r="1383" spans="1:6" x14ac:dyDescent="0.45">
      <c r="A1383">
        <v>40</v>
      </c>
      <c r="B1383">
        <v>16</v>
      </c>
      <c r="C1383">
        <v>53000</v>
      </c>
      <c r="D1383" t="s">
        <v>71</v>
      </c>
      <c r="E1383" t="s">
        <v>74</v>
      </c>
      <c r="F1383" t="s">
        <v>78</v>
      </c>
    </row>
    <row r="1384" spans="1:6" x14ac:dyDescent="0.45">
      <c r="A1384">
        <v>60</v>
      </c>
      <c r="B1384">
        <v>16</v>
      </c>
      <c r="C1384">
        <v>53000</v>
      </c>
      <c r="D1384" t="s">
        <v>71</v>
      </c>
      <c r="E1384" t="s">
        <v>72</v>
      </c>
      <c r="F1384" t="s">
        <v>78</v>
      </c>
    </row>
    <row r="1385" spans="1:6" x14ac:dyDescent="0.45">
      <c r="A1385">
        <v>40</v>
      </c>
      <c r="B1385">
        <v>16</v>
      </c>
      <c r="C1385">
        <v>53000</v>
      </c>
      <c r="D1385" t="s">
        <v>71</v>
      </c>
      <c r="E1385" t="s">
        <v>74</v>
      </c>
      <c r="F1385" t="s">
        <v>78</v>
      </c>
    </row>
    <row r="1386" spans="1:6" x14ac:dyDescent="0.45">
      <c r="A1386">
        <v>50</v>
      </c>
      <c r="B1386">
        <v>16</v>
      </c>
      <c r="C1386">
        <v>53000</v>
      </c>
      <c r="D1386" t="s">
        <v>71</v>
      </c>
      <c r="E1386" t="s">
        <v>74</v>
      </c>
      <c r="F1386" t="s">
        <v>78</v>
      </c>
    </row>
    <row r="1387" spans="1:6" x14ac:dyDescent="0.45">
      <c r="A1387">
        <v>50</v>
      </c>
      <c r="B1387">
        <v>16</v>
      </c>
      <c r="C1387">
        <v>53230</v>
      </c>
      <c r="D1387" t="s">
        <v>71</v>
      </c>
      <c r="E1387" t="s">
        <v>74</v>
      </c>
      <c r="F1387" t="s">
        <v>78</v>
      </c>
    </row>
    <row r="1388" spans="1:6" x14ac:dyDescent="0.45">
      <c r="A1388">
        <v>40</v>
      </c>
      <c r="B1388">
        <v>16</v>
      </c>
      <c r="C1388">
        <v>53230</v>
      </c>
      <c r="D1388" t="s">
        <v>71</v>
      </c>
      <c r="E1388" t="s">
        <v>74</v>
      </c>
      <c r="F1388" t="s">
        <v>78</v>
      </c>
    </row>
    <row r="1389" spans="1:6" x14ac:dyDescent="0.45">
      <c r="A1389">
        <v>40</v>
      </c>
      <c r="B1389">
        <v>16</v>
      </c>
      <c r="C1389">
        <v>53500</v>
      </c>
      <c r="D1389" t="s">
        <v>71</v>
      </c>
      <c r="E1389" t="s">
        <v>72</v>
      </c>
      <c r="F1389" t="s">
        <v>78</v>
      </c>
    </row>
    <row r="1390" spans="1:6" x14ac:dyDescent="0.45">
      <c r="A1390">
        <v>0</v>
      </c>
      <c r="B1390">
        <v>16</v>
      </c>
      <c r="C1390">
        <v>53613</v>
      </c>
      <c r="D1390" t="s">
        <v>76</v>
      </c>
      <c r="E1390" t="s">
        <v>72</v>
      </c>
      <c r="F1390" t="s">
        <v>78</v>
      </c>
    </row>
    <row r="1391" spans="1:6" x14ac:dyDescent="0.45">
      <c r="A1391">
        <v>50</v>
      </c>
      <c r="B1391">
        <v>16</v>
      </c>
      <c r="C1391">
        <v>54000</v>
      </c>
      <c r="D1391" t="s">
        <v>71</v>
      </c>
      <c r="E1391" t="s">
        <v>74</v>
      </c>
      <c r="F1391" t="s">
        <v>78</v>
      </c>
    </row>
    <row r="1392" spans="1:6" x14ac:dyDescent="0.45">
      <c r="A1392">
        <v>50</v>
      </c>
      <c r="B1392">
        <v>16</v>
      </c>
      <c r="C1392">
        <v>54000</v>
      </c>
      <c r="D1392" t="s">
        <v>71</v>
      </c>
      <c r="E1392" t="s">
        <v>74</v>
      </c>
      <c r="F1392" t="s">
        <v>78</v>
      </c>
    </row>
    <row r="1393" spans="1:6" x14ac:dyDescent="0.45">
      <c r="A1393">
        <v>40</v>
      </c>
      <c r="B1393">
        <v>16</v>
      </c>
      <c r="C1393">
        <v>54000</v>
      </c>
      <c r="D1393" t="s">
        <v>71</v>
      </c>
      <c r="E1393" t="s">
        <v>72</v>
      </c>
      <c r="F1393" t="s">
        <v>78</v>
      </c>
    </row>
    <row r="1394" spans="1:6" x14ac:dyDescent="0.45">
      <c r="A1394">
        <v>42</v>
      </c>
      <c r="B1394">
        <v>16</v>
      </c>
      <c r="C1394">
        <v>54000</v>
      </c>
      <c r="D1394" t="s">
        <v>71</v>
      </c>
      <c r="E1394" t="s">
        <v>72</v>
      </c>
      <c r="F1394" t="s">
        <v>78</v>
      </c>
    </row>
    <row r="1395" spans="1:6" x14ac:dyDescent="0.45">
      <c r="A1395">
        <v>40</v>
      </c>
      <c r="B1395">
        <v>16</v>
      </c>
      <c r="C1395">
        <v>55000</v>
      </c>
      <c r="D1395" t="s">
        <v>71</v>
      </c>
      <c r="E1395" t="s">
        <v>74</v>
      </c>
      <c r="F1395" t="s">
        <v>78</v>
      </c>
    </row>
    <row r="1396" spans="1:6" x14ac:dyDescent="0.45">
      <c r="A1396">
        <v>40</v>
      </c>
      <c r="B1396">
        <v>16</v>
      </c>
      <c r="C1396">
        <v>55000</v>
      </c>
      <c r="D1396" t="s">
        <v>71</v>
      </c>
      <c r="E1396" t="s">
        <v>72</v>
      </c>
      <c r="F1396" t="s">
        <v>78</v>
      </c>
    </row>
    <row r="1397" spans="1:6" x14ac:dyDescent="0.45">
      <c r="A1397">
        <v>40</v>
      </c>
      <c r="B1397">
        <v>16</v>
      </c>
      <c r="C1397">
        <v>55000</v>
      </c>
      <c r="D1397" t="s">
        <v>71</v>
      </c>
      <c r="E1397" t="s">
        <v>74</v>
      </c>
      <c r="F1397" t="s">
        <v>78</v>
      </c>
    </row>
    <row r="1398" spans="1:6" x14ac:dyDescent="0.45">
      <c r="A1398">
        <v>0</v>
      </c>
      <c r="B1398">
        <v>16</v>
      </c>
      <c r="C1398">
        <v>55000</v>
      </c>
      <c r="D1398" t="s">
        <v>76</v>
      </c>
      <c r="E1398" t="s">
        <v>72</v>
      </c>
      <c r="F1398" t="s">
        <v>78</v>
      </c>
    </row>
    <row r="1399" spans="1:6" x14ac:dyDescent="0.45">
      <c r="A1399">
        <v>50</v>
      </c>
      <c r="B1399">
        <v>16</v>
      </c>
      <c r="C1399">
        <v>55000</v>
      </c>
      <c r="D1399" t="s">
        <v>71</v>
      </c>
      <c r="E1399" t="s">
        <v>72</v>
      </c>
      <c r="F1399" t="s">
        <v>78</v>
      </c>
    </row>
    <row r="1400" spans="1:6" x14ac:dyDescent="0.45">
      <c r="A1400">
        <v>0</v>
      </c>
      <c r="B1400">
        <v>16</v>
      </c>
      <c r="C1400">
        <v>55000</v>
      </c>
      <c r="D1400" t="s">
        <v>71</v>
      </c>
      <c r="E1400" t="s">
        <v>72</v>
      </c>
      <c r="F1400" t="s">
        <v>78</v>
      </c>
    </row>
    <row r="1401" spans="1:6" x14ac:dyDescent="0.45">
      <c r="A1401">
        <v>45</v>
      </c>
      <c r="B1401">
        <v>16</v>
      </c>
      <c r="C1401">
        <v>55000</v>
      </c>
      <c r="D1401" t="s">
        <v>71</v>
      </c>
      <c r="E1401" t="s">
        <v>74</v>
      </c>
      <c r="F1401" t="s">
        <v>78</v>
      </c>
    </row>
    <row r="1402" spans="1:6" x14ac:dyDescent="0.45">
      <c r="A1402">
        <v>40</v>
      </c>
      <c r="B1402">
        <v>16</v>
      </c>
      <c r="C1402">
        <v>55000</v>
      </c>
      <c r="D1402" t="s">
        <v>71</v>
      </c>
      <c r="E1402" t="s">
        <v>72</v>
      </c>
      <c r="F1402" t="s">
        <v>78</v>
      </c>
    </row>
    <row r="1403" spans="1:6" x14ac:dyDescent="0.45">
      <c r="A1403">
        <v>40</v>
      </c>
      <c r="B1403">
        <v>16</v>
      </c>
      <c r="C1403">
        <v>55000</v>
      </c>
      <c r="D1403" t="s">
        <v>71</v>
      </c>
      <c r="E1403" t="s">
        <v>74</v>
      </c>
      <c r="F1403" t="s">
        <v>78</v>
      </c>
    </row>
    <row r="1404" spans="1:6" x14ac:dyDescent="0.45">
      <c r="A1404">
        <v>0</v>
      </c>
      <c r="B1404">
        <v>16</v>
      </c>
      <c r="C1404">
        <v>55000</v>
      </c>
      <c r="D1404" t="s">
        <v>71</v>
      </c>
      <c r="E1404" t="s">
        <v>74</v>
      </c>
      <c r="F1404" t="s">
        <v>78</v>
      </c>
    </row>
    <row r="1405" spans="1:6" x14ac:dyDescent="0.45">
      <c r="A1405">
        <v>0</v>
      </c>
      <c r="B1405">
        <v>16</v>
      </c>
      <c r="C1405">
        <v>55000</v>
      </c>
      <c r="D1405" t="s">
        <v>71</v>
      </c>
      <c r="E1405" t="s">
        <v>72</v>
      </c>
      <c r="F1405" t="s">
        <v>78</v>
      </c>
    </row>
    <row r="1406" spans="1:6" x14ac:dyDescent="0.45">
      <c r="A1406">
        <v>44</v>
      </c>
      <c r="B1406">
        <v>16</v>
      </c>
      <c r="C1406">
        <v>55000</v>
      </c>
      <c r="D1406" t="s">
        <v>71</v>
      </c>
      <c r="E1406" t="s">
        <v>74</v>
      </c>
      <c r="F1406" t="s">
        <v>78</v>
      </c>
    </row>
    <row r="1407" spans="1:6" x14ac:dyDescent="0.45">
      <c r="A1407">
        <v>40</v>
      </c>
      <c r="B1407">
        <v>16</v>
      </c>
      <c r="C1407">
        <v>55000</v>
      </c>
      <c r="D1407" t="s">
        <v>71</v>
      </c>
      <c r="E1407" t="s">
        <v>72</v>
      </c>
      <c r="F1407" t="s">
        <v>78</v>
      </c>
    </row>
    <row r="1408" spans="1:6" x14ac:dyDescent="0.45">
      <c r="A1408">
        <v>50</v>
      </c>
      <c r="B1408">
        <v>16</v>
      </c>
      <c r="C1408">
        <v>55000</v>
      </c>
      <c r="D1408" t="s">
        <v>71</v>
      </c>
      <c r="E1408" t="s">
        <v>72</v>
      </c>
      <c r="F1408" t="s">
        <v>78</v>
      </c>
    </row>
    <row r="1409" spans="1:6" x14ac:dyDescent="0.45">
      <c r="A1409">
        <v>40</v>
      </c>
      <c r="B1409">
        <v>16</v>
      </c>
      <c r="C1409">
        <v>55000</v>
      </c>
      <c r="D1409" t="s">
        <v>71</v>
      </c>
      <c r="E1409" t="s">
        <v>74</v>
      </c>
      <c r="F1409" t="s">
        <v>78</v>
      </c>
    </row>
    <row r="1410" spans="1:6" x14ac:dyDescent="0.45">
      <c r="A1410">
        <v>40</v>
      </c>
      <c r="B1410">
        <v>16</v>
      </c>
      <c r="C1410">
        <v>55000</v>
      </c>
      <c r="D1410" t="s">
        <v>71</v>
      </c>
      <c r="E1410" t="s">
        <v>72</v>
      </c>
      <c r="F1410" t="s">
        <v>78</v>
      </c>
    </row>
    <row r="1411" spans="1:6" x14ac:dyDescent="0.45">
      <c r="A1411">
        <v>50</v>
      </c>
      <c r="B1411">
        <v>16</v>
      </c>
      <c r="C1411">
        <v>55000</v>
      </c>
      <c r="D1411" t="s">
        <v>71</v>
      </c>
      <c r="E1411" t="s">
        <v>74</v>
      </c>
      <c r="F1411" t="s">
        <v>78</v>
      </c>
    </row>
    <row r="1412" spans="1:6" x14ac:dyDescent="0.45">
      <c r="A1412">
        <v>40</v>
      </c>
      <c r="B1412">
        <v>16</v>
      </c>
      <c r="C1412">
        <v>55000</v>
      </c>
      <c r="D1412" t="s">
        <v>71</v>
      </c>
      <c r="E1412" t="s">
        <v>72</v>
      </c>
      <c r="F1412" t="s">
        <v>78</v>
      </c>
    </row>
    <row r="1413" spans="1:6" x14ac:dyDescent="0.45">
      <c r="A1413">
        <v>45</v>
      </c>
      <c r="B1413">
        <v>16</v>
      </c>
      <c r="C1413">
        <v>55000</v>
      </c>
      <c r="D1413" t="s">
        <v>71</v>
      </c>
      <c r="E1413" t="s">
        <v>74</v>
      </c>
      <c r="F1413" t="s">
        <v>78</v>
      </c>
    </row>
    <row r="1414" spans="1:6" x14ac:dyDescent="0.45">
      <c r="A1414">
        <v>50</v>
      </c>
      <c r="B1414">
        <v>16</v>
      </c>
      <c r="C1414">
        <v>55000</v>
      </c>
      <c r="D1414" t="s">
        <v>71</v>
      </c>
      <c r="E1414" t="s">
        <v>74</v>
      </c>
      <c r="F1414" t="s">
        <v>78</v>
      </c>
    </row>
    <row r="1415" spans="1:6" x14ac:dyDescent="0.45">
      <c r="A1415">
        <v>50</v>
      </c>
      <c r="B1415">
        <v>16</v>
      </c>
      <c r="C1415">
        <v>55000</v>
      </c>
      <c r="D1415" t="s">
        <v>71</v>
      </c>
      <c r="E1415" t="s">
        <v>74</v>
      </c>
      <c r="F1415" t="s">
        <v>78</v>
      </c>
    </row>
    <row r="1416" spans="1:6" x14ac:dyDescent="0.45">
      <c r="A1416">
        <v>50</v>
      </c>
      <c r="B1416">
        <v>16</v>
      </c>
      <c r="C1416">
        <v>55000</v>
      </c>
      <c r="D1416" t="s">
        <v>71</v>
      </c>
      <c r="E1416" t="s">
        <v>74</v>
      </c>
      <c r="F1416" t="s">
        <v>78</v>
      </c>
    </row>
    <row r="1417" spans="1:6" x14ac:dyDescent="0.45">
      <c r="A1417">
        <v>48</v>
      </c>
      <c r="B1417">
        <v>16</v>
      </c>
      <c r="C1417">
        <v>55000</v>
      </c>
      <c r="D1417" t="s">
        <v>71</v>
      </c>
      <c r="E1417" t="s">
        <v>74</v>
      </c>
      <c r="F1417" t="s">
        <v>78</v>
      </c>
    </row>
    <row r="1418" spans="1:6" x14ac:dyDescent="0.45">
      <c r="A1418">
        <v>50</v>
      </c>
      <c r="B1418">
        <v>16</v>
      </c>
      <c r="C1418">
        <v>55000</v>
      </c>
      <c r="D1418" t="s">
        <v>71</v>
      </c>
      <c r="E1418" t="s">
        <v>74</v>
      </c>
      <c r="F1418" t="s">
        <v>78</v>
      </c>
    </row>
    <row r="1419" spans="1:6" x14ac:dyDescent="0.45">
      <c r="A1419">
        <v>45</v>
      </c>
      <c r="B1419">
        <v>16</v>
      </c>
      <c r="C1419">
        <v>55000</v>
      </c>
      <c r="D1419" t="s">
        <v>71</v>
      </c>
      <c r="E1419" t="s">
        <v>72</v>
      </c>
      <c r="F1419" t="s">
        <v>78</v>
      </c>
    </row>
    <row r="1420" spans="1:6" x14ac:dyDescent="0.45">
      <c r="A1420">
        <v>50</v>
      </c>
      <c r="B1420">
        <v>16</v>
      </c>
      <c r="C1420">
        <v>55000</v>
      </c>
      <c r="D1420" t="s">
        <v>71</v>
      </c>
      <c r="E1420" t="s">
        <v>74</v>
      </c>
      <c r="F1420" t="s">
        <v>78</v>
      </c>
    </row>
    <row r="1421" spans="1:6" x14ac:dyDescent="0.45">
      <c r="A1421">
        <v>50</v>
      </c>
      <c r="B1421">
        <v>16</v>
      </c>
      <c r="C1421">
        <v>55000</v>
      </c>
      <c r="D1421" t="s">
        <v>71</v>
      </c>
      <c r="E1421" t="s">
        <v>74</v>
      </c>
      <c r="F1421" t="s">
        <v>78</v>
      </c>
    </row>
    <row r="1422" spans="1:6" x14ac:dyDescent="0.45">
      <c r="A1422">
        <v>40</v>
      </c>
      <c r="B1422">
        <v>16</v>
      </c>
      <c r="C1422">
        <v>55400</v>
      </c>
      <c r="D1422" t="s">
        <v>76</v>
      </c>
      <c r="E1422" t="s">
        <v>74</v>
      </c>
      <c r="F1422" t="s">
        <v>78</v>
      </c>
    </row>
    <row r="1423" spans="1:6" x14ac:dyDescent="0.45">
      <c r="A1423">
        <v>40</v>
      </c>
      <c r="B1423">
        <v>16</v>
      </c>
      <c r="C1423">
        <v>55800</v>
      </c>
      <c r="D1423" t="s">
        <v>71</v>
      </c>
      <c r="E1423" t="s">
        <v>72</v>
      </c>
      <c r="F1423" t="s">
        <v>78</v>
      </c>
    </row>
    <row r="1424" spans="1:6" x14ac:dyDescent="0.45">
      <c r="A1424">
        <v>45</v>
      </c>
      <c r="B1424">
        <v>16</v>
      </c>
      <c r="C1424">
        <v>55800</v>
      </c>
      <c r="D1424" t="s">
        <v>71</v>
      </c>
      <c r="E1424" t="s">
        <v>74</v>
      </c>
      <c r="F1424" t="s">
        <v>78</v>
      </c>
    </row>
    <row r="1425" spans="1:6" x14ac:dyDescent="0.45">
      <c r="A1425">
        <v>0</v>
      </c>
      <c r="B1425">
        <v>16</v>
      </c>
      <c r="C1425">
        <v>56000</v>
      </c>
      <c r="D1425" t="s">
        <v>71</v>
      </c>
      <c r="E1425" t="s">
        <v>74</v>
      </c>
      <c r="F1425" t="s">
        <v>78</v>
      </c>
    </row>
    <row r="1426" spans="1:6" x14ac:dyDescent="0.45">
      <c r="A1426">
        <v>60</v>
      </c>
      <c r="B1426">
        <v>16</v>
      </c>
      <c r="C1426">
        <v>56000</v>
      </c>
      <c r="D1426" t="s">
        <v>76</v>
      </c>
      <c r="E1426" t="s">
        <v>74</v>
      </c>
      <c r="F1426" t="s">
        <v>78</v>
      </c>
    </row>
    <row r="1427" spans="1:6" x14ac:dyDescent="0.45">
      <c r="A1427">
        <v>40</v>
      </c>
      <c r="B1427">
        <v>16</v>
      </c>
      <c r="C1427">
        <v>56000</v>
      </c>
      <c r="D1427" t="s">
        <v>75</v>
      </c>
      <c r="E1427" t="s">
        <v>72</v>
      </c>
      <c r="F1427" t="s">
        <v>78</v>
      </c>
    </row>
    <row r="1428" spans="1:6" x14ac:dyDescent="0.45">
      <c r="A1428">
        <v>55</v>
      </c>
      <c r="B1428">
        <v>16</v>
      </c>
      <c r="C1428">
        <v>56000</v>
      </c>
      <c r="D1428" t="s">
        <v>71</v>
      </c>
      <c r="E1428" t="s">
        <v>74</v>
      </c>
      <c r="F1428" t="s">
        <v>78</v>
      </c>
    </row>
    <row r="1429" spans="1:6" x14ac:dyDescent="0.45">
      <c r="A1429">
        <v>45</v>
      </c>
      <c r="B1429">
        <v>16</v>
      </c>
      <c r="C1429">
        <v>56000</v>
      </c>
      <c r="D1429" t="s">
        <v>71</v>
      </c>
      <c r="E1429" t="s">
        <v>72</v>
      </c>
      <c r="F1429" t="s">
        <v>78</v>
      </c>
    </row>
    <row r="1430" spans="1:6" x14ac:dyDescent="0.45">
      <c r="A1430">
        <v>80</v>
      </c>
      <c r="B1430">
        <v>16</v>
      </c>
      <c r="C1430">
        <v>56000</v>
      </c>
      <c r="D1430" t="s">
        <v>71</v>
      </c>
      <c r="E1430" t="s">
        <v>74</v>
      </c>
      <c r="F1430" t="s">
        <v>78</v>
      </c>
    </row>
    <row r="1431" spans="1:6" x14ac:dyDescent="0.45">
      <c r="A1431">
        <v>55</v>
      </c>
      <c r="B1431">
        <v>16</v>
      </c>
      <c r="C1431">
        <v>56000</v>
      </c>
      <c r="D1431" t="s">
        <v>71</v>
      </c>
      <c r="E1431" t="s">
        <v>74</v>
      </c>
      <c r="F1431" t="s">
        <v>78</v>
      </c>
    </row>
    <row r="1432" spans="1:6" x14ac:dyDescent="0.45">
      <c r="A1432">
        <v>44</v>
      </c>
      <c r="B1432">
        <v>16</v>
      </c>
      <c r="C1432">
        <v>56000</v>
      </c>
      <c r="D1432" t="s">
        <v>71</v>
      </c>
      <c r="E1432" t="s">
        <v>72</v>
      </c>
      <c r="F1432" t="s">
        <v>78</v>
      </c>
    </row>
    <row r="1433" spans="1:6" x14ac:dyDescent="0.45">
      <c r="A1433">
        <v>80</v>
      </c>
      <c r="B1433">
        <v>16</v>
      </c>
      <c r="C1433">
        <v>56000</v>
      </c>
      <c r="D1433" t="s">
        <v>71</v>
      </c>
      <c r="E1433" t="s">
        <v>72</v>
      </c>
      <c r="F1433" t="s">
        <v>78</v>
      </c>
    </row>
    <row r="1434" spans="1:6" x14ac:dyDescent="0.45">
      <c r="A1434">
        <v>50</v>
      </c>
      <c r="B1434">
        <v>16</v>
      </c>
      <c r="C1434">
        <v>56000</v>
      </c>
      <c r="D1434" t="s">
        <v>71</v>
      </c>
      <c r="E1434" t="s">
        <v>72</v>
      </c>
      <c r="F1434" t="s">
        <v>78</v>
      </c>
    </row>
    <row r="1435" spans="1:6" x14ac:dyDescent="0.45">
      <c r="A1435">
        <v>50</v>
      </c>
      <c r="B1435">
        <v>16</v>
      </c>
      <c r="C1435">
        <v>56500</v>
      </c>
      <c r="D1435" t="s">
        <v>71</v>
      </c>
      <c r="E1435" t="s">
        <v>74</v>
      </c>
      <c r="F1435" t="s">
        <v>78</v>
      </c>
    </row>
    <row r="1436" spans="1:6" x14ac:dyDescent="0.45">
      <c r="A1436">
        <v>50</v>
      </c>
      <c r="B1436">
        <v>16</v>
      </c>
      <c r="C1436">
        <v>57000</v>
      </c>
      <c r="D1436" t="s">
        <v>71</v>
      </c>
      <c r="E1436" t="s">
        <v>74</v>
      </c>
      <c r="F1436" t="s">
        <v>78</v>
      </c>
    </row>
    <row r="1437" spans="1:6" x14ac:dyDescent="0.45">
      <c r="A1437">
        <v>0</v>
      </c>
      <c r="B1437">
        <v>16</v>
      </c>
      <c r="C1437">
        <v>57000</v>
      </c>
      <c r="D1437" t="s">
        <v>71</v>
      </c>
      <c r="E1437" t="s">
        <v>74</v>
      </c>
      <c r="F1437" t="s">
        <v>78</v>
      </c>
    </row>
    <row r="1438" spans="1:6" x14ac:dyDescent="0.45">
      <c r="A1438">
        <v>40</v>
      </c>
      <c r="B1438">
        <v>16</v>
      </c>
      <c r="C1438">
        <v>57000</v>
      </c>
      <c r="D1438" t="s">
        <v>71</v>
      </c>
      <c r="E1438" t="s">
        <v>74</v>
      </c>
      <c r="F1438" t="s">
        <v>78</v>
      </c>
    </row>
    <row r="1439" spans="1:6" x14ac:dyDescent="0.45">
      <c r="A1439">
        <v>50</v>
      </c>
      <c r="B1439">
        <v>16</v>
      </c>
      <c r="C1439">
        <v>57500</v>
      </c>
      <c r="D1439" t="s">
        <v>71</v>
      </c>
      <c r="E1439" t="s">
        <v>74</v>
      </c>
      <c r="F1439" t="s">
        <v>78</v>
      </c>
    </row>
    <row r="1440" spans="1:6" x14ac:dyDescent="0.45">
      <c r="A1440">
        <v>38</v>
      </c>
      <c r="B1440">
        <v>16</v>
      </c>
      <c r="C1440">
        <v>57782</v>
      </c>
      <c r="D1440" t="s">
        <v>71</v>
      </c>
      <c r="E1440" t="s">
        <v>72</v>
      </c>
      <c r="F1440" t="s">
        <v>78</v>
      </c>
    </row>
    <row r="1441" spans="1:6" x14ac:dyDescent="0.45">
      <c r="A1441">
        <v>40</v>
      </c>
      <c r="B1441">
        <v>16</v>
      </c>
      <c r="C1441">
        <v>57782</v>
      </c>
      <c r="D1441" t="s">
        <v>71</v>
      </c>
      <c r="E1441" t="s">
        <v>72</v>
      </c>
      <c r="F1441" t="s">
        <v>78</v>
      </c>
    </row>
    <row r="1442" spans="1:6" x14ac:dyDescent="0.45">
      <c r="A1442">
        <v>0</v>
      </c>
      <c r="B1442">
        <v>16</v>
      </c>
      <c r="C1442">
        <v>58000</v>
      </c>
      <c r="D1442" t="s">
        <v>71</v>
      </c>
      <c r="E1442" t="s">
        <v>72</v>
      </c>
      <c r="F1442" t="s">
        <v>78</v>
      </c>
    </row>
    <row r="1443" spans="1:6" x14ac:dyDescent="0.45">
      <c r="A1443">
        <v>50</v>
      </c>
      <c r="B1443">
        <v>16</v>
      </c>
      <c r="C1443">
        <v>58000</v>
      </c>
      <c r="D1443" t="s">
        <v>71</v>
      </c>
      <c r="E1443" t="s">
        <v>72</v>
      </c>
      <c r="F1443" t="s">
        <v>78</v>
      </c>
    </row>
    <row r="1444" spans="1:6" x14ac:dyDescent="0.45">
      <c r="A1444">
        <v>60</v>
      </c>
      <c r="B1444">
        <v>16</v>
      </c>
      <c r="C1444">
        <v>58000</v>
      </c>
      <c r="D1444" t="s">
        <v>71</v>
      </c>
      <c r="E1444" t="s">
        <v>72</v>
      </c>
      <c r="F1444" t="s">
        <v>78</v>
      </c>
    </row>
    <row r="1445" spans="1:6" x14ac:dyDescent="0.45">
      <c r="A1445">
        <v>37</v>
      </c>
      <c r="B1445">
        <v>16</v>
      </c>
      <c r="C1445">
        <v>58000</v>
      </c>
      <c r="D1445" t="s">
        <v>71</v>
      </c>
      <c r="E1445" t="s">
        <v>74</v>
      </c>
      <c r="F1445" t="s">
        <v>78</v>
      </c>
    </row>
    <row r="1446" spans="1:6" x14ac:dyDescent="0.45">
      <c r="A1446">
        <v>40</v>
      </c>
      <c r="B1446">
        <v>16</v>
      </c>
      <c r="C1446">
        <v>58000</v>
      </c>
      <c r="D1446" t="s">
        <v>71</v>
      </c>
      <c r="E1446" t="s">
        <v>72</v>
      </c>
      <c r="F1446" t="s">
        <v>78</v>
      </c>
    </row>
    <row r="1447" spans="1:6" x14ac:dyDescent="0.45">
      <c r="A1447">
        <v>38</v>
      </c>
      <c r="B1447">
        <v>16</v>
      </c>
      <c r="C1447">
        <v>58000</v>
      </c>
      <c r="D1447" t="s">
        <v>71</v>
      </c>
      <c r="E1447" t="s">
        <v>72</v>
      </c>
      <c r="F1447" t="s">
        <v>78</v>
      </c>
    </row>
    <row r="1448" spans="1:6" x14ac:dyDescent="0.45">
      <c r="A1448">
        <v>45</v>
      </c>
      <c r="B1448">
        <v>16</v>
      </c>
      <c r="C1448">
        <v>58000</v>
      </c>
      <c r="D1448" t="s">
        <v>71</v>
      </c>
      <c r="E1448" t="s">
        <v>72</v>
      </c>
      <c r="F1448" t="s">
        <v>78</v>
      </c>
    </row>
    <row r="1449" spans="1:6" x14ac:dyDescent="0.45">
      <c r="A1449">
        <v>45</v>
      </c>
      <c r="B1449">
        <v>16</v>
      </c>
      <c r="C1449">
        <v>58000</v>
      </c>
      <c r="D1449" t="s">
        <v>71</v>
      </c>
      <c r="E1449" t="s">
        <v>74</v>
      </c>
      <c r="F1449" t="s">
        <v>78</v>
      </c>
    </row>
    <row r="1450" spans="1:6" x14ac:dyDescent="0.45">
      <c r="A1450">
        <v>40</v>
      </c>
      <c r="B1450">
        <v>16</v>
      </c>
      <c r="C1450">
        <v>58000</v>
      </c>
      <c r="D1450" t="s">
        <v>71</v>
      </c>
      <c r="E1450" t="s">
        <v>72</v>
      </c>
      <c r="F1450" t="s">
        <v>78</v>
      </c>
    </row>
    <row r="1451" spans="1:6" x14ac:dyDescent="0.45">
      <c r="A1451">
        <v>40</v>
      </c>
      <c r="B1451">
        <v>16</v>
      </c>
      <c r="C1451">
        <v>58328</v>
      </c>
      <c r="D1451" t="s">
        <v>71</v>
      </c>
      <c r="E1451" t="s">
        <v>74</v>
      </c>
      <c r="F1451" t="s">
        <v>78</v>
      </c>
    </row>
    <row r="1452" spans="1:6" x14ac:dyDescent="0.45">
      <c r="A1452">
        <v>40</v>
      </c>
      <c r="B1452">
        <v>16</v>
      </c>
      <c r="C1452">
        <v>59089</v>
      </c>
      <c r="D1452" t="s">
        <v>71</v>
      </c>
      <c r="E1452" t="s">
        <v>74</v>
      </c>
      <c r="F1452" t="s">
        <v>78</v>
      </c>
    </row>
    <row r="1453" spans="1:6" x14ac:dyDescent="0.45">
      <c r="A1453">
        <v>40</v>
      </c>
      <c r="B1453">
        <v>16</v>
      </c>
      <c r="C1453">
        <v>59280</v>
      </c>
      <c r="D1453" t="s">
        <v>71</v>
      </c>
      <c r="E1453" t="s">
        <v>74</v>
      </c>
      <c r="F1453" t="s">
        <v>78</v>
      </c>
    </row>
    <row r="1454" spans="1:6" x14ac:dyDescent="0.45">
      <c r="A1454">
        <v>55</v>
      </c>
      <c r="B1454">
        <v>16</v>
      </c>
      <c r="C1454">
        <v>59925</v>
      </c>
      <c r="D1454" t="s">
        <v>71</v>
      </c>
      <c r="E1454" t="s">
        <v>74</v>
      </c>
      <c r="F1454" t="s">
        <v>78</v>
      </c>
    </row>
    <row r="1455" spans="1:6" x14ac:dyDescent="0.45">
      <c r="A1455">
        <v>60</v>
      </c>
      <c r="B1455">
        <v>16</v>
      </c>
      <c r="C1455">
        <v>60000</v>
      </c>
      <c r="D1455" t="s">
        <v>71</v>
      </c>
      <c r="E1455" t="s">
        <v>74</v>
      </c>
      <c r="F1455" t="s">
        <v>78</v>
      </c>
    </row>
    <row r="1456" spans="1:6" x14ac:dyDescent="0.45">
      <c r="A1456">
        <v>50</v>
      </c>
      <c r="B1456">
        <v>16</v>
      </c>
      <c r="C1456">
        <v>60000</v>
      </c>
      <c r="D1456" t="s">
        <v>71</v>
      </c>
      <c r="E1456" t="s">
        <v>72</v>
      </c>
      <c r="F1456" t="s">
        <v>78</v>
      </c>
    </row>
    <row r="1457" spans="1:6" x14ac:dyDescent="0.45">
      <c r="A1457">
        <v>50</v>
      </c>
      <c r="B1457">
        <v>16</v>
      </c>
      <c r="C1457">
        <v>60000</v>
      </c>
      <c r="D1457" t="s">
        <v>71</v>
      </c>
      <c r="E1457" t="s">
        <v>74</v>
      </c>
      <c r="F1457" t="s">
        <v>78</v>
      </c>
    </row>
    <row r="1458" spans="1:6" x14ac:dyDescent="0.45">
      <c r="A1458">
        <v>60</v>
      </c>
      <c r="B1458">
        <v>16</v>
      </c>
      <c r="C1458">
        <v>60000</v>
      </c>
      <c r="D1458" t="s">
        <v>71</v>
      </c>
      <c r="E1458" t="s">
        <v>74</v>
      </c>
      <c r="F1458" t="s">
        <v>78</v>
      </c>
    </row>
    <row r="1459" spans="1:6" x14ac:dyDescent="0.45">
      <c r="A1459">
        <v>45</v>
      </c>
      <c r="B1459">
        <v>16</v>
      </c>
      <c r="C1459">
        <v>60000</v>
      </c>
      <c r="D1459" t="s">
        <v>71</v>
      </c>
      <c r="E1459" t="s">
        <v>72</v>
      </c>
      <c r="F1459" t="s">
        <v>78</v>
      </c>
    </row>
    <row r="1460" spans="1:6" x14ac:dyDescent="0.45">
      <c r="A1460">
        <v>65</v>
      </c>
      <c r="B1460">
        <v>16</v>
      </c>
      <c r="C1460">
        <v>60000</v>
      </c>
      <c r="D1460" t="s">
        <v>71</v>
      </c>
      <c r="E1460" t="s">
        <v>72</v>
      </c>
      <c r="F1460" t="s">
        <v>78</v>
      </c>
    </row>
    <row r="1461" spans="1:6" x14ac:dyDescent="0.45">
      <c r="A1461">
        <v>40</v>
      </c>
      <c r="B1461">
        <v>16</v>
      </c>
      <c r="C1461">
        <v>60000</v>
      </c>
      <c r="D1461" t="s">
        <v>71</v>
      </c>
      <c r="E1461" t="s">
        <v>74</v>
      </c>
      <c r="F1461" t="s">
        <v>78</v>
      </c>
    </row>
    <row r="1462" spans="1:6" x14ac:dyDescent="0.45">
      <c r="A1462">
        <v>40</v>
      </c>
      <c r="B1462">
        <v>16</v>
      </c>
      <c r="C1462">
        <v>60000</v>
      </c>
      <c r="D1462" t="s">
        <v>71</v>
      </c>
      <c r="E1462" t="s">
        <v>72</v>
      </c>
      <c r="F1462" t="s">
        <v>78</v>
      </c>
    </row>
    <row r="1463" spans="1:6" x14ac:dyDescent="0.45">
      <c r="A1463">
        <v>60</v>
      </c>
      <c r="B1463">
        <v>16</v>
      </c>
      <c r="C1463">
        <v>60000</v>
      </c>
      <c r="D1463" t="s">
        <v>71</v>
      </c>
      <c r="E1463" t="s">
        <v>74</v>
      </c>
      <c r="F1463" t="s">
        <v>78</v>
      </c>
    </row>
    <row r="1464" spans="1:6" x14ac:dyDescent="0.45">
      <c r="A1464">
        <v>70</v>
      </c>
      <c r="B1464">
        <v>16</v>
      </c>
      <c r="C1464">
        <v>60000</v>
      </c>
      <c r="D1464" t="s">
        <v>71</v>
      </c>
      <c r="E1464" t="s">
        <v>74</v>
      </c>
      <c r="F1464" t="s">
        <v>78</v>
      </c>
    </row>
    <row r="1465" spans="1:6" x14ac:dyDescent="0.45">
      <c r="A1465">
        <v>43</v>
      </c>
      <c r="B1465">
        <v>16</v>
      </c>
      <c r="C1465">
        <v>60000</v>
      </c>
      <c r="D1465" t="s">
        <v>71</v>
      </c>
      <c r="E1465" t="s">
        <v>74</v>
      </c>
      <c r="F1465" t="s">
        <v>78</v>
      </c>
    </row>
    <row r="1466" spans="1:6" x14ac:dyDescent="0.45">
      <c r="A1466">
        <v>55</v>
      </c>
      <c r="B1466">
        <v>16</v>
      </c>
      <c r="C1466">
        <v>60000</v>
      </c>
      <c r="D1466" t="s">
        <v>71</v>
      </c>
      <c r="E1466" t="s">
        <v>74</v>
      </c>
      <c r="F1466" t="s">
        <v>78</v>
      </c>
    </row>
    <row r="1467" spans="1:6" x14ac:dyDescent="0.45">
      <c r="A1467">
        <v>50</v>
      </c>
      <c r="B1467">
        <v>16</v>
      </c>
      <c r="C1467">
        <v>60000</v>
      </c>
      <c r="D1467" t="s">
        <v>71</v>
      </c>
      <c r="E1467" t="s">
        <v>72</v>
      </c>
      <c r="F1467" t="s">
        <v>78</v>
      </c>
    </row>
    <row r="1468" spans="1:6" x14ac:dyDescent="0.45">
      <c r="A1468">
        <v>40</v>
      </c>
      <c r="B1468">
        <v>16</v>
      </c>
      <c r="C1468">
        <v>60000</v>
      </c>
      <c r="D1468" t="s">
        <v>71</v>
      </c>
      <c r="E1468" t="s">
        <v>74</v>
      </c>
      <c r="F1468" t="s">
        <v>78</v>
      </c>
    </row>
    <row r="1469" spans="1:6" x14ac:dyDescent="0.45">
      <c r="A1469">
        <v>40</v>
      </c>
      <c r="B1469">
        <v>16</v>
      </c>
      <c r="C1469">
        <v>60000</v>
      </c>
      <c r="D1469" t="s">
        <v>75</v>
      </c>
      <c r="E1469" t="s">
        <v>72</v>
      </c>
      <c r="F1469" t="s">
        <v>78</v>
      </c>
    </row>
    <row r="1470" spans="1:6" x14ac:dyDescent="0.45">
      <c r="A1470">
        <v>40</v>
      </c>
      <c r="B1470">
        <v>16</v>
      </c>
      <c r="C1470">
        <v>60000</v>
      </c>
      <c r="D1470" t="s">
        <v>75</v>
      </c>
      <c r="E1470" t="s">
        <v>72</v>
      </c>
      <c r="F1470" t="s">
        <v>78</v>
      </c>
    </row>
    <row r="1471" spans="1:6" x14ac:dyDescent="0.45">
      <c r="A1471">
        <v>40</v>
      </c>
      <c r="B1471">
        <v>16</v>
      </c>
      <c r="C1471">
        <v>60000</v>
      </c>
      <c r="D1471" t="s">
        <v>75</v>
      </c>
      <c r="E1471" t="s">
        <v>74</v>
      </c>
      <c r="F1471" t="s">
        <v>78</v>
      </c>
    </row>
    <row r="1472" spans="1:6" x14ac:dyDescent="0.45">
      <c r="A1472">
        <v>41</v>
      </c>
      <c r="B1472">
        <v>16</v>
      </c>
      <c r="C1472">
        <v>60000</v>
      </c>
      <c r="D1472" t="s">
        <v>71</v>
      </c>
      <c r="E1472" t="s">
        <v>74</v>
      </c>
      <c r="F1472" t="s">
        <v>78</v>
      </c>
    </row>
    <row r="1473" spans="1:6" x14ac:dyDescent="0.45">
      <c r="A1473">
        <v>0</v>
      </c>
      <c r="B1473">
        <v>16</v>
      </c>
      <c r="C1473">
        <v>60000</v>
      </c>
      <c r="D1473" t="s">
        <v>71</v>
      </c>
      <c r="E1473" t="s">
        <v>74</v>
      </c>
      <c r="F1473" t="s">
        <v>78</v>
      </c>
    </row>
    <row r="1474" spans="1:6" x14ac:dyDescent="0.45">
      <c r="A1474">
        <v>45</v>
      </c>
      <c r="B1474">
        <v>16</v>
      </c>
      <c r="C1474">
        <v>60000</v>
      </c>
      <c r="D1474" t="s">
        <v>71</v>
      </c>
      <c r="E1474" t="s">
        <v>72</v>
      </c>
      <c r="F1474" t="s">
        <v>78</v>
      </c>
    </row>
    <row r="1475" spans="1:6" x14ac:dyDescent="0.45">
      <c r="A1475">
        <v>70</v>
      </c>
      <c r="B1475">
        <v>16</v>
      </c>
      <c r="C1475">
        <v>60000</v>
      </c>
      <c r="D1475" t="s">
        <v>71</v>
      </c>
      <c r="E1475" t="s">
        <v>72</v>
      </c>
      <c r="F1475" t="s">
        <v>78</v>
      </c>
    </row>
    <row r="1476" spans="1:6" x14ac:dyDescent="0.45">
      <c r="A1476">
        <v>45</v>
      </c>
      <c r="B1476">
        <v>16</v>
      </c>
      <c r="C1476">
        <v>60000</v>
      </c>
      <c r="D1476" t="s">
        <v>71</v>
      </c>
      <c r="E1476" t="s">
        <v>74</v>
      </c>
      <c r="F1476" t="s">
        <v>78</v>
      </c>
    </row>
    <row r="1477" spans="1:6" x14ac:dyDescent="0.45">
      <c r="A1477">
        <v>45</v>
      </c>
      <c r="B1477">
        <v>16</v>
      </c>
      <c r="C1477">
        <v>60000</v>
      </c>
      <c r="D1477" t="s">
        <v>71</v>
      </c>
      <c r="E1477" t="s">
        <v>74</v>
      </c>
      <c r="F1477" t="s">
        <v>78</v>
      </c>
    </row>
    <row r="1478" spans="1:6" x14ac:dyDescent="0.45">
      <c r="A1478">
        <v>38</v>
      </c>
      <c r="B1478">
        <v>16</v>
      </c>
      <c r="C1478">
        <v>60000</v>
      </c>
      <c r="D1478" t="s">
        <v>71</v>
      </c>
      <c r="E1478" t="s">
        <v>74</v>
      </c>
      <c r="F1478" t="s">
        <v>78</v>
      </c>
    </row>
    <row r="1479" spans="1:6" x14ac:dyDescent="0.45">
      <c r="A1479">
        <v>50</v>
      </c>
      <c r="B1479">
        <v>16</v>
      </c>
      <c r="C1479">
        <v>60000</v>
      </c>
      <c r="D1479" t="s">
        <v>71</v>
      </c>
      <c r="E1479" t="s">
        <v>74</v>
      </c>
      <c r="F1479" t="s">
        <v>78</v>
      </c>
    </row>
    <row r="1480" spans="1:6" x14ac:dyDescent="0.45">
      <c r="A1480">
        <v>40</v>
      </c>
      <c r="B1480">
        <v>16</v>
      </c>
      <c r="C1480">
        <v>60000</v>
      </c>
      <c r="D1480" t="s">
        <v>71</v>
      </c>
      <c r="E1480" t="s">
        <v>74</v>
      </c>
      <c r="F1480" t="s">
        <v>78</v>
      </c>
    </row>
    <row r="1481" spans="1:6" x14ac:dyDescent="0.45">
      <c r="A1481">
        <v>0</v>
      </c>
      <c r="B1481">
        <v>16</v>
      </c>
      <c r="C1481">
        <v>60000</v>
      </c>
      <c r="D1481" t="s">
        <v>71</v>
      </c>
      <c r="E1481" t="s">
        <v>74</v>
      </c>
      <c r="F1481" t="s">
        <v>78</v>
      </c>
    </row>
    <row r="1482" spans="1:6" x14ac:dyDescent="0.45">
      <c r="A1482">
        <v>50</v>
      </c>
      <c r="B1482">
        <v>16</v>
      </c>
      <c r="C1482">
        <v>60000</v>
      </c>
      <c r="D1482" t="s">
        <v>71</v>
      </c>
      <c r="E1482" t="s">
        <v>74</v>
      </c>
      <c r="F1482" t="s">
        <v>78</v>
      </c>
    </row>
    <row r="1483" spans="1:6" x14ac:dyDescent="0.45">
      <c r="A1483">
        <v>40</v>
      </c>
      <c r="B1483">
        <v>16</v>
      </c>
      <c r="C1483">
        <v>60000</v>
      </c>
      <c r="D1483" t="s">
        <v>71</v>
      </c>
      <c r="E1483" t="s">
        <v>72</v>
      </c>
      <c r="F1483" t="s">
        <v>78</v>
      </c>
    </row>
    <row r="1484" spans="1:6" x14ac:dyDescent="0.45">
      <c r="A1484">
        <v>50</v>
      </c>
      <c r="B1484">
        <v>16</v>
      </c>
      <c r="C1484">
        <v>60000</v>
      </c>
      <c r="D1484" t="s">
        <v>71</v>
      </c>
      <c r="E1484" t="s">
        <v>74</v>
      </c>
      <c r="F1484" t="s">
        <v>78</v>
      </c>
    </row>
    <row r="1485" spans="1:6" x14ac:dyDescent="0.45">
      <c r="A1485">
        <v>45</v>
      </c>
      <c r="B1485">
        <v>16</v>
      </c>
      <c r="C1485">
        <v>60000</v>
      </c>
      <c r="D1485" t="s">
        <v>71</v>
      </c>
      <c r="E1485" t="s">
        <v>74</v>
      </c>
      <c r="F1485" t="s">
        <v>78</v>
      </c>
    </row>
    <row r="1486" spans="1:6" x14ac:dyDescent="0.45">
      <c r="A1486">
        <v>40</v>
      </c>
      <c r="B1486">
        <v>16</v>
      </c>
      <c r="C1486">
        <v>60000</v>
      </c>
      <c r="D1486" t="s">
        <v>71</v>
      </c>
      <c r="E1486" t="s">
        <v>72</v>
      </c>
      <c r="F1486" t="s">
        <v>78</v>
      </c>
    </row>
    <row r="1487" spans="1:6" x14ac:dyDescent="0.45">
      <c r="A1487">
        <v>40</v>
      </c>
      <c r="B1487">
        <v>16</v>
      </c>
      <c r="C1487">
        <v>60000</v>
      </c>
      <c r="D1487" t="s">
        <v>71</v>
      </c>
      <c r="E1487" t="s">
        <v>74</v>
      </c>
      <c r="F1487" t="s">
        <v>78</v>
      </c>
    </row>
    <row r="1488" spans="1:6" x14ac:dyDescent="0.45">
      <c r="A1488">
        <v>50</v>
      </c>
      <c r="B1488">
        <v>16</v>
      </c>
      <c r="C1488">
        <v>60000</v>
      </c>
      <c r="D1488" t="s">
        <v>71</v>
      </c>
      <c r="E1488" t="s">
        <v>74</v>
      </c>
      <c r="F1488" t="s">
        <v>78</v>
      </c>
    </row>
    <row r="1489" spans="1:6" x14ac:dyDescent="0.45">
      <c r="A1489">
        <v>45</v>
      </c>
      <c r="B1489">
        <v>16</v>
      </c>
      <c r="C1489">
        <v>60500</v>
      </c>
      <c r="D1489" t="s">
        <v>71</v>
      </c>
      <c r="E1489" t="s">
        <v>74</v>
      </c>
      <c r="F1489" t="s">
        <v>78</v>
      </c>
    </row>
    <row r="1490" spans="1:6" x14ac:dyDescent="0.45">
      <c r="A1490">
        <v>50</v>
      </c>
      <c r="B1490">
        <v>16</v>
      </c>
      <c r="C1490">
        <v>61000</v>
      </c>
      <c r="D1490" t="s">
        <v>71</v>
      </c>
      <c r="E1490" t="s">
        <v>72</v>
      </c>
      <c r="F1490" t="s">
        <v>78</v>
      </c>
    </row>
    <row r="1491" spans="1:6" x14ac:dyDescent="0.45">
      <c r="A1491">
        <v>50</v>
      </c>
      <c r="B1491">
        <v>16</v>
      </c>
      <c r="C1491">
        <v>61000</v>
      </c>
      <c r="D1491" t="s">
        <v>71</v>
      </c>
      <c r="E1491" t="s">
        <v>72</v>
      </c>
      <c r="F1491" t="s">
        <v>78</v>
      </c>
    </row>
    <row r="1492" spans="1:6" x14ac:dyDescent="0.45">
      <c r="A1492">
        <v>65</v>
      </c>
      <c r="B1492">
        <v>16</v>
      </c>
      <c r="C1492">
        <v>61000</v>
      </c>
      <c r="D1492" t="s">
        <v>71</v>
      </c>
      <c r="E1492" t="s">
        <v>74</v>
      </c>
      <c r="F1492" t="s">
        <v>78</v>
      </c>
    </row>
    <row r="1493" spans="1:6" x14ac:dyDescent="0.45">
      <c r="A1493">
        <v>50</v>
      </c>
      <c r="B1493">
        <v>16</v>
      </c>
      <c r="C1493">
        <v>61000</v>
      </c>
      <c r="D1493" t="s">
        <v>71</v>
      </c>
      <c r="E1493" t="s">
        <v>74</v>
      </c>
      <c r="F1493" t="s">
        <v>78</v>
      </c>
    </row>
    <row r="1494" spans="1:6" x14ac:dyDescent="0.45">
      <c r="A1494">
        <v>60</v>
      </c>
      <c r="B1494">
        <v>16</v>
      </c>
      <c r="C1494">
        <v>61601</v>
      </c>
      <c r="D1494" t="s">
        <v>71</v>
      </c>
      <c r="E1494" t="s">
        <v>74</v>
      </c>
      <c r="F1494" t="s">
        <v>78</v>
      </c>
    </row>
    <row r="1495" spans="1:6" x14ac:dyDescent="0.45">
      <c r="A1495">
        <v>55</v>
      </c>
      <c r="B1495">
        <v>16</v>
      </c>
      <c r="C1495">
        <v>62000</v>
      </c>
      <c r="D1495" t="s">
        <v>71</v>
      </c>
      <c r="E1495" t="s">
        <v>74</v>
      </c>
      <c r="F1495" t="s">
        <v>78</v>
      </c>
    </row>
    <row r="1496" spans="1:6" x14ac:dyDescent="0.45">
      <c r="A1496">
        <v>55</v>
      </c>
      <c r="B1496">
        <v>16</v>
      </c>
      <c r="C1496">
        <v>62000</v>
      </c>
      <c r="D1496" t="s">
        <v>71</v>
      </c>
      <c r="E1496" t="s">
        <v>74</v>
      </c>
      <c r="F1496" t="s">
        <v>78</v>
      </c>
    </row>
    <row r="1497" spans="1:6" x14ac:dyDescent="0.45">
      <c r="A1497">
        <v>40</v>
      </c>
      <c r="B1497">
        <v>16</v>
      </c>
      <c r="C1497">
        <v>62000</v>
      </c>
      <c r="D1497" t="s">
        <v>71</v>
      </c>
      <c r="E1497" t="s">
        <v>72</v>
      </c>
      <c r="F1497" t="s">
        <v>78</v>
      </c>
    </row>
    <row r="1498" spans="1:6" x14ac:dyDescent="0.45">
      <c r="A1498">
        <v>42</v>
      </c>
      <c r="B1498">
        <v>16</v>
      </c>
      <c r="C1498">
        <v>62000</v>
      </c>
      <c r="D1498" t="s">
        <v>71</v>
      </c>
      <c r="E1498" t="s">
        <v>74</v>
      </c>
      <c r="F1498" t="s">
        <v>78</v>
      </c>
    </row>
    <row r="1499" spans="1:6" x14ac:dyDescent="0.45">
      <c r="A1499">
        <v>52</v>
      </c>
      <c r="B1499">
        <v>16</v>
      </c>
      <c r="C1499">
        <v>62000</v>
      </c>
      <c r="D1499" t="s">
        <v>71</v>
      </c>
      <c r="E1499" t="s">
        <v>74</v>
      </c>
      <c r="F1499" t="s">
        <v>78</v>
      </c>
    </row>
    <row r="1500" spans="1:6" x14ac:dyDescent="0.45">
      <c r="A1500">
        <v>40</v>
      </c>
      <c r="B1500">
        <v>16</v>
      </c>
      <c r="C1500">
        <v>62000</v>
      </c>
      <c r="D1500" t="s">
        <v>71</v>
      </c>
      <c r="E1500" t="s">
        <v>72</v>
      </c>
      <c r="F1500" t="s">
        <v>78</v>
      </c>
    </row>
    <row r="1501" spans="1:6" x14ac:dyDescent="0.45">
      <c r="A1501">
        <v>40</v>
      </c>
      <c r="B1501">
        <v>16</v>
      </c>
      <c r="C1501">
        <v>62000</v>
      </c>
      <c r="D1501" t="s">
        <v>71</v>
      </c>
      <c r="E1501" t="s">
        <v>74</v>
      </c>
      <c r="F1501" t="s">
        <v>78</v>
      </c>
    </row>
    <row r="1502" spans="1:6" x14ac:dyDescent="0.45">
      <c r="A1502">
        <v>53</v>
      </c>
      <c r="B1502">
        <v>16</v>
      </c>
      <c r="C1502">
        <v>62000</v>
      </c>
      <c r="D1502" t="s">
        <v>71</v>
      </c>
      <c r="E1502" t="s">
        <v>72</v>
      </c>
      <c r="F1502" t="s">
        <v>78</v>
      </c>
    </row>
    <row r="1503" spans="1:6" x14ac:dyDescent="0.45">
      <c r="A1503">
        <v>40</v>
      </c>
      <c r="B1503">
        <v>16</v>
      </c>
      <c r="C1503">
        <v>62000</v>
      </c>
      <c r="D1503" t="s">
        <v>71</v>
      </c>
      <c r="E1503" t="s">
        <v>74</v>
      </c>
      <c r="F1503" t="s">
        <v>78</v>
      </c>
    </row>
    <row r="1504" spans="1:6" x14ac:dyDescent="0.45">
      <c r="A1504">
        <v>45</v>
      </c>
      <c r="B1504">
        <v>16</v>
      </c>
      <c r="C1504">
        <v>62000</v>
      </c>
      <c r="D1504" t="s">
        <v>71</v>
      </c>
      <c r="E1504" t="s">
        <v>74</v>
      </c>
      <c r="F1504" t="s">
        <v>78</v>
      </c>
    </row>
    <row r="1505" spans="1:6" x14ac:dyDescent="0.45">
      <c r="A1505">
        <v>52</v>
      </c>
      <c r="B1505">
        <v>16</v>
      </c>
      <c r="C1505">
        <v>62000</v>
      </c>
      <c r="D1505" t="s">
        <v>71</v>
      </c>
      <c r="E1505" t="s">
        <v>74</v>
      </c>
      <c r="F1505" t="s">
        <v>78</v>
      </c>
    </row>
    <row r="1506" spans="1:6" x14ac:dyDescent="0.45">
      <c r="A1506">
        <v>50</v>
      </c>
      <c r="B1506">
        <v>16</v>
      </c>
      <c r="C1506">
        <v>62000</v>
      </c>
      <c r="D1506" t="s">
        <v>71</v>
      </c>
      <c r="E1506" t="s">
        <v>74</v>
      </c>
      <c r="F1506" t="s">
        <v>78</v>
      </c>
    </row>
    <row r="1507" spans="1:6" x14ac:dyDescent="0.45">
      <c r="A1507">
        <v>44</v>
      </c>
      <c r="B1507">
        <v>16</v>
      </c>
      <c r="C1507">
        <v>62400</v>
      </c>
      <c r="D1507" t="s">
        <v>71</v>
      </c>
      <c r="E1507" t="s">
        <v>72</v>
      </c>
      <c r="F1507" t="s">
        <v>78</v>
      </c>
    </row>
    <row r="1508" spans="1:6" x14ac:dyDescent="0.45">
      <c r="A1508">
        <v>0</v>
      </c>
      <c r="B1508">
        <v>16</v>
      </c>
      <c r="C1508">
        <v>62400</v>
      </c>
      <c r="D1508" t="s">
        <v>76</v>
      </c>
      <c r="E1508" t="s">
        <v>72</v>
      </c>
      <c r="F1508" t="s">
        <v>78</v>
      </c>
    </row>
    <row r="1509" spans="1:6" x14ac:dyDescent="0.45">
      <c r="A1509">
        <v>45</v>
      </c>
      <c r="B1509">
        <v>16</v>
      </c>
      <c r="C1509">
        <v>63000</v>
      </c>
      <c r="D1509" t="s">
        <v>71</v>
      </c>
      <c r="E1509" t="s">
        <v>74</v>
      </c>
      <c r="F1509" t="s">
        <v>78</v>
      </c>
    </row>
    <row r="1510" spans="1:6" x14ac:dyDescent="0.45">
      <c r="A1510">
        <v>50</v>
      </c>
      <c r="B1510">
        <v>16</v>
      </c>
      <c r="C1510">
        <v>63000</v>
      </c>
      <c r="D1510" t="s">
        <v>71</v>
      </c>
      <c r="E1510" t="s">
        <v>72</v>
      </c>
      <c r="F1510" t="s">
        <v>78</v>
      </c>
    </row>
    <row r="1511" spans="1:6" x14ac:dyDescent="0.45">
      <c r="A1511">
        <v>40</v>
      </c>
      <c r="B1511">
        <v>16</v>
      </c>
      <c r="C1511">
        <v>63000</v>
      </c>
      <c r="D1511" t="s">
        <v>71</v>
      </c>
      <c r="E1511" t="s">
        <v>74</v>
      </c>
      <c r="F1511" t="s">
        <v>78</v>
      </c>
    </row>
    <row r="1512" spans="1:6" x14ac:dyDescent="0.45">
      <c r="A1512">
        <v>55</v>
      </c>
      <c r="B1512">
        <v>16</v>
      </c>
      <c r="C1512">
        <v>63000</v>
      </c>
      <c r="D1512" t="s">
        <v>71</v>
      </c>
      <c r="E1512" t="s">
        <v>74</v>
      </c>
      <c r="F1512" t="s">
        <v>78</v>
      </c>
    </row>
    <row r="1513" spans="1:6" x14ac:dyDescent="0.45">
      <c r="A1513">
        <v>80</v>
      </c>
      <c r="B1513">
        <v>16</v>
      </c>
      <c r="C1513">
        <v>63000</v>
      </c>
      <c r="D1513" t="s">
        <v>71</v>
      </c>
      <c r="E1513" t="s">
        <v>74</v>
      </c>
      <c r="F1513" t="s">
        <v>78</v>
      </c>
    </row>
    <row r="1514" spans="1:6" x14ac:dyDescent="0.45">
      <c r="A1514">
        <v>0</v>
      </c>
      <c r="B1514">
        <v>16</v>
      </c>
      <c r="C1514">
        <v>63000</v>
      </c>
      <c r="D1514" t="s">
        <v>71</v>
      </c>
      <c r="E1514" t="s">
        <v>74</v>
      </c>
      <c r="F1514" t="s">
        <v>78</v>
      </c>
    </row>
    <row r="1515" spans="1:6" x14ac:dyDescent="0.45">
      <c r="A1515">
        <v>40</v>
      </c>
      <c r="B1515">
        <v>16</v>
      </c>
      <c r="C1515">
        <v>63360</v>
      </c>
      <c r="D1515" t="s">
        <v>71</v>
      </c>
      <c r="E1515" t="s">
        <v>74</v>
      </c>
      <c r="F1515" t="s">
        <v>78</v>
      </c>
    </row>
    <row r="1516" spans="1:6" x14ac:dyDescent="0.45">
      <c r="A1516">
        <v>50</v>
      </c>
      <c r="B1516">
        <v>16</v>
      </c>
      <c r="C1516">
        <v>63500</v>
      </c>
      <c r="D1516" t="s">
        <v>71</v>
      </c>
      <c r="E1516" t="s">
        <v>72</v>
      </c>
      <c r="F1516" t="s">
        <v>78</v>
      </c>
    </row>
    <row r="1517" spans="1:6" x14ac:dyDescent="0.45">
      <c r="A1517">
        <v>45</v>
      </c>
      <c r="B1517">
        <v>16</v>
      </c>
      <c r="C1517">
        <v>64000</v>
      </c>
      <c r="D1517" t="s">
        <v>71</v>
      </c>
      <c r="E1517" t="s">
        <v>74</v>
      </c>
      <c r="F1517" t="s">
        <v>78</v>
      </c>
    </row>
    <row r="1518" spans="1:6" x14ac:dyDescent="0.45">
      <c r="A1518">
        <v>44</v>
      </c>
      <c r="B1518">
        <v>16</v>
      </c>
      <c r="C1518">
        <v>64000</v>
      </c>
      <c r="D1518" t="s">
        <v>71</v>
      </c>
      <c r="E1518" t="s">
        <v>72</v>
      </c>
      <c r="F1518" t="s">
        <v>78</v>
      </c>
    </row>
    <row r="1519" spans="1:6" x14ac:dyDescent="0.45">
      <c r="A1519">
        <v>70</v>
      </c>
      <c r="B1519">
        <v>16</v>
      </c>
      <c r="C1519">
        <v>64000</v>
      </c>
      <c r="D1519" t="s">
        <v>71</v>
      </c>
      <c r="E1519" t="s">
        <v>74</v>
      </c>
      <c r="F1519" t="s">
        <v>78</v>
      </c>
    </row>
    <row r="1520" spans="1:6" x14ac:dyDescent="0.45">
      <c r="A1520">
        <v>50</v>
      </c>
      <c r="B1520">
        <v>16</v>
      </c>
      <c r="C1520">
        <v>64100</v>
      </c>
      <c r="D1520" t="s">
        <v>76</v>
      </c>
      <c r="E1520" t="s">
        <v>72</v>
      </c>
      <c r="F1520" t="s">
        <v>78</v>
      </c>
    </row>
    <row r="1521" spans="1:6" x14ac:dyDescent="0.45">
      <c r="A1521">
        <v>43</v>
      </c>
      <c r="B1521">
        <v>16</v>
      </c>
      <c r="C1521">
        <v>64500</v>
      </c>
      <c r="D1521" t="s">
        <v>71</v>
      </c>
      <c r="E1521" t="s">
        <v>74</v>
      </c>
      <c r="F1521" t="s">
        <v>78</v>
      </c>
    </row>
    <row r="1522" spans="1:6" x14ac:dyDescent="0.45">
      <c r="A1522">
        <v>50</v>
      </c>
      <c r="B1522">
        <v>16</v>
      </c>
      <c r="C1522">
        <v>65000</v>
      </c>
      <c r="D1522" t="s">
        <v>71</v>
      </c>
      <c r="E1522" t="s">
        <v>74</v>
      </c>
      <c r="F1522" t="s">
        <v>78</v>
      </c>
    </row>
    <row r="1523" spans="1:6" x14ac:dyDescent="0.45">
      <c r="A1523">
        <v>55</v>
      </c>
      <c r="B1523">
        <v>16</v>
      </c>
      <c r="C1523">
        <v>65000</v>
      </c>
      <c r="D1523" t="s">
        <v>71</v>
      </c>
      <c r="E1523" t="s">
        <v>74</v>
      </c>
      <c r="F1523" t="s">
        <v>78</v>
      </c>
    </row>
    <row r="1524" spans="1:6" x14ac:dyDescent="0.45">
      <c r="A1524">
        <v>40</v>
      </c>
      <c r="B1524">
        <v>16</v>
      </c>
      <c r="C1524">
        <v>65000</v>
      </c>
      <c r="D1524" t="s">
        <v>71</v>
      </c>
      <c r="E1524" t="s">
        <v>74</v>
      </c>
      <c r="F1524" t="s">
        <v>78</v>
      </c>
    </row>
    <row r="1525" spans="1:6" x14ac:dyDescent="0.45">
      <c r="A1525">
        <v>60</v>
      </c>
      <c r="B1525">
        <v>16</v>
      </c>
      <c r="C1525">
        <v>65000</v>
      </c>
      <c r="D1525" t="s">
        <v>71</v>
      </c>
      <c r="E1525" t="s">
        <v>74</v>
      </c>
      <c r="F1525" t="s">
        <v>78</v>
      </c>
    </row>
    <row r="1526" spans="1:6" x14ac:dyDescent="0.45">
      <c r="A1526">
        <v>50</v>
      </c>
      <c r="B1526">
        <v>16</v>
      </c>
      <c r="C1526">
        <v>65000</v>
      </c>
      <c r="D1526" t="s">
        <v>71</v>
      </c>
      <c r="E1526" t="s">
        <v>72</v>
      </c>
      <c r="F1526" t="s">
        <v>78</v>
      </c>
    </row>
    <row r="1527" spans="1:6" x14ac:dyDescent="0.45">
      <c r="A1527">
        <v>40</v>
      </c>
      <c r="B1527">
        <v>16</v>
      </c>
      <c r="C1527">
        <v>65000</v>
      </c>
      <c r="D1527" t="s">
        <v>71</v>
      </c>
      <c r="E1527" t="s">
        <v>74</v>
      </c>
      <c r="F1527" t="s">
        <v>78</v>
      </c>
    </row>
    <row r="1528" spans="1:6" x14ac:dyDescent="0.45">
      <c r="A1528">
        <v>60</v>
      </c>
      <c r="B1528">
        <v>16</v>
      </c>
      <c r="C1528">
        <v>65000</v>
      </c>
      <c r="D1528" t="s">
        <v>71</v>
      </c>
      <c r="E1528" t="s">
        <v>74</v>
      </c>
      <c r="F1528" t="s">
        <v>78</v>
      </c>
    </row>
    <row r="1529" spans="1:6" x14ac:dyDescent="0.45">
      <c r="A1529">
        <v>55</v>
      </c>
      <c r="B1529">
        <v>16</v>
      </c>
      <c r="C1529">
        <v>65000</v>
      </c>
      <c r="D1529" t="s">
        <v>75</v>
      </c>
      <c r="E1529" t="s">
        <v>72</v>
      </c>
      <c r="F1529" t="s">
        <v>78</v>
      </c>
    </row>
    <row r="1530" spans="1:6" x14ac:dyDescent="0.45">
      <c r="A1530">
        <v>45</v>
      </c>
      <c r="B1530">
        <v>16</v>
      </c>
      <c r="C1530">
        <v>65000</v>
      </c>
      <c r="D1530" t="s">
        <v>71</v>
      </c>
      <c r="E1530" t="s">
        <v>72</v>
      </c>
      <c r="F1530" t="s">
        <v>78</v>
      </c>
    </row>
    <row r="1531" spans="1:6" x14ac:dyDescent="0.45">
      <c r="A1531">
        <v>55</v>
      </c>
      <c r="B1531">
        <v>16</v>
      </c>
      <c r="C1531">
        <v>65000</v>
      </c>
      <c r="D1531" t="s">
        <v>71</v>
      </c>
      <c r="E1531" t="s">
        <v>74</v>
      </c>
      <c r="F1531" t="s">
        <v>78</v>
      </c>
    </row>
    <row r="1532" spans="1:6" x14ac:dyDescent="0.45">
      <c r="A1532">
        <v>45</v>
      </c>
      <c r="B1532">
        <v>16</v>
      </c>
      <c r="C1532">
        <v>65000</v>
      </c>
      <c r="D1532" t="s">
        <v>71</v>
      </c>
      <c r="E1532" t="s">
        <v>74</v>
      </c>
      <c r="F1532" t="s">
        <v>78</v>
      </c>
    </row>
    <row r="1533" spans="1:6" x14ac:dyDescent="0.45">
      <c r="A1533">
        <v>40</v>
      </c>
      <c r="B1533">
        <v>16</v>
      </c>
      <c r="C1533">
        <v>65000</v>
      </c>
      <c r="D1533" t="s">
        <v>75</v>
      </c>
      <c r="E1533" t="s">
        <v>72</v>
      </c>
      <c r="F1533" t="s">
        <v>78</v>
      </c>
    </row>
    <row r="1534" spans="1:6" x14ac:dyDescent="0.45">
      <c r="A1534">
        <v>0</v>
      </c>
      <c r="B1534">
        <v>16</v>
      </c>
      <c r="C1534">
        <v>65000</v>
      </c>
      <c r="D1534" t="s">
        <v>71</v>
      </c>
      <c r="E1534" t="s">
        <v>74</v>
      </c>
      <c r="F1534" t="s">
        <v>78</v>
      </c>
    </row>
    <row r="1535" spans="1:6" x14ac:dyDescent="0.45">
      <c r="A1535">
        <v>50</v>
      </c>
      <c r="B1535">
        <v>16</v>
      </c>
      <c r="C1535">
        <v>65000</v>
      </c>
      <c r="D1535" t="s">
        <v>71</v>
      </c>
      <c r="E1535" t="s">
        <v>74</v>
      </c>
      <c r="F1535" t="s">
        <v>78</v>
      </c>
    </row>
    <row r="1536" spans="1:6" x14ac:dyDescent="0.45">
      <c r="A1536">
        <v>45</v>
      </c>
      <c r="B1536">
        <v>16</v>
      </c>
      <c r="C1536">
        <v>65000</v>
      </c>
      <c r="D1536" t="s">
        <v>71</v>
      </c>
      <c r="E1536" t="s">
        <v>74</v>
      </c>
      <c r="F1536" t="s">
        <v>78</v>
      </c>
    </row>
    <row r="1537" spans="1:6" x14ac:dyDescent="0.45">
      <c r="A1537">
        <v>50</v>
      </c>
      <c r="B1537">
        <v>16</v>
      </c>
      <c r="C1537">
        <v>65000</v>
      </c>
      <c r="D1537" t="s">
        <v>71</v>
      </c>
      <c r="E1537" t="s">
        <v>74</v>
      </c>
      <c r="F1537" t="s">
        <v>78</v>
      </c>
    </row>
    <row r="1538" spans="1:6" x14ac:dyDescent="0.45">
      <c r="A1538">
        <v>40</v>
      </c>
      <c r="B1538">
        <v>16</v>
      </c>
      <c r="C1538">
        <v>65000</v>
      </c>
      <c r="D1538" t="s">
        <v>75</v>
      </c>
      <c r="E1538" t="s">
        <v>72</v>
      </c>
      <c r="F1538" t="s">
        <v>78</v>
      </c>
    </row>
    <row r="1539" spans="1:6" x14ac:dyDescent="0.45">
      <c r="A1539">
        <v>40</v>
      </c>
      <c r="B1539">
        <v>16</v>
      </c>
      <c r="C1539">
        <v>65000</v>
      </c>
      <c r="D1539" t="s">
        <v>71</v>
      </c>
      <c r="E1539" t="s">
        <v>74</v>
      </c>
      <c r="F1539" t="s">
        <v>78</v>
      </c>
    </row>
    <row r="1540" spans="1:6" x14ac:dyDescent="0.45">
      <c r="A1540">
        <v>40</v>
      </c>
      <c r="B1540">
        <v>16</v>
      </c>
      <c r="C1540">
        <v>65000</v>
      </c>
      <c r="D1540" t="s">
        <v>71</v>
      </c>
      <c r="E1540" t="s">
        <v>74</v>
      </c>
      <c r="F1540" t="s">
        <v>78</v>
      </c>
    </row>
    <row r="1541" spans="1:6" x14ac:dyDescent="0.45">
      <c r="A1541">
        <v>60</v>
      </c>
      <c r="B1541">
        <v>16</v>
      </c>
      <c r="C1541">
        <v>65000</v>
      </c>
      <c r="D1541" t="s">
        <v>71</v>
      </c>
      <c r="E1541" t="s">
        <v>74</v>
      </c>
      <c r="F1541" t="s">
        <v>78</v>
      </c>
    </row>
    <row r="1542" spans="1:6" x14ac:dyDescent="0.45">
      <c r="A1542">
        <v>80</v>
      </c>
      <c r="B1542">
        <v>16</v>
      </c>
      <c r="C1542">
        <v>66000</v>
      </c>
      <c r="D1542" t="s">
        <v>71</v>
      </c>
      <c r="E1542" t="s">
        <v>74</v>
      </c>
      <c r="F1542" t="s">
        <v>78</v>
      </c>
    </row>
    <row r="1543" spans="1:6" x14ac:dyDescent="0.45">
      <c r="A1543">
        <v>40</v>
      </c>
      <c r="B1543">
        <v>16</v>
      </c>
      <c r="C1543">
        <v>66000</v>
      </c>
      <c r="D1543" t="s">
        <v>71</v>
      </c>
      <c r="E1543" t="s">
        <v>74</v>
      </c>
      <c r="F1543" t="s">
        <v>78</v>
      </c>
    </row>
    <row r="1544" spans="1:6" x14ac:dyDescent="0.45">
      <c r="A1544">
        <v>50</v>
      </c>
      <c r="B1544">
        <v>16</v>
      </c>
      <c r="C1544">
        <v>66000</v>
      </c>
      <c r="D1544" t="s">
        <v>71</v>
      </c>
      <c r="E1544" t="s">
        <v>74</v>
      </c>
      <c r="F1544" t="s">
        <v>78</v>
      </c>
    </row>
    <row r="1545" spans="1:6" x14ac:dyDescent="0.45">
      <c r="A1545">
        <v>50</v>
      </c>
      <c r="B1545">
        <v>16</v>
      </c>
      <c r="C1545">
        <v>66000</v>
      </c>
      <c r="D1545" t="s">
        <v>71</v>
      </c>
      <c r="E1545" t="s">
        <v>74</v>
      </c>
      <c r="F1545" t="s">
        <v>78</v>
      </c>
    </row>
    <row r="1546" spans="1:6" x14ac:dyDescent="0.45">
      <c r="A1546">
        <v>43</v>
      </c>
      <c r="B1546">
        <v>16</v>
      </c>
      <c r="C1546">
        <v>66300</v>
      </c>
      <c r="D1546" t="s">
        <v>71</v>
      </c>
      <c r="E1546" t="s">
        <v>74</v>
      </c>
      <c r="F1546" t="s">
        <v>78</v>
      </c>
    </row>
    <row r="1547" spans="1:6" x14ac:dyDescent="0.45">
      <c r="A1547">
        <v>45</v>
      </c>
      <c r="B1547">
        <v>16</v>
      </c>
      <c r="C1547">
        <v>67000</v>
      </c>
      <c r="D1547" t="s">
        <v>71</v>
      </c>
      <c r="E1547" t="s">
        <v>72</v>
      </c>
      <c r="F1547" t="s">
        <v>78</v>
      </c>
    </row>
    <row r="1548" spans="1:6" x14ac:dyDescent="0.45">
      <c r="A1548">
        <v>80</v>
      </c>
      <c r="B1548">
        <v>16</v>
      </c>
      <c r="C1548">
        <v>67000</v>
      </c>
      <c r="D1548" t="s">
        <v>76</v>
      </c>
      <c r="E1548" t="s">
        <v>74</v>
      </c>
      <c r="F1548" t="s">
        <v>78</v>
      </c>
    </row>
    <row r="1549" spans="1:6" x14ac:dyDescent="0.45">
      <c r="A1549">
        <v>45</v>
      </c>
      <c r="B1549">
        <v>16</v>
      </c>
      <c r="C1549">
        <v>67000</v>
      </c>
      <c r="D1549" t="s">
        <v>71</v>
      </c>
      <c r="E1549" t="s">
        <v>74</v>
      </c>
      <c r="F1549" t="s">
        <v>78</v>
      </c>
    </row>
    <row r="1550" spans="1:6" x14ac:dyDescent="0.45">
      <c r="A1550">
        <v>40</v>
      </c>
      <c r="B1550">
        <v>16</v>
      </c>
      <c r="C1550">
        <v>68000</v>
      </c>
      <c r="D1550" t="s">
        <v>71</v>
      </c>
      <c r="E1550" t="s">
        <v>74</v>
      </c>
      <c r="F1550" t="s">
        <v>78</v>
      </c>
    </row>
    <row r="1551" spans="1:6" x14ac:dyDescent="0.45">
      <c r="A1551">
        <v>50</v>
      </c>
      <c r="B1551">
        <v>16</v>
      </c>
      <c r="C1551">
        <v>68000</v>
      </c>
      <c r="D1551" t="s">
        <v>71</v>
      </c>
      <c r="E1551" t="s">
        <v>74</v>
      </c>
      <c r="F1551" t="s">
        <v>78</v>
      </c>
    </row>
    <row r="1552" spans="1:6" x14ac:dyDescent="0.45">
      <c r="A1552">
        <v>40</v>
      </c>
      <c r="B1552">
        <v>16</v>
      </c>
      <c r="C1552">
        <v>68000</v>
      </c>
      <c r="D1552" t="s">
        <v>71</v>
      </c>
      <c r="E1552" t="s">
        <v>74</v>
      </c>
      <c r="F1552" t="s">
        <v>78</v>
      </c>
    </row>
    <row r="1553" spans="1:6" x14ac:dyDescent="0.45">
      <c r="A1553">
        <v>50</v>
      </c>
      <c r="B1553">
        <v>16</v>
      </c>
      <c r="C1553">
        <v>68000</v>
      </c>
      <c r="D1553" t="s">
        <v>71</v>
      </c>
      <c r="E1553" t="s">
        <v>74</v>
      </c>
      <c r="F1553" t="s">
        <v>78</v>
      </c>
    </row>
    <row r="1554" spans="1:6" x14ac:dyDescent="0.45">
      <c r="A1554">
        <v>40</v>
      </c>
      <c r="B1554">
        <v>16</v>
      </c>
      <c r="C1554">
        <v>68000</v>
      </c>
      <c r="D1554" t="s">
        <v>71</v>
      </c>
      <c r="E1554" t="s">
        <v>74</v>
      </c>
      <c r="F1554" t="s">
        <v>78</v>
      </c>
    </row>
    <row r="1555" spans="1:6" x14ac:dyDescent="0.45">
      <c r="A1555">
        <v>40</v>
      </c>
      <c r="B1555">
        <v>16</v>
      </c>
      <c r="C1555">
        <v>68000</v>
      </c>
      <c r="D1555" t="s">
        <v>71</v>
      </c>
      <c r="E1555" t="s">
        <v>74</v>
      </c>
      <c r="F1555" t="s">
        <v>78</v>
      </c>
    </row>
    <row r="1556" spans="1:6" x14ac:dyDescent="0.45">
      <c r="A1556">
        <v>45</v>
      </c>
      <c r="B1556">
        <v>16</v>
      </c>
      <c r="C1556">
        <v>68000</v>
      </c>
      <c r="D1556" t="s">
        <v>71</v>
      </c>
      <c r="E1556" t="s">
        <v>72</v>
      </c>
      <c r="F1556" t="s">
        <v>78</v>
      </c>
    </row>
    <row r="1557" spans="1:6" x14ac:dyDescent="0.45">
      <c r="A1557">
        <v>45</v>
      </c>
      <c r="B1557">
        <v>16</v>
      </c>
      <c r="C1557">
        <v>68240</v>
      </c>
      <c r="D1557" t="s">
        <v>71</v>
      </c>
      <c r="E1557" t="s">
        <v>74</v>
      </c>
      <c r="F1557" t="s">
        <v>78</v>
      </c>
    </row>
    <row r="1558" spans="1:6" x14ac:dyDescent="0.45">
      <c r="A1558">
        <v>45</v>
      </c>
      <c r="B1558">
        <v>16</v>
      </c>
      <c r="C1558">
        <v>69000</v>
      </c>
      <c r="D1558" t="s">
        <v>71</v>
      </c>
      <c r="E1558" t="s">
        <v>72</v>
      </c>
      <c r="F1558" t="s">
        <v>78</v>
      </c>
    </row>
    <row r="1559" spans="1:6" x14ac:dyDescent="0.45">
      <c r="A1559">
        <v>40</v>
      </c>
      <c r="B1559">
        <v>16</v>
      </c>
      <c r="C1559">
        <v>69000</v>
      </c>
      <c r="D1559" t="s">
        <v>71</v>
      </c>
      <c r="E1559" t="s">
        <v>74</v>
      </c>
      <c r="F1559" t="s">
        <v>78</v>
      </c>
    </row>
    <row r="1560" spans="1:6" x14ac:dyDescent="0.45">
      <c r="A1560">
        <v>40</v>
      </c>
      <c r="B1560">
        <v>16</v>
      </c>
      <c r="C1560">
        <v>70000</v>
      </c>
      <c r="D1560" t="s">
        <v>71</v>
      </c>
      <c r="E1560" t="s">
        <v>74</v>
      </c>
      <c r="F1560" t="s">
        <v>78</v>
      </c>
    </row>
    <row r="1561" spans="1:6" x14ac:dyDescent="0.45">
      <c r="A1561">
        <v>48</v>
      </c>
      <c r="B1561">
        <v>16</v>
      </c>
      <c r="C1561">
        <v>70000</v>
      </c>
      <c r="D1561" t="s">
        <v>71</v>
      </c>
      <c r="E1561" t="s">
        <v>74</v>
      </c>
      <c r="F1561" t="s">
        <v>78</v>
      </c>
    </row>
    <row r="1562" spans="1:6" x14ac:dyDescent="0.45">
      <c r="A1562">
        <v>40</v>
      </c>
      <c r="B1562">
        <v>16</v>
      </c>
      <c r="C1562">
        <v>70000</v>
      </c>
      <c r="D1562" t="s">
        <v>71</v>
      </c>
      <c r="E1562" t="s">
        <v>74</v>
      </c>
      <c r="F1562" t="s">
        <v>78</v>
      </c>
    </row>
    <row r="1563" spans="1:6" x14ac:dyDescent="0.45">
      <c r="A1563">
        <v>40</v>
      </c>
      <c r="B1563">
        <v>16</v>
      </c>
      <c r="C1563">
        <v>70000</v>
      </c>
      <c r="D1563" t="s">
        <v>71</v>
      </c>
      <c r="E1563" t="s">
        <v>72</v>
      </c>
      <c r="F1563" t="s">
        <v>78</v>
      </c>
    </row>
    <row r="1564" spans="1:6" x14ac:dyDescent="0.45">
      <c r="A1564">
        <v>40</v>
      </c>
      <c r="B1564">
        <v>16</v>
      </c>
      <c r="C1564">
        <v>70000</v>
      </c>
      <c r="D1564" t="s">
        <v>71</v>
      </c>
      <c r="E1564" t="s">
        <v>74</v>
      </c>
      <c r="F1564" t="s">
        <v>78</v>
      </c>
    </row>
    <row r="1565" spans="1:6" x14ac:dyDescent="0.45">
      <c r="A1565">
        <v>0</v>
      </c>
      <c r="B1565">
        <v>16</v>
      </c>
      <c r="C1565">
        <v>70000</v>
      </c>
      <c r="D1565" t="s">
        <v>71</v>
      </c>
      <c r="E1565" t="s">
        <v>74</v>
      </c>
      <c r="F1565" t="s">
        <v>78</v>
      </c>
    </row>
    <row r="1566" spans="1:6" x14ac:dyDescent="0.45">
      <c r="A1566">
        <v>60</v>
      </c>
      <c r="B1566">
        <v>16</v>
      </c>
      <c r="C1566">
        <v>70000</v>
      </c>
      <c r="D1566" t="s">
        <v>71</v>
      </c>
      <c r="E1566" t="s">
        <v>74</v>
      </c>
      <c r="F1566" t="s">
        <v>78</v>
      </c>
    </row>
    <row r="1567" spans="1:6" x14ac:dyDescent="0.45">
      <c r="A1567">
        <v>40</v>
      </c>
      <c r="B1567">
        <v>16</v>
      </c>
      <c r="C1567">
        <v>70000</v>
      </c>
      <c r="D1567" t="s">
        <v>71</v>
      </c>
      <c r="E1567" t="s">
        <v>74</v>
      </c>
      <c r="F1567" t="s">
        <v>78</v>
      </c>
    </row>
    <row r="1568" spans="1:6" x14ac:dyDescent="0.45">
      <c r="A1568">
        <v>40</v>
      </c>
      <c r="B1568">
        <v>16</v>
      </c>
      <c r="C1568">
        <v>70000</v>
      </c>
      <c r="D1568" t="s">
        <v>71</v>
      </c>
      <c r="E1568" t="s">
        <v>74</v>
      </c>
      <c r="F1568" t="s">
        <v>78</v>
      </c>
    </row>
    <row r="1569" spans="1:6" x14ac:dyDescent="0.45">
      <c r="A1569">
        <v>60</v>
      </c>
      <c r="B1569">
        <v>16</v>
      </c>
      <c r="C1569">
        <v>70000</v>
      </c>
      <c r="D1569" t="s">
        <v>76</v>
      </c>
      <c r="E1569" t="s">
        <v>74</v>
      </c>
      <c r="F1569" t="s">
        <v>78</v>
      </c>
    </row>
    <row r="1570" spans="1:6" x14ac:dyDescent="0.45">
      <c r="A1570">
        <v>60</v>
      </c>
      <c r="B1570">
        <v>16</v>
      </c>
      <c r="C1570">
        <v>70000</v>
      </c>
      <c r="D1570" t="s">
        <v>71</v>
      </c>
      <c r="E1570" t="s">
        <v>74</v>
      </c>
      <c r="F1570" t="s">
        <v>78</v>
      </c>
    </row>
    <row r="1571" spans="1:6" x14ac:dyDescent="0.45">
      <c r="A1571">
        <v>40</v>
      </c>
      <c r="B1571">
        <v>16</v>
      </c>
      <c r="C1571">
        <v>70000</v>
      </c>
      <c r="D1571" t="s">
        <v>71</v>
      </c>
      <c r="E1571" t="s">
        <v>72</v>
      </c>
      <c r="F1571" t="s">
        <v>78</v>
      </c>
    </row>
    <row r="1572" spans="1:6" x14ac:dyDescent="0.45">
      <c r="A1572">
        <v>40</v>
      </c>
      <c r="B1572">
        <v>16</v>
      </c>
      <c r="C1572">
        <v>70000</v>
      </c>
      <c r="D1572" t="s">
        <v>71</v>
      </c>
      <c r="E1572" t="s">
        <v>74</v>
      </c>
      <c r="F1572" t="s">
        <v>78</v>
      </c>
    </row>
    <row r="1573" spans="1:6" x14ac:dyDescent="0.45">
      <c r="A1573">
        <v>50</v>
      </c>
      <c r="B1573">
        <v>16</v>
      </c>
      <c r="C1573">
        <v>70000</v>
      </c>
      <c r="D1573" t="s">
        <v>71</v>
      </c>
      <c r="E1573" t="s">
        <v>74</v>
      </c>
      <c r="F1573" t="s">
        <v>78</v>
      </c>
    </row>
    <row r="1574" spans="1:6" x14ac:dyDescent="0.45">
      <c r="A1574">
        <v>45</v>
      </c>
      <c r="B1574">
        <v>16</v>
      </c>
      <c r="C1574">
        <v>70000</v>
      </c>
      <c r="D1574" t="s">
        <v>71</v>
      </c>
      <c r="E1574" t="s">
        <v>74</v>
      </c>
      <c r="F1574" t="s">
        <v>78</v>
      </c>
    </row>
    <row r="1575" spans="1:6" x14ac:dyDescent="0.45">
      <c r="A1575">
        <v>40</v>
      </c>
      <c r="B1575">
        <v>16</v>
      </c>
      <c r="C1575">
        <v>70000</v>
      </c>
      <c r="D1575" t="s">
        <v>71</v>
      </c>
      <c r="E1575" t="s">
        <v>74</v>
      </c>
      <c r="F1575" t="s">
        <v>78</v>
      </c>
    </row>
    <row r="1576" spans="1:6" x14ac:dyDescent="0.45">
      <c r="A1576">
        <v>50</v>
      </c>
      <c r="B1576">
        <v>16</v>
      </c>
      <c r="C1576">
        <v>70000</v>
      </c>
      <c r="D1576" t="s">
        <v>71</v>
      </c>
      <c r="E1576" t="s">
        <v>72</v>
      </c>
      <c r="F1576" t="s">
        <v>78</v>
      </c>
    </row>
    <row r="1577" spans="1:6" x14ac:dyDescent="0.45">
      <c r="A1577">
        <v>40</v>
      </c>
      <c r="B1577">
        <v>16</v>
      </c>
      <c r="C1577">
        <v>70000</v>
      </c>
      <c r="D1577" t="s">
        <v>71</v>
      </c>
      <c r="E1577" t="s">
        <v>72</v>
      </c>
      <c r="F1577" t="s">
        <v>78</v>
      </c>
    </row>
    <row r="1578" spans="1:6" x14ac:dyDescent="0.45">
      <c r="A1578">
        <v>40</v>
      </c>
      <c r="B1578">
        <v>16</v>
      </c>
      <c r="C1578">
        <v>70000</v>
      </c>
      <c r="D1578" t="s">
        <v>71</v>
      </c>
      <c r="E1578" t="s">
        <v>74</v>
      </c>
      <c r="F1578" t="s">
        <v>78</v>
      </c>
    </row>
    <row r="1579" spans="1:6" x14ac:dyDescent="0.45">
      <c r="A1579">
        <v>50</v>
      </c>
      <c r="B1579">
        <v>16</v>
      </c>
      <c r="C1579">
        <v>70000</v>
      </c>
      <c r="D1579" t="s">
        <v>71</v>
      </c>
      <c r="E1579" t="s">
        <v>74</v>
      </c>
      <c r="F1579" t="s">
        <v>78</v>
      </c>
    </row>
    <row r="1580" spans="1:6" x14ac:dyDescent="0.45">
      <c r="A1580">
        <v>40</v>
      </c>
      <c r="B1580">
        <v>16</v>
      </c>
      <c r="C1580">
        <v>70000</v>
      </c>
      <c r="D1580" t="s">
        <v>75</v>
      </c>
      <c r="E1580" t="s">
        <v>74</v>
      </c>
      <c r="F1580" t="s">
        <v>78</v>
      </c>
    </row>
    <row r="1581" spans="1:6" x14ac:dyDescent="0.45">
      <c r="A1581">
        <v>95</v>
      </c>
      <c r="B1581">
        <v>16</v>
      </c>
      <c r="C1581">
        <v>70000</v>
      </c>
      <c r="D1581" t="s">
        <v>71</v>
      </c>
      <c r="E1581" t="s">
        <v>72</v>
      </c>
      <c r="F1581" t="s">
        <v>78</v>
      </c>
    </row>
    <row r="1582" spans="1:6" x14ac:dyDescent="0.45">
      <c r="A1582">
        <v>58</v>
      </c>
      <c r="B1582">
        <v>16</v>
      </c>
      <c r="C1582">
        <v>70000</v>
      </c>
      <c r="D1582" t="s">
        <v>71</v>
      </c>
      <c r="E1582" t="s">
        <v>74</v>
      </c>
      <c r="F1582" t="s">
        <v>78</v>
      </c>
    </row>
    <row r="1583" spans="1:6" x14ac:dyDescent="0.45">
      <c r="A1583">
        <v>40</v>
      </c>
      <c r="B1583">
        <v>16</v>
      </c>
      <c r="C1583">
        <v>72000</v>
      </c>
      <c r="D1583" t="s">
        <v>75</v>
      </c>
      <c r="E1583" t="s">
        <v>74</v>
      </c>
      <c r="F1583" t="s">
        <v>78</v>
      </c>
    </row>
    <row r="1584" spans="1:6" x14ac:dyDescent="0.45">
      <c r="A1584">
        <v>40</v>
      </c>
      <c r="B1584">
        <v>16</v>
      </c>
      <c r="C1584">
        <v>72000</v>
      </c>
      <c r="D1584" t="s">
        <v>71</v>
      </c>
      <c r="E1584" t="s">
        <v>72</v>
      </c>
      <c r="F1584" t="s">
        <v>78</v>
      </c>
    </row>
    <row r="1585" spans="1:6" x14ac:dyDescent="0.45">
      <c r="A1585">
        <v>50</v>
      </c>
      <c r="B1585">
        <v>16</v>
      </c>
      <c r="C1585">
        <v>72000</v>
      </c>
      <c r="D1585" t="s">
        <v>71</v>
      </c>
      <c r="E1585" t="s">
        <v>74</v>
      </c>
      <c r="F1585" t="s">
        <v>78</v>
      </c>
    </row>
    <row r="1586" spans="1:6" x14ac:dyDescent="0.45">
      <c r="A1586">
        <v>65</v>
      </c>
      <c r="B1586">
        <v>16</v>
      </c>
      <c r="C1586">
        <v>72000</v>
      </c>
      <c r="D1586" t="s">
        <v>71</v>
      </c>
      <c r="E1586" t="s">
        <v>74</v>
      </c>
      <c r="F1586" t="s">
        <v>78</v>
      </c>
    </row>
    <row r="1587" spans="1:6" x14ac:dyDescent="0.45">
      <c r="A1587">
        <v>40</v>
      </c>
      <c r="B1587">
        <v>16</v>
      </c>
      <c r="C1587">
        <v>72000</v>
      </c>
      <c r="D1587" t="s">
        <v>71</v>
      </c>
      <c r="E1587" t="s">
        <v>72</v>
      </c>
      <c r="F1587" t="s">
        <v>78</v>
      </c>
    </row>
    <row r="1588" spans="1:6" x14ac:dyDescent="0.45">
      <c r="A1588">
        <v>48</v>
      </c>
      <c r="B1588">
        <v>16</v>
      </c>
      <c r="C1588">
        <v>72000</v>
      </c>
      <c r="D1588" t="s">
        <v>71</v>
      </c>
      <c r="E1588" t="s">
        <v>72</v>
      </c>
      <c r="F1588" t="s">
        <v>78</v>
      </c>
    </row>
    <row r="1589" spans="1:6" x14ac:dyDescent="0.45">
      <c r="A1589">
        <v>50</v>
      </c>
      <c r="B1589">
        <v>16</v>
      </c>
      <c r="C1589">
        <v>73000</v>
      </c>
      <c r="D1589" t="s">
        <v>71</v>
      </c>
      <c r="E1589" t="s">
        <v>74</v>
      </c>
      <c r="F1589" t="s">
        <v>78</v>
      </c>
    </row>
    <row r="1590" spans="1:6" x14ac:dyDescent="0.45">
      <c r="A1590">
        <v>45</v>
      </c>
      <c r="B1590">
        <v>16</v>
      </c>
      <c r="C1590">
        <v>73000</v>
      </c>
      <c r="D1590" t="s">
        <v>71</v>
      </c>
      <c r="E1590" t="s">
        <v>74</v>
      </c>
      <c r="F1590" t="s">
        <v>78</v>
      </c>
    </row>
    <row r="1591" spans="1:6" x14ac:dyDescent="0.45">
      <c r="A1591">
        <v>80</v>
      </c>
      <c r="B1591">
        <v>16</v>
      </c>
      <c r="C1591">
        <v>73000</v>
      </c>
      <c r="D1591" t="s">
        <v>71</v>
      </c>
      <c r="E1591" t="s">
        <v>74</v>
      </c>
      <c r="F1591" t="s">
        <v>78</v>
      </c>
    </row>
    <row r="1592" spans="1:6" x14ac:dyDescent="0.45">
      <c r="A1592">
        <v>45</v>
      </c>
      <c r="B1592">
        <v>16</v>
      </c>
      <c r="C1592">
        <v>73000</v>
      </c>
      <c r="D1592" t="s">
        <v>71</v>
      </c>
      <c r="E1592" t="s">
        <v>74</v>
      </c>
      <c r="F1592" t="s">
        <v>78</v>
      </c>
    </row>
    <row r="1593" spans="1:6" x14ac:dyDescent="0.45">
      <c r="A1593">
        <v>40</v>
      </c>
      <c r="B1593">
        <v>16</v>
      </c>
      <c r="C1593">
        <v>74000</v>
      </c>
      <c r="D1593" t="s">
        <v>71</v>
      </c>
      <c r="E1593" t="s">
        <v>74</v>
      </c>
      <c r="F1593" t="s">
        <v>78</v>
      </c>
    </row>
    <row r="1594" spans="1:6" x14ac:dyDescent="0.45">
      <c r="A1594">
        <v>50</v>
      </c>
      <c r="B1594">
        <v>16</v>
      </c>
      <c r="C1594">
        <v>74726</v>
      </c>
      <c r="D1594" t="s">
        <v>71</v>
      </c>
      <c r="E1594" t="s">
        <v>74</v>
      </c>
      <c r="F1594" t="s">
        <v>78</v>
      </c>
    </row>
    <row r="1595" spans="1:6" x14ac:dyDescent="0.45">
      <c r="A1595">
        <v>60</v>
      </c>
      <c r="B1595">
        <v>16</v>
      </c>
      <c r="C1595">
        <v>75000</v>
      </c>
      <c r="D1595" t="s">
        <v>71</v>
      </c>
      <c r="E1595" t="s">
        <v>74</v>
      </c>
      <c r="F1595" t="s">
        <v>78</v>
      </c>
    </row>
    <row r="1596" spans="1:6" x14ac:dyDescent="0.45">
      <c r="A1596">
        <v>60</v>
      </c>
      <c r="B1596">
        <v>16</v>
      </c>
      <c r="C1596">
        <v>75000</v>
      </c>
      <c r="D1596" t="s">
        <v>71</v>
      </c>
      <c r="E1596" t="s">
        <v>74</v>
      </c>
      <c r="F1596" t="s">
        <v>78</v>
      </c>
    </row>
    <row r="1597" spans="1:6" x14ac:dyDescent="0.45">
      <c r="A1597">
        <v>50</v>
      </c>
      <c r="B1597">
        <v>16</v>
      </c>
      <c r="C1597">
        <v>75000</v>
      </c>
      <c r="D1597" t="s">
        <v>71</v>
      </c>
      <c r="E1597" t="s">
        <v>74</v>
      </c>
      <c r="F1597" t="s">
        <v>78</v>
      </c>
    </row>
    <row r="1598" spans="1:6" x14ac:dyDescent="0.45">
      <c r="A1598">
        <v>40</v>
      </c>
      <c r="B1598">
        <v>16</v>
      </c>
      <c r="C1598">
        <v>75000</v>
      </c>
      <c r="D1598" t="s">
        <v>71</v>
      </c>
      <c r="E1598" t="s">
        <v>72</v>
      </c>
      <c r="F1598" t="s">
        <v>78</v>
      </c>
    </row>
    <row r="1599" spans="1:6" x14ac:dyDescent="0.45">
      <c r="A1599">
        <v>40</v>
      </c>
      <c r="B1599">
        <v>16</v>
      </c>
      <c r="C1599">
        <v>75000</v>
      </c>
      <c r="D1599" t="s">
        <v>71</v>
      </c>
      <c r="E1599" t="s">
        <v>74</v>
      </c>
      <c r="F1599" t="s">
        <v>78</v>
      </c>
    </row>
    <row r="1600" spans="1:6" x14ac:dyDescent="0.45">
      <c r="A1600">
        <v>40</v>
      </c>
      <c r="B1600">
        <v>16</v>
      </c>
      <c r="C1600">
        <v>75000</v>
      </c>
      <c r="D1600" t="s">
        <v>71</v>
      </c>
      <c r="E1600" t="s">
        <v>74</v>
      </c>
      <c r="F1600" t="s">
        <v>78</v>
      </c>
    </row>
    <row r="1601" spans="1:6" x14ac:dyDescent="0.45">
      <c r="A1601">
        <v>40</v>
      </c>
      <c r="B1601">
        <v>16</v>
      </c>
      <c r="C1601">
        <v>75000</v>
      </c>
      <c r="D1601" t="s">
        <v>71</v>
      </c>
      <c r="E1601" t="s">
        <v>74</v>
      </c>
      <c r="F1601" t="s">
        <v>78</v>
      </c>
    </row>
    <row r="1602" spans="1:6" x14ac:dyDescent="0.45">
      <c r="A1602">
        <v>48</v>
      </c>
      <c r="B1602">
        <v>16</v>
      </c>
      <c r="C1602">
        <v>75000</v>
      </c>
      <c r="D1602" t="s">
        <v>71</v>
      </c>
      <c r="E1602" t="s">
        <v>72</v>
      </c>
      <c r="F1602" t="s">
        <v>78</v>
      </c>
    </row>
    <row r="1603" spans="1:6" x14ac:dyDescent="0.45">
      <c r="A1603">
        <v>50</v>
      </c>
      <c r="B1603">
        <v>16</v>
      </c>
      <c r="C1603">
        <v>75000</v>
      </c>
      <c r="D1603" t="s">
        <v>71</v>
      </c>
      <c r="E1603" t="s">
        <v>74</v>
      </c>
      <c r="F1603" t="s">
        <v>78</v>
      </c>
    </row>
    <row r="1604" spans="1:6" x14ac:dyDescent="0.45">
      <c r="A1604">
        <v>45</v>
      </c>
      <c r="B1604">
        <v>16</v>
      </c>
      <c r="C1604">
        <v>75000</v>
      </c>
      <c r="D1604" t="s">
        <v>75</v>
      </c>
      <c r="E1604" t="s">
        <v>74</v>
      </c>
      <c r="F1604" t="s">
        <v>78</v>
      </c>
    </row>
    <row r="1605" spans="1:6" x14ac:dyDescent="0.45">
      <c r="A1605">
        <v>40</v>
      </c>
      <c r="B1605">
        <v>16</v>
      </c>
      <c r="C1605">
        <v>75000</v>
      </c>
      <c r="D1605" t="s">
        <v>71</v>
      </c>
      <c r="E1605" t="s">
        <v>74</v>
      </c>
      <c r="F1605" t="s">
        <v>78</v>
      </c>
    </row>
    <row r="1606" spans="1:6" x14ac:dyDescent="0.45">
      <c r="A1606">
        <v>40</v>
      </c>
      <c r="B1606">
        <v>16</v>
      </c>
      <c r="C1606">
        <v>75000</v>
      </c>
      <c r="D1606" t="s">
        <v>75</v>
      </c>
      <c r="E1606" t="s">
        <v>74</v>
      </c>
      <c r="F1606" t="s">
        <v>78</v>
      </c>
    </row>
    <row r="1607" spans="1:6" x14ac:dyDescent="0.45">
      <c r="A1607">
        <v>50</v>
      </c>
      <c r="B1607">
        <v>16</v>
      </c>
      <c r="C1607">
        <v>75000</v>
      </c>
      <c r="D1607" t="s">
        <v>71</v>
      </c>
      <c r="E1607" t="s">
        <v>74</v>
      </c>
      <c r="F1607" t="s">
        <v>78</v>
      </c>
    </row>
    <row r="1608" spans="1:6" x14ac:dyDescent="0.45">
      <c r="A1608">
        <v>50</v>
      </c>
      <c r="B1608">
        <v>16</v>
      </c>
      <c r="C1608">
        <v>75000</v>
      </c>
      <c r="D1608" t="s">
        <v>71</v>
      </c>
      <c r="E1608" t="s">
        <v>74</v>
      </c>
      <c r="F1608" t="s">
        <v>78</v>
      </c>
    </row>
    <row r="1609" spans="1:6" x14ac:dyDescent="0.45">
      <c r="A1609">
        <v>50</v>
      </c>
      <c r="B1609">
        <v>16</v>
      </c>
      <c r="C1609">
        <v>75000</v>
      </c>
      <c r="D1609" t="s">
        <v>71</v>
      </c>
      <c r="E1609" t="s">
        <v>72</v>
      </c>
      <c r="F1609" t="s">
        <v>78</v>
      </c>
    </row>
    <row r="1610" spans="1:6" x14ac:dyDescent="0.45">
      <c r="A1610">
        <v>60</v>
      </c>
      <c r="B1610">
        <v>16</v>
      </c>
      <c r="C1610">
        <v>75000</v>
      </c>
      <c r="D1610" t="s">
        <v>71</v>
      </c>
      <c r="E1610" t="s">
        <v>74</v>
      </c>
      <c r="F1610" t="s">
        <v>78</v>
      </c>
    </row>
    <row r="1611" spans="1:6" x14ac:dyDescent="0.45">
      <c r="A1611">
        <v>70</v>
      </c>
      <c r="B1611">
        <v>16</v>
      </c>
      <c r="C1611">
        <v>75000</v>
      </c>
      <c r="D1611" t="s">
        <v>75</v>
      </c>
      <c r="E1611" t="s">
        <v>74</v>
      </c>
      <c r="F1611" t="s">
        <v>78</v>
      </c>
    </row>
    <row r="1612" spans="1:6" x14ac:dyDescent="0.45">
      <c r="A1612">
        <v>40</v>
      </c>
      <c r="B1612">
        <v>16</v>
      </c>
      <c r="C1612">
        <v>75000</v>
      </c>
      <c r="D1612" t="s">
        <v>71</v>
      </c>
      <c r="E1612" t="s">
        <v>72</v>
      </c>
      <c r="F1612" t="s">
        <v>78</v>
      </c>
    </row>
    <row r="1613" spans="1:6" x14ac:dyDescent="0.45">
      <c r="A1613">
        <v>0</v>
      </c>
      <c r="B1613">
        <v>16</v>
      </c>
      <c r="C1613">
        <v>75000</v>
      </c>
      <c r="D1613" t="s">
        <v>71</v>
      </c>
      <c r="E1613" t="s">
        <v>74</v>
      </c>
      <c r="F1613" t="s">
        <v>78</v>
      </c>
    </row>
    <row r="1614" spans="1:6" x14ac:dyDescent="0.45">
      <c r="A1614">
        <v>40</v>
      </c>
      <c r="B1614">
        <v>16</v>
      </c>
      <c r="C1614">
        <v>75000</v>
      </c>
      <c r="D1614" t="s">
        <v>71</v>
      </c>
      <c r="E1614" t="s">
        <v>74</v>
      </c>
      <c r="F1614" t="s">
        <v>78</v>
      </c>
    </row>
    <row r="1615" spans="1:6" x14ac:dyDescent="0.45">
      <c r="A1615">
        <v>40</v>
      </c>
      <c r="B1615">
        <v>16</v>
      </c>
      <c r="C1615">
        <v>75000</v>
      </c>
      <c r="D1615" t="s">
        <v>71</v>
      </c>
      <c r="E1615" t="s">
        <v>72</v>
      </c>
      <c r="F1615" t="s">
        <v>78</v>
      </c>
    </row>
    <row r="1616" spans="1:6" x14ac:dyDescent="0.45">
      <c r="A1616">
        <v>50</v>
      </c>
      <c r="B1616">
        <v>16</v>
      </c>
      <c r="C1616">
        <v>75000</v>
      </c>
      <c r="D1616" t="s">
        <v>71</v>
      </c>
      <c r="E1616" t="s">
        <v>74</v>
      </c>
      <c r="F1616" t="s">
        <v>78</v>
      </c>
    </row>
    <row r="1617" spans="1:6" x14ac:dyDescent="0.45">
      <c r="A1617">
        <v>65</v>
      </c>
      <c r="B1617">
        <v>16</v>
      </c>
      <c r="C1617">
        <v>75000</v>
      </c>
      <c r="D1617" t="s">
        <v>71</v>
      </c>
      <c r="E1617" t="s">
        <v>74</v>
      </c>
      <c r="F1617" t="s">
        <v>78</v>
      </c>
    </row>
    <row r="1618" spans="1:6" x14ac:dyDescent="0.45">
      <c r="A1618">
        <v>50</v>
      </c>
      <c r="B1618">
        <v>16</v>
      </c>
      <c r="C1618">
        <v>75000</v>
      </c>
      <c r="D1618" t="s">
        <v>71</v>
      </c>
      <c r="E1618" t="s">
        <v>74</v>
      </c>
      <c r="F1618" t="s">
        <v>78</v>
      </c>
    </row>
    <row r="1619" spans="1:6" x14ac:dyDescent="0.45">
      <c r="A1619">
        <v>40</v>
      </c>
      <c r="B1619">
        <v>16</v>
      </c>
      <c r="C1619">
        <v>75500</v>
      </c>
      <c r="D1619" t="s">
        <v>71</v>
      </c>
      <c r="E1619" t="s">
        <v>74</v>
      </c>
      <c r="F1619" t="s">
        <v>78</v>
      </c>
    </row>
    <row r="1620" spans="1:6" x14ac:dyDescent="0.45">
      <c r="A1620">
        <v>40</v>
      </c>
      <c r="B1620">
        <v>16</v>
      </c>
      <c r="C1620">
        <v>75540</v>
      </c>
      <c r="D1620" t="s">
        <v>71</v>
      </c>
      <c r="E1620" t="s">
        <v>74</v>
      </c>
      <c r="F1620" t="s">
        <v>78</v>
      </c>
    </row>
    <row r="1621" spans="1:6" x14ac:dyDescent="0.45">
      <c r="A1621">
        <v>45</v>
      </c>
      <c r="B1621">
        <v>16</v>
      </c>
      <c r="C1621">
        <v>76000</v>
      </c>
      <c r="D1621" t="s">
        <v>71</v>
      </c>
      <c r="E1621" t="s">
        <v>72</v>
      </c>
      <c r="F1621" t="s">
        <v>78</v>
      </c>
    </row>
    <row r="1622" spans="1:6" x14ac:dyDescent="0.45">
      <c r="A1622">
        <v>50</v>
      </c>
      <c r="B1622">
        <v>16</v>
      </c>
      <c r="C1622">
        <v>78000</v>
      </c>
      <c r="D1622" t="s">
        <v>71</v>
      </c>
      <c r="E1622" t="s">
        <v>72</v>
      </c>
      <c r="F1622" t="s">
        <v>78</v>
      </c>
    </row>
    <row r="1623" spans="1:6" x14ac:dyDescent="0.45">
      <c r="A1623">
        <v>50</v>
      </c>
      <c r="B1623">
        <v>16</v>
      </c>
      <c r="C1623">
        <v>78000</v>
      </c>
      <c r="D1623" t="s">
        <v>71</v>
      </c>
      <c r="E1623" t="s">
        <v>74</v>
      </c>
      <c r="F1623" t="s">
        <v>78</v>
      </c>
    </row>
    <row r="1624" spans="1:6" x14ac:dyDescent="0.45">
      <c r="A1624">
        <v>50</v>
      </c>
      <c r="B1624">
        <v>16</v>
      </c>
      <c r="C1624">
        <v>78000</v>
      </c>
      <c r="D1624" t="s">
        <v>71</v>
      </c>
      <c r="E1624" t="s">
        <v>72</v>
      </c>
      <c r="F1624" t="s">
        <v>78</v>
      </c>
    </row>
    <row r="1625" spans="1:6" x14ac:dyDescent="0.45">
      <c r="A1625">
        <v>40</v>
      </c>
      <c r="B1625">
        <v>16</v>
      </c>
      <c r="C1625">
        <v>78480</v>
      </c>
      <c r="D1625" t="s">
        <v>71</v>
      </c>
      <c r="E1625" t="s">
        <v>74</v>
      </c>
      <c r="F1625" t="s">
        <v>78</v>
      </c>
    </row>
    <row r="1626" spans="1:6" x14ac:dyDescent="0.45">
      <c r="A1626">
        <v>50</v>
      </c>
      <c r="B1626">
        <v>16</v>
      </c>
      <c r="C1626">
        <v>80000</v>
      </c>
      <c r="D1626" t="s">
        <v>71</v>
      </c>
      <c r="E1626" t="s">
        <v>74</v>
      </c>
      <c r="F1626" t="s">
        <v>78</v>
      </c>
    </row>
    <row r="1627" spans="1:6" x14ac:dyDescent="0.45">
      <c r="A1627">
        <v>45</v>
      </c>
      <c r="B1627">
        <v>16</v>
      </c>
      <c r="C1627">
        <v>80000</v>
      </c>
      <c r="D1627" t="s">
        <v>71</v>
      </c>
      <c r="E1627" t="s">
        <v>74</v>
      </c>
      <c r="F1627" t="s">
        <v>78</v>
      </c>
    </row>
    <row r="1628" spans="1:6" x14ac:dyDescent="0.45">
      <c r="A1628">
        <v>45</v>
      </c>
      <c r="B1628">
        <v>16</v>
      </c>
      <c r="C1628">
        <v>80000</v>
      </c>
      <c r="D1628" t="s">
        <v>71</v>
      </c>
      <c r="E1628" t="s">
        <v>74</v>
      </c>
      <c r="F1628" t="s">
        <v>78</v>
      </c>
    </row>
    <row r="1629" spans="1:6" x14ac:dyDescent="0.45">
      <c r="A1629">
        <v>40</v>
      </c>
      <c r="B1629">
        <v>16</v>
      </c>
      <c r="C1629">
        <v>80000</v>
      </c>
      <c r="D1629" t="s">
        <v>71</v>
      </c>
      <c r="E1629" t="s">
        <v>74</v>
      </c>
      <c r="F1629" t="s">
        <v>78</v>
      </c>
    </row>
    <row r="1630" spans="1:6" x14ac:dyDescent="0.45">
      <c r="A1630">
        <v>40</v>
      </c>
      <c r="B1630">
        <v>16</v>
      </c>
      <c r="C1630">
        <v>80000</v>
      </c>
      <c r="D1630" t="s">
        <v>71</v>
      </c>
      <c r="E1630" t="s">
        <v>72</v>
      </c>
      <c r="F1630" t="s">
        <v>78</v>
      </c>
    </row>
    <row r="1631" spans="1:6" x14ac:dyDescent="0.45">
      <c r="A1631">
        <v>0</v>
      </c>
      <c r="B1631">
        <v>16</v>
      </c>
      <c r="C1631">
        <v>80000</v>
      </c>
      <c r="D1631" t="s">
        <v>71</v>
      </c>
      <c r="E1631" t="s">
        <v>72</v>
      </c>
      <c r="F1631" t="s">
        <v>78</v>
      </c>
    </row>
    <row r="1632" spans="1:6" x14ac:dyDescent="0.45">
      <c r="A1632">
        <v>50</v>
      </c>
      <c r="B1632">
        <v>16</v>
      </c>
      <c r="C1632">
        <v>80000</v>
      </c>
      <c r="D1632" t="s">
        <v>71</v>
      </c>
      <c r="E1632" t="s">
        <v>74</v>
      </c>
      <c r="F1632" t="s">
        <v>78</v>
      </c>
    </row>
    <row r="1633" spans="1:6" x14ac:dyDescent="0.45">
      <c r="A1633">
        <v>55</v>
      </c>
      <c r="B1633">
        <v>16</v>
      </c>
      <c r="C1633">
        <v>80000</v>
      </c>
      <c r="D1633" t="s">
        <v>71</v>
      </c>
      <c r="E1633" t="s">
        <v>74</v>
      </c>
      <c r="F1633" t="s">
        <v>78</v>
      </c>
    </row>
    <row r="1634" spans="1:6" x14ac:dyDescent="0.45">
      <c r="A1634">
        <v>40</v>
      </c>
      <c r="B1634">
        <v>16</v>
      </c>
      <c r="C1634">
        <v>80000</v>
      </c>
      <c r="D1634" t="s">
        <v>71</v>
      </c>
      <c r="E1634" t="s">
        <v>72</v>
      </c>
      <c r="F1634" t="s">
        <v>78</v>
      </c>
    </row>
    <row r="1635" spans="1:6" x14ac:dyDescent="0.45">
      <c r="A1635">
        <v>0</v>
      </c>
      <c r="B1635">
        <v>16</v>
      </c>
      <c r="C1635">
        <v>80000</v>
      </c>
      <c r="D1635" t="s">
        <v>71</v>
      </c>
      <c r="E1635" t="s">
        <v>74</v>
      </c>
      <c r="F1635" t="s">
        <v>78</v>
      </c>
    </row>
    <row r="1636" spans="1:6" x14ac:dyDescent="0.45">
      <c r="A1636">
        <v>50</v>
      </c>
      <c r="B1636">
        <v>16</v>
      </c>
      <c r="C1636">
        <v>80000</v>
      </c>
      <c r="D1636" t="s">
        <v>71</v>
      </c>
      <c r="E1636" t="s">
        <v>74</v>
      </c>
      <c r="F1636" t="s">
        <v>78</v>
      </c>
    </row>
    <row r="1637" spans="1:6" x14ac:dyDescent="0.45">
      <c r="A1637">
        <v>40</v>
      </c>
      <c r="B1637">
        <v>16</v>
      </c>
      <c r="C1637">
        <v>80000</v>
      </c>
      <c r="D1637" t="s">
        <v>71</v>
      </c>
      <c r="E1637" t="s">
        <v>74</v>
      </c>
      <c r="F1637" t="s">
        <v>78</v>
      </c>
    </row>
    <row r="1638" spans="1:6" x14ac:dyDescent="0.45">
      <c r="A1638">
        <v>50</v>
      </c>
      <c r="B1638">
        <v>16</v>
      </c>
      <c r="C1638">
        <v>80000</v>
      </c>
      <c r="D1638" t="s">
        <v>71</v>
      </c>
      <c r="E1638" t="s">
        <v>74</v>
      </c>
      <c r="F1638" t="s">
        <v>78</v>
      </c>
    </row>
    <row r="1639" spans="1:6" x14ac:dyDescent="0.45">
      <c r="A1639">
        <v>50</v>
      </c>
      <c r="B1639">
        <v>16</v>
      </c>
      <c r="C1639">
        <v>80000</v>
      </c>
      <c r="D1639" t="s">
        <v>71</v>
      </c>
      <c r="E1639" t="s">
        <v>74</v>
      </c>
      <c r="F1639" t="s">
        <v>78</v>
      </c>
    </row>
    <row r="1640" spans="1:6" x14ac:dyDescent="0.45">
      <c r="A1640">
        <v>50</v>
      </c>
      <c r="B1640">
        <v>16</v>
      </c>
      <c r="C1640">
        <v>80000</v>
      </c>
      <c r="D1640" t="s">
        <v>71</v>
      </c>
      <c r="E1640" t="s">
        <v>74</v>
      </c>
      <c r="F1640" t="s">
        <v>78</v>
      </c>
    </row>
    <row r="1641" spans="1:6" x14ac:dyDescent="0.45">
      <c r="A1641">
        <v>70</v>
      </c>
      <c r="B1641">
        <v>16</v>
      </c>
      <c r="C1641">
        <v>81000</v>
      </c>
      <c r="D1641" t="s">
        <v>71</v>
      </c>
      <c r="E1641" t="s">
        <v>74</v>
      </c>
      <c r="F1641" t="s">
        <v>78</v>
      </c>
    </row>
    <row r="1642" spans="1:6" x14ac:dyDescent="0.45">
      <c r="A1642">
        <v>45</v>
      </c>
      <c r="B1642">
        <v>16</v>
      </c>
      <c r="C1642">
        <v>81000</v>
      </c>
      <c r="D1642" t="s">
        <v>71</v>
      </c>
      <c r="E1642" t="s">
        <v>74</v>
      </c>
      <c r="F1642" t="s">
        <v>78</v>
      </c>
    </row>
    <row r="1643" spans="1:6" x14ac:dyDescent="0.45">
      <c r="A1643">
        <v>42</v>
      </c>
      <c r="B1643">
        <v>16</v>
      </c>
      <c r="C1643">
        <v>81925</v>
      </c>
      <c r="D1643" t="s">
        <v>71</v>
      </c>
      <c r="E1643" t="s">
        <v>74</v>
      </c>
      <c r="F1643" t="s">
        <v>78</v>
      </c>
    </row>
    <row r="1644" spans="1:6" x14ac:dyDescent="0.45">
      <c r="A1644">
        <v>60</v>
      </c>
      <c r="B1644">
        <v>16</v>
      </c>
      <c r="C1644">
        <v>82000</v>
      </c>
      <c r="D1644" t="s">
        <v>71</v>
      </c>
      <c r="E1644" t="s">
        <v>74</v>
      </c>
      <c r="F1644" t="s">
        <v>78</v>
      </c>
    </row>
    <row r="1645" spans="1:6" x14ac:dyDescent="0.45">
      <c r="A1645">
        <v>40</v>
      </c>
      <c r="B1645">
        <v>16</v>
      </c>
      <c r="C1645">
        <v>82000</v>
      </c>
      <c r="D1645" t="s">
        <v>71</v>
      </c>
      <c r="E1645" t="s">
        <v>72</v>
      </c>
      <c r="F1645" t="s">
        <v>78</v>
      </c>
    </row>
    <row r="1646" spans="1:6" x14ac:dyDescent="0.45">
      <c r="A1646">
        <v>44</v>
      </c>
      <c r="B1646">
        <v>16</v>
      </c>
      <c r="C1646">
        <v>82000</v>
      </c>
      <c r="D1646" t="s">
        <v>71</v>
      </c>
      <c r="E1646" t="s">
        <v>74</v>
      </c>
      <c r="F1646" t="s">
        <v>78</v>
      </c>
    </row>
    <row r="1647" spans="1:6" x14ac:dyDescent="0.45">
      <c r="A1647">
        <v>55</v>
      </c>
      <c r="B1647">
        <v>16</v>
      </c>
      <c r="C1647">
        <v>82198</v>
      </c>
      <c r="D1647" t="s">
        <v>71</v>
      </c>
      <c r="E1647" t="s">
        <v>74</v>
      </c>
      <c r="F1647" t="s">
        <v>78</v>
      </c>
    </row>
    <row r="1648" spans="1:6" x14ac:dyDescent="0.45">
      <c r="A1648">
        <v>57</v>
      </c>
      <c r="B1648">
        <v>16</v>
      </c>
      <c r="C1648">
        <v>84000</v>
      </c>
      <c r="D1648" t="s">
        <v>71</v>
      </c>
      <c r="E1648" t="s">
        <v>74</v>
      </c>
      <c r="F1648" t="s">
        <v>78</v>
      </c>
    </row>
    <row r="1649" spans="1:6" x14ac:dyDescent="0.45">
      <c r="A1649">
        <v>50</v>
      </c>
      <c r="B1649">
        <v>16</v>
      </c>
      <c r="C1649">
        <v>84000</v>
      </c>
      <c r="D1649" t="s">
        <v>71</v>
      </c>
      <c r="E1649" t="s">
        <v>74</v>
      </c>
      <c r="F1649" t="s">
        <v>78</v>
      </c>
    </row>
    <row r="1650" spans="1:6" x14ac:dyDescent="0.45">
      <c r="A1650">
        <v>45</v>
      </c>
      <c r="B1650">
        <v>16</v>
      </c>
      <c r="C1650">
        <v>85000</v>
      </c>
      <c r="D1650" t="s">
        <v>71</v>
      </c>
      <c r="E1650" t="s">
        <v>74</v>
      </c>
      <c r="F1650" t="s">
        <v>78</v>
      </c>
    </row>
    <row r="1651" spans="1:6" x14ac:dyDescent="0.45">
      <c r="A1651">
        <v>40</v>
      </c>
      <c r="B1651">
        <v>16</v>
      </c>
      <c r="C1651">
        <v>85000</v>
      </c>
      <c r="D1651" t="s">
        <v>71</v>
      </c>
      <c r="E1651" t="s">
        <v>74</v>
      </c>
      <c r="F1651" t="s">
        <v>78</v>
      </c>
    </row>
    <row r="1652" spans="1:6" x14ac:dyDescent="0.45">
      <c r="A1652">
        <v>50</v>
      </c>
      <c r="B1652">
        <v>16</v>
      </c>
      <c r="C1652">
        <v>85000</v>
      </c>
      <c r="D1652" t="s">
        <v>71</v>
      </c>
      <c r="E1652" t="s">
        <v>74</v>
      </c>
      <c r="F1652" t="s">
        <v>78</v>
      </c>
    </row>
    <row r="1653" spans="1:6" x14ac:dyDescent="0.45">
      <c r="A1653">
        <v>50</v>
      </c>
      <c r="B1653">
        <v>16</v>
      </c>
      <c r="C1653">
        <v>85000</v>
      </c>
      <c r="D1653" t="s">
        <v>71</v>
      </c>
      <c r="E1653" t="s">
        <v>74</v>
      </c>
      <c r="F1653" t="s">
        <v>78</v>
      </c>
    </row>
    <row r="1654" spans="1:6" x14ac:dyDescent="0.45">
      <c r="A1654">
        <v>50</v>
      </c>
      <c r="B1654">
        <v>16</v>
      </c>
      <c r="C1654">
        <v>85000</v>
      </c>
      <c r="D1654" t="s">
        <v>71</v>
      </c>
      <c r="E1654" t="s">
        <v>74</v>
      </c>
      <c r="F1654" t="s">
        <v>78</v>
      </c>
    </row>
    <row r="1655" spans="1:6" x14ac:dyDescent="0.45">
      <c r="A1655">
        <v>40</v>
      </c>
      <c r="B1655">
        <v>16</v>
      </c>
      <c r="C1655">
        <v>85000</v>
      </c>
      <c r="D1655" t="s">
        <v>71</v>
      </c>
      <c r="E1655" t="s">
        <v>74</v>
      </c>
      <c r="F1655" t="s">
        <v>78</v>
      </c>
    </row>
    <row r="1656" spans="1:6" x14ac:dyDescent="0.45">
      <c r="A1656">
        <v>60</v>
      </c>
      <c r="B1656">
        <v>16</v>
      </c>
      <c r="C1656">
        <v>85000</v>
      </c>
      <c r="D1656" t="s">
        <v>71</v>
      </c>
      <c r="E1656" t="s">
        <v>74</v>
      </c>
      <c r="F1656" t="s">
        <v>78</v>
      </c>
    </row>
    <row r="1657" spans="1:6" x14ac:dyDescent="0.45">
      <c r="A1657">
        <v>50</v>
      </c>
      <c r="B1657">
        <v>16</v>
      </c>
      <c r="C1657">
        <v>85000</v>
      </c>
      <c r="D1657" t="s">
        <v>71</v>
      </c>
      <c r="E1657" t="s">
        <v>74</v>
      </c>
      <c r="F1657" t="s">
        <v>78</v>
      </c>
    </row>
    <row r="1658" spans="1:6" x14ac:dyDescent="0.45">
      <c r="A1658">
        <v>50</v>
      </c>
      <c r="B1658">
        <v>16</v>
      </c>
      <c r="C1658">
        <v>85000</v>
      </c>
      <c r="D1658" t="s">
        <v>71</v>
      </c>
      <c r="E1658" t="s">
        <v>74</v>
      </c>
      <c r="F1658" t="s">
        <v>78</v>
      </c>
    </row>
    <row r="1659" spans="1:6" x14ac:dyDescent="0.45">
      <c r="A1659">
        <v>50</v>
      </c>
      <c r="B1659">
        <v>16</v>
      </c>
      <c r="C1659">
        <v>85000</v>
      </c>
      <c r="D1659" t="s">
        <v>76</v>
      </c>
      <c r="E1659" t="s">
        <v>74</v>
      </c>
      <c r="F1659" t="s">
        <v>78</v>
      </c>
    </row>
    <row r="1660" spans="1:6" x14ac:dyDescent="0.45">
      <c r="A1660">
        <v>45</v>
      </c>
      <c r="B1660">
        <v>16</v>
      </c>
      <c r="C1660">
        <v>85828</v>
      </c>
      <c r="D1660" t="s">
        <v>76</v>
      </c>
      <c r="E1660" t="s">
        <v>72</v>
      </c>
      <c r="F1660" t="s">
        <v>78</v>
      </c>
    </row>
    <row r="1661" spans="1:6" x14ac:dyDescent="0.45">
      <c r="A1661">
        <v>0</v>
      </c>
      <c r="B1661">
        <v>16</v>
      </c>
      <c r="C1661">
        <v>86000</v>
      </c>
      <c r="D1661" t="s">
        <v>71</v>
      </c>
      <c r="E1661" t="s">
        <v>74</v>
      </c>
      <c r="F1661" t="s">
        <v>78</v>
      </c>
    </row>
    <row r="1662" spans="1:6" x14ac:dyDescent="0.45">
      <c r="A1662">
        <v>75</v>
      </c>
      <c r="B1662">
        <v>16</v>
      </c>
      <c r="C1662">
        <v>87000</v>
      </c>
      <c r="D1662" t="s">
        <v>71</v>
      </c>
      <c r="E1662" t="s">
        <v>74</v>
      </c>
      <c r="F1662" t="s">
        <v>78</v>
      </c>
    </row>
    <row r="1663" spans="1:6" x14ac:dyDescent="0.45">
      <c r="A1663">
        <v>40</v>
      </c>
      <c r="B1663">
        <v>16</v>
      </c>
      <c r="C1663">
        <v>87000</v>
      </c>
      <c r="D1663" t="s">
        <v>71</v>
      </c>
      <c r="E1663" t="s">
        <v>74</v>
      </c>
      <c r="F1663" t="s">
        <v>78</v>
      </c>
    </row>
    <row r="1664" spans="1:6" x14ac:dyDescent="0.45">
      <c r="A1664">
        <v>40</v>
      </c>
      <c r="B1664">
        <v>16</v>
      </c>
      <c r="C1664">
        <v>88000</v>
      </c>
      <c r="D1664" t="s">
        <v>71</v>
      </c>
      <c r="E1664" t="s">
        <v>72</v>
      </c>
      <c r="F1664" t="s">
        <v>78</v>
      </c>
    </row>
    <row r="1665" spans="1:6" x14ac:dyDescent="0.45">
      <c r="A1665">
        <v>50</v>
      </c>
      <c r="B1665">
        <v>16</v>
      </c>
      <c r="C1665">
        <v>88000</v>
      </c>
      <c r="D1665" t="s">
        <v>71</v>
      </c>
      <c r="E1665" t="s">
        <v>74</v>
      </c>
      <c r="F1665" t="s">
        <v>78</v>
      </c>
    </row>
    <row r="1666" spans="1:6" x14ac:dyDescent="0.45">
      <c r="A1666">
        <v>40</v>
      </c>
      <c r="B1666">
        <v>16</v>
      </c>
      <c r="C1666">
        <v>88500</v>
      </c>
      <c r="D1666" t="s">
        <v>71</v>
      </c>
      <c r="E1666" t="s">
        <v>74</v>
      </c>
      <c r="F1666" t="s">
        <v>78</v>
      </c>
    </row>
    <row r="1667" spans="1:6" x14ac:dyDescent="0.45">
      <c r="A1667">
        <v>48</v>
      </c>
      <c r="B1667">
        <v>16</v>
      </c>
      <c r="C1667">
        <v>88500</v>
      </c>
      <c r="D1667" t="s">
        <v>71</v>
      </c>
      <c r="E1667" t="s">
        <v>74</v>
      </c>
      <c r="F1667" t="s">
        <v>78</v>
      </c>
    </row>
    <row r="1668" spans="1:6" x14ac:dyDescent="0.45">
      <c r="A1668">
        <v>40</v>
      </c>
      <c r="B1668">
        <v>16</v>
      </c>
      <c r="C1668">
        <v>89000</v>
      </c>
      <c r="D1668" t="s">
        <v>71</v>
      </c>
      <c r="E1668" t="s">
        <v>74</v>
      </c>
      <c r="F1668" t="s">
        <v>78</v>
      </c>
    </row>
    <row r="1669" spans="1:6" x14ac:dyDescent="0.45">
      <c r="A1669">
        <v>59</v>
      </c>
      <c r="B1669">
        <v>16</v>
      </c>
      <c r="C1669">
        <v>89925</v>
      </c>
      <c r="D1669" t="s">
        <v>71</v>
      </c>
      <c r="E1669" t="s">
        <v>74</v>
      </c>
      <c r="F1669" t="s">
        <v>78</v>
      </c>
    </row>
    <row r="1670" spans="1:6" x14ac:dyDescent="0.45">
      <c r="A1670">
        <v>60</v>
      </c>
      <c r="B1670">
        <v>16</v>
      </c>
      <c r="C1670">
        <v>90000</v>
      </c>
      <c r="D1670" t="s">
        <v>71</v>
      </c>
      <c r="E1670" t="s">
        <v>74</v>
      </c>
      <c r="F1670" t="s">
        <v>78</v>
      </c>
    </row>
    <row r="1671" spans="1:6" x14ac:dyDescent="0.45">
      <c r="A1671">
        <v>50</v>
      </c>
      <c r="B1671">
        <v>16</v>
      </c>
      <c r="C1671">
        <v>90000</v>
      </c>
      <c r="D1671" t="s">
        <v>71</v>
      </c>
      <c r="E1671" t="s">
        <v>74</v>
      </c>
      <c r="F1671" t="s">
        <v>78</v>
      </c>
    </row>
    <row r="1672" spans="1:6" x14ac:dyDescent="0.45">
      <c r="A1672">
        <v>40</v>
      </c>
      <c r="B1672">
        <v>16</v>
      </c>
      <c r="C1672">
        <v>90000</v>
      </c>
      <c r="D1672" t="s">
        <v>71</v>
      </c>
      <c r="E1672" t="s">
        <v>72</v>
      </c>
      <c r="F1672" t="s">
        <v>78</v>
      </c>
    </row>
    <row r="1673" spans="1:6" x14ac:dyDescent="0.45">
      <c r="A1673">
        <v>50</v>
      </c>
      <c r="B1673">
        <v>16</v>
      </c>
      <c r="C1673">
        <v>90000</v>
      </c>
      <c r="D1673" t="s">
        <v>77</v>
      </c>
      <c r="E1673" t="s">
        <v>74</v>
      </c>
      <c r="F1673" t="s">
        <v>78</v>
      </c>
    </row>
    <row r="1674" spans="1:6" x14ac:dyDescent="0.45">
      <c r="A1674">
        <v>60</v>
      </c>
      <c r="B1674">
        <v>16</v>
      </c>
      <c r="C1674">
        <v>90000</v>
      </c>
      <c r="D1674" t="s">
        <v>71</v>
      </c>
      <c r="E1674" t="s">
        <v>74</v>
      </c>
      <c r="F1674" t="s">
        <v>78</v>
      </c>
    </row>
    <row r="1675" spans="1:6" x14ac:dyDescent="0.45">
      <c r="A1675">
        <v>65</v>
      </c>
      <c r="B1675">
        <v>16</v>
      </c>
      <c r="C1675">
        <v>90000</v>
      </c>
      <c r="D1675" t="s">
        <v>75</v>
      </c>
      <c r="E1675" t="s">
        <v>74</v>
      </c>
      <c r="F1675" t="s">
        <v>78</v>
      </c>
    </row>
    <row r="1676" spans="1:6" x14ac:dyDescent="0.45">
      <c r="A1676">
        <v>50</v>
      </c>
      <c r="B1676">
        <v>16</v>
      </c>
      <c r="C1676">
        <v>90000</v>
      </c>
      <c r="D1676" t="s">
        <v>76</v>
      </c>
      <c r="E1676" t="s">
        <v>74</v>
      </c>
      <c r="F1676" t="s">
        <v>78</v>
      </c>
    </row>
    <row r="1677" spans="1:6" x14ac:dyDescent="0.45">
      <c r="A1677">
        <v>40</v>
      </c>
      <c r="B1677">
        <v>16</v>
      </c>
      <c r="C1677">
        <v>90000</v>
      </c>
      <c r="D1677" t="s">
        <v>71</v>
      </c>
      <c r="E1677" t="s">
        <v>74</v>
      </c>
      <c r="F1677" t="s">
        <v>78</v>
      </c>
    </row>
    <row r="1678" spans="1:6" x14ac:dyDescent="0.45">
      <c r="A1678">
        <v>40</v>
      </c>
      <c r="B1678">
        <v>16</v>
      </c>
      <c r="C1678">
        <v>90000</v>
      </c>
      <c r="D1678" t="s">
        <v>75</v>
      </c>
      <c r="E1678" t="s">
        <v>74</v>
      </c>
      <c r="F1678" t="s">
        <v>78</v>
      </c>
    </row>
    <row r="1679" spans="1:6" x14ac:dyDescent="0.45">
      <c r="A1679">
        <v>52</v>
      </c>
      <c r="B1679">
        <v>16</v>
      </c>
      <c r="C1679">
        <v>90000</v>
      </c>
      <c r="D1679" t="s">
        <v>71</v>
      </c>
      <c r="E1679" t="s">
        <v>74</v>
      </c>
      <c r="F1679" t="s">
        <v>78</v>
      </c>
    </row>
    <row r="1680" spans="1:6" x14ac:dyDescent="0.45">
      <c r="A1680">
        <v>60</v>
      </c>
      <c r="B1680">
        <v>16</v>
      </c>
      <c r="C1680">
        <v>90000</v>
      </c>
      <c r="D1680" t="s">
        <v>71</v>
      </c>
      <c r="E1680" t="s">
        <v>74</v>
      </c>
      <c r="F1680" t="s">
        <v>78</v>
      </c>
    </row>
    <row r="1681" spans="1:6" x14ac:dyDescent="0.45">
      <c r="A1681">
        <v>45</v>
      </c>
      <c r="B1681">
        <v>16</v>
      </c>
      <c r="C1681">
        <v>90406</v>
      </c>
      <c r="D1681" t="s">
        <v>71</v>
      </c>
      <c r="E1681" t="s">
        <v>74</v>
      </c>
      <c r="F1681" t="s">
        <v>78</v>
      </c>
    </row>
    <row r="1682" spans="1:6" x14ac:dyDescent="0.45">
      <c r="A1682">
        <v>36</v>
      </c>
      <c r="B1682">
        <v>16</v>
      </c>
      <c r="C1682">
        <v>90406</v>
      </c>
      <c r="D1682" t="s">
        <v>71</v>
      </c>
      <c r="E1682" t="s">
        <v>74</v>
      </c>
      <c r="F1682" t="s">
        <v>78</v>
      </c>
    </row>
    <row r="1683" spans="1:6" x14ac:dyDescent="0.45">
      <c r="A1683">
        <v>50</v>
      </c>
      <c r="B1683">
        <v>16</v>
      </c>
      <c r="C1683">
        <v>91000</v>
      </c>
      <c r="D1683" t="s">
        <v>71</v>
      </c>
      <c r="E1683" t="s">
        <v>74</v>
      </c>
      <c r="F1683" t="s">
        <v>78</v>
      </c>
    </row>
    <row r="1684" spans="1:6" x14ac:dyDescent="0.45">
      <c r="A1684">
        <v>0</v>
      </c>
      <c r="B1684">
        <v>16</v>
      </c>
      <c r="C1684">
        <v>91000</v>
      </c>
      <c r="D1684" t="s">
        <v>71</v>
      </c>
      <c r="E1684" t="s">
        <v>74</v>
      </c>
      <c r="F1684" t="s">
        <v>78</v>
      </c>
    </row>
    <row r="1685" spans="1:6" x14ac:dyDescent="0.45">
      <c r="A1685">
        <v>40</v>
      </c>
      <c r="B1685">
        <v>16</v>
      </c>
      <c r="C1685">
        <v>92000</v>
      </c>
      <c r="D1685" t="s">
        <v>71</v>
      </c>
      <c r="E1685" t="s">
        <v>72</v>
      </c>
      <c r="F1685" t="s">
        <v>78</v>
      </c>
    </row>
    <row r="1686" spans="1:6" x14ac:dyDescent="0.45">
      <c r="A1686">
        <v>50</v>
      </c>
      <c r="B1686">
        <v>16</v>
      </c>
      <c r="C1686">
        <v>92000</v>
      </c>
      <c r="D1686" t="s">
        <v>71</v>
      </c>
      <c r="E1686" t="s">
        <v>74</v>
      </c>
      <c r="F1686" t="s">
        <v>78</v>
      </c>
    </row>
    <row r="1687" spans="1:6" x14ac:dyDescent="0.45">
      <c r="A1687">
        <v>80</v>
      </c>
      <c r="B1687">
        <v>16</v>
      </c>
      <c r="C1687">
        <v>92000</v>
      </c>
      <c r="D1687" t="s">
        <v>71</v>
      </c>
      <c r="E1687" t="s">
        <v>74</v>
      </c>
      <c r="F1687" t="s">
        <v>78</v>
      </c>
    </row>
    <row r="1688" spans="1:6" x14ac:dyDescent="0.45">
      <c r="A1688">
        <v>40</v>
      </c>
      <c r="B1688">
        <v>16</v>
      </c>
      <c r="C1688">
        <v>92083</v>
      </c>
      <c r="D1688" t="s">
        <v>71</v>
      </c>
      <c r="E1688" t="s">
        <v>72</v>
      </c>
      <c r="F1688" t="s">
        <v>78</v>
      </c>
    </row>
    <row r="1689" spans="1:6" x14ac:dyDescent="0.45">
      <c r="A1689">
        <v>40</v>
      </c>
      <c r="B1689">
        <v>16</v>
      </c>
      <c r="C1689">
        <v>94000</v>
      </c>
      <c r="D1689" t="s">
        <v>71</v>
      </c>
      <c r="E1689" t="s">
        <v>74</v>
      </c>
      <c r="F1689" t="s">
        <v>78</v>
      </c>
    </row>
    <row r="1690" spans="1:6" x14ac:dyDescent="0.45">
      <c r="A1690">
        <v>40</v>
      </c>
      <c r="B1690">
        <v>16</v>
      </c>
      <c r="C1690">
        <v>94925</v>
      </c>
      <c r="D1690" t="s">
        <v>71</v>
      </c>
      <c r="E1690" t="s">
        <v>74</v>
      </c>
      <c r="F1690" t="s">
        <v>78</v>
      </c>
    </row>
    <row r="1691" spans="1:6" x14ac:dyDescent="0.45">
      <c r="A1691">
        <v>40</v>
      </c>
      <c r="B1691">
        <v>16</v>
      </c>
      <c r="C1691">
        <v>96000</v>
      </c>
      <c r="D1691" t="s">
        <v>71</v>
      </c>
      <c r="E1691" t="s">
        <v>74</v>
      </c>
      <c r="F1691" t="s">
        <v>78</v>
      </c>
    </row>
    <row r="1692" spans="1:6" x14ac:dyDescent="0.45">
      <c r="A1692">
        <v>40</v>
      </c>
      <c r="B1692">
        <v>16</v>
      </c>
      <c r="C1692">
        <v>96406</v>
      </c>
      <c r="D1692" t="s">
        <v>71</v>
      </c>
      <c r="E1692" t="s">
        <v>74</v>
      </c>
      <c r="F1692" t="s">
        <v>78</v>
      </c>
    </row>
    <row r="1693" spans="1:6" x14ac:dyDescent="0.45">
      <c r="A1693">
        <v>45</v>
      </c>
      <c r="B1693">
        <v>16</v>
      </c>
      <c r="C1693">
        <v>97000</v>
      </c>
      <c r="D1693" t="s">
        <v>71</v>
      </c>
      <c r="E1693" t="s">
        <v>74</v>
      </c>
      <c r="F1693" t="s">
        <v>78</v>
      </c>
    </row>
    <row r="1694" spans="1:6" x14ac:dyDescent="0.45">
      <c r="A1694">
        <v>60</v>
      </c>
      <c r="B1694">
        <v>16</v>
      </c>
      <c r="C1694">
        <v>97000</v>
      </c>
      <c r="D1694" t="s">
        <v>71</v>
      </c>
      <c r="E1694" t="s">
        <v>74</v>
      </c>
      <c r="F1694" t="s">
        <v>78</v>
      </c>
    </row>
    <row r="1695" spans="1:6" x14ac:dyDescent="0.45">
      <c r="A1695">
        <v>50</v>
      </c>
      <c r="B1695">
        <v>16</v>
      </c>
      <c r="C1695">
        <v>97006</v>
      </c>
      <c r="D1695" t="s">
        <v>71</v>
      </c>
      <c r="E1695" t="s">
        <v>74</v>
      </c>
      <c r="F1695" t="s">
        <v>78</v>
      </c>
    </row>
    <row r="1696" spans="1:6" x14ac:dyDescent="0.45">
      <c r="A1696">
        <v>40</v>
      </c>
      <c r="B1696">
        <v>16</v>
      </c>
      <c r="C1696">
        <v>98000</v>
      </c>
      <c r="D1696" t="s">
        <v>71</v>
      </c>
      <c r="E1696" t="s">
        <v>72</v>
      </c>
      <c r="F1696" t="s">
        <v>78</v>
      </c>
    </row>
    <row r="1697" spans="1:6" x14ac:dyDescent="0.45">
      <c r="A1697">
        <v>50</v>
      </c>
      <c r="B1697">
        <v>16</v>
      </c>
      <c r="C1697">
        <v>98600</v>
      </c>
      <c r="D1697" t="s">
        <v>71</v>
      </c>
      <c r="E1697" t="s">
        <v>74</v>
      </c>
      <c r="F1697" t="s">
        <v>78</v>
      </c>
    </row>
    <row r="1698" spans="1:6" x14ac:dyDescent="0.45">
      <c r="A1698">
        <v>55</v>
      </c>
      <c r="B1698">
        <v>16</v>
      </c>
      <c r="C1698">
        <v>99000</v>
      </c>
      <c r="D1698" t="s">
        <v>71</v>
      </c>
      <c r="E1698" t="s">
        <v>74</v>
      </c>
      <c r="F1698" t="s">
        <v>78</v>
      </c>
    </row>
    <row r="1699" spans="1:6" x14ac:dyDescent="0.45">
      <c r="A1699">
        <v>65</v>
      </c>
      <c r="B1699">
        <v>16</v>
      </c>
      <c r="C1699">
        <v>99925</v>
      </c>
      <c r="D1699" t="s">
        <v>71</v>
      </c>
      <c r="E1699" t="s">
        <v>74</v>
      </c>
      <c r="F1699" t="s">
        <v>78</v>
      </c>
    </row>
    <row r="1700" spans="1:6" x14ac:dyDescent="0.45">
      <c r="A1700">
        <v>60</v>
      </c>
      <c r="B1700">
        <v>16</v>
      </c>
      <c r="C1700">
        <v>100000</v>
      </c>
      <c r="D1700" t="s">
        <v>71</v>
      </c>
      <c r="E1700" t="s">
        <v>72</v>
      </c>
      <c r="F1700" t="s">
        <v>78</v>
      </c>
    </row>
    <row r="1701" spans="1:6" x14ac:dyDescent="0.45">
      <c r="A1701">
        <v>60</v>
      </c>
      <c r="B1701">
        <v>16</v>
      </c>
      <c r="C1701">
        <v>100000</v>
      </c>
      <c r="D1701" t="s">
        <v>71</v>
      </c>
      <c r="E1701" t="s">
        <v>74</v>
      </c>
      <c r="F1701" t="s">
        <v>78</v>
      </c>
    </row>
    <row r="1702" spans="1:6" x14ac:dyDescent="0.45">
      <c r="A1702">
        <v>45</v>
      </c>
      <c r="B1702">
        <v>16</v>
      </c>
      <c r="C1702">
        <v>100000</v>
      </c>
      <c r="D1702" t="s">
        <v>71</v>
      </c>
      <c r="E1702" t="s">
        <v>74</v>
      </c>
      <c r="F1702" t="s">
        <v>78</v>
      </c>
    </row>
    <row r="1703" spans="1:6" x14ac:dyDescent="0.45">
      <c r="A1703">
        <v>50</v>
      </c>
      <c r="B1703">
        <v>16</v>
      </c>
      <c r="C1703">
        <v>100000</v>
      </c>
      <c r="D1703" t="s">
        <v>71</v>
      </c>
      <c r="E1703" t="s">
        <v>74</v>
      </c>
      <c r="F1703" t="s">
        <v>78</v>
      </c>
    </row>
    <row r="1704" spans="1:6" x14ac:dyDescent="0.45">
      <c r="A1704">
        <v>70</v>
      </c>
      <c r="B1704">
        <v>16</v>
      </c>
      <c r="C1704">
        <v>100000</v>
      </c>
      <c r="D1704" t="s">
        <v>71</v>
      </c>
      <c r="E1704" t="s">
        <v>74</v>
      </c>
      <c r="F1704" t="s">
        <v>78</v>
      </c>
    </row>
    <row r="1705" spans="1:6" x14ac:dyDescent="0.45">
      <c r="A1705">
        <v>40</v>
      </c>
      <c r="B1705">
        <v>16</v>
      </c>
      <c r="C1705">
        <v>100000</v>
      </c>
      <c r="D1705" t="s">
        <v>71</v>
      </c>
      <c r="E1705" t="s">
        <v>74</v>
      </c>
      <c r="F1705" t="s">
        <v>78</v>
      </c>
    </row>
    <row r="1706" spans="1:6" x14ac:dyDescent="0.45">
      <c r="A1706">
        <v>55</v>
      </c>
      <c r="B1706">
        <v>16</v>
      </c>
      <c r="C1706">
        <v>100000</v>
      </c>
      <c r="D1706" t="s">
        <v>71</v>
      </c>
      <c r="E1706" t="s">
        <v>74</v>
      </c>
      <c r="F1706" t="s">
        <v>78</v>
      </c>
    </row>
    <row r="1707" spans="1:6" x14ac:dyDescent="0.45">
      <c r="A1707">
        <v>45</v>
      </c>
      <c r="B1707">
        <v>16</v>
      </c>
      <c r="C1707">
        <v>100000</v>
      </c>
      <c r="D1707" t="s">
        <v>71</v>
      </c>
      <c r="E1707" t="s">
        <v>74</v>
      </c>
      <c r="F1707" t="s">
        <v>78</v>
      </c>
    </row>
    <row r="1708" spans="1:6" x14ac:dyDescent="0.45">
      <c r="A1708">
        <v>50</v>
      </c>
      <c r="B1708">
        <v>16</v>
      </c>
      <c r="C1708">
        <v>100000</v>
      </c>
      <c r="D1708" t="s">
        <v>71</v>
      </c>
      <c r="E1708" t="s">
        <v>74</v>
      </c>
      <c r="F1708" t="s">
        <v>78</v>
      </c>
    </row>
    <row r="1709" spans="1:6" x14ac:dyDescent="0.45">
      <c r="A1709">
        <v>50</v>
      </c>
      <c r="B1709">
        <v>16</v>
      </c>
      <c r="C1709">
        <v>100000</v>
      </c>
      <c r="D1709" t="s">
        <v>71</v>
      </c>
      <c r="E1709" t="s">
        <v>74</v>
      </c>
      <c r="F1709" t="s">
        <v>78</v>
      </c>
    </row>
    <row r="1710" spans="1:6" x14ac:dyDescent="0.45">
      <c r="A1710">
        <v>40</v>
      </c>
      <c r="B1710">
        <v>16</v>
      </c>
      <c r="C1710">
        <v>100000</v>
      </c>
      <c r="D1710" t="s">
        <v>71</v>
      </c>
      <c r="E1710" t="s">
        <v>74</v>
      </c>
      <c r="F1710" t="s">
        <v>78</v>
      </c>
    </row>
    <row r="1711" spans="1:6" x14ac:dyDescent="0.45">
      <c r="A1711">
        <v>40</v>
      </c>
      <c r="B1711">
        <v>16</v>
      </c>
      <c r="C1711">
        <v>100000</v>
      </c>
      <c r="D1711" t="s">
        <v>71</v>
      </c>
      <c r="E1711" t="s">
        <v>74</v>
      </c>
      <c r="F1711" t="s">
        <v>78</v>
      </c>
    </row>
    <row r="1712" spans="1:6" x14ac:dyDescent="0.45">
      <c r="A1712">
        <v>40</v>
      </c>
      <c r="B1712">
        <v>16</v>
      </c>
      <c r="C1712">
        <v>100000</v>
      </c>
      <c r="D1712" t="s">
        <v>71</v>
      </c>
      <c r="E1712" t="s">
        <v>74</v>
      </c>
      <c r="F1712" t="s">
        <v>78</v>
      </c>
    </row>
    <row r="1713" spans="1:6" x14ac:dyDescent="0.45">
      <c r="A1713">
        <v>40</v>
      </c>
      <c r="B1713">
        <v>16</v>
      </c>
      <c r="C1713">
        <v>100000</v>
      </c>
      <c r="D1713" t="s">
        <v>71</v>
      </c>
      <c r="E1713" t="s">
        <v>74</v>
      </c>
      <c r="F1713" t="s">
        <v>78</v>
      </c>
    </row>
    <row r="1714" spans="1:6" x14ac:dyDescent="0.45">
      <c r="A1714">
        <v>40</v>
      </c>
      <c r="B1714">
        <v>16</v>
      </c>
      <c r="C1714">
        <v>100406</v>
      </c>
      <c r="D1714" t="s">
        <v>71</v>
      </c>
      <c r="E1714" t="s">
        <v>74</v>
      </c>
      <c r="F1714" t="s">
        <v>78</v>
      </c>
    </row>
    <row r="1715" spans="1:6" x14ac:dyDescent="0.45">
      <c r="A1715">
        <v>45</v>
      </c>
      <c r="B1715">
        <v>16</v>
      </c>
      <c r="C1715">
        <v>101740</v>
      </c>
      <c r="D1715" t="s">
        <v>71</v>
      </c>
      <c r="E1715" t="s">
        <v>74</v>
      </c>
      <c r="F1715" t="s">
        <v>78</v>
      </c>
    </row>
    <row r="1716" spans="1:6" x14ac:dyDescent="0.45">
      <c r="A1716">
        <v>53</v>
      </c>
      <c r="B1716">
        <v>16</v>
      </c>
      <c r="C1716">
        <v>102000</v>
      </c>
      <c r="D1716" t="s">
        <v>71</v>
      </c>
      <c r="E1716" t="s">
        <v>74</v>
      </c>
      <c r="F1716" t="s">
        <v>78</v>
      </c>
    </row>
    <row r="1717" spans="1:6" x14ac:dyDescent="0.45">
      <c r="A1717">
        <v>57</v>
      </c>
      <c r="B1717">
        <v>16</v>
      </c>
      <c r="C1717">
        <v>104000</v>
      </c>
      <c r="D1717" t="s">
        <v>71</v>
      </c>
      <c r="E1717" t="s">
        <v>74</v>
      </c>
      <c r="F1717" t="s">
        <v>78</v>
      </c>
    </row>
    <row r="1718" spans="1:6" x14ac:dyDescent="0.45">
      <c r="A1718">
        <v>50</v>
      </c>
      <c r="B1718">
        <v>16</v>
      </c>
      <c r="C1718">
        <v>105000</v>
      </c>
      <c r="D1718" t="s">
        <v>71</v>
      </c>
      <c r="E1718" t="s">
        <v>74</v>
      </c>
      <c r="F1718" t="s">
        <v>78</v>
      </c>
    </row>
    <row r="1719" spans="1:6" x14ac:dyDescent="0.45">
      <c r="A1719">
        <v>0</v>
      </c>
      <c r="B1719">
        <v>16</v>
      </c>
      <c r="C1719">
        <v>105000</v>
      </c>
      <c r="D1719" t="s">
        <v>71</v>
      </c>
      <c r="E1719" t="s">
        <v>74</v>
      </c>
      <c r="F1719" t="s">
        <v>78</v>
      </c>
    </row>
    <row r="1720" spans="1:6" x14ac:dyDescent="0.45">
      <c r="A1720">
        <v>59</v>
      </c>
      <c r="B1720">
        <v>16</v>
      </c>
      <c r="C1720">
        <v>105001</v>
      </c>
      <c r="D1720" t="s">
        <v>71</v>
      </c>
      <c r="E1720" t="s">
        <v>74</v>
      </c>
      <c r="F1720" t="s">
        <v>78</v>
      </c>
    </row>
    <row r="1721" spans="1:6" x14ac:dyDescent="0.45">
      <c r="A1721">
        <v>50</v>
      </c>
      <c r="B1721">
        <v>16</v>
      </c>
      <c r="C1721">
        <v>106280</v>
      </c>
      <c r="D1721" t="s">
        <v>71</v>
      </c>
      <c r="E1721" t="s">
        <v>72</v>
      </c>
      <c r="F1721" t="s">
        <v>78</v>
      </c>
    </row>
    <row r="1722" spans="1:6" x14ac:dyDescent="0.45">
      <c r="A1722">
        <v>55</v>
      </c>
      <c r="B1722">
        <v>16</v>
      </c>
      <c r="C1722">
        <v>110000</v>
      </c>
      <c r="D1722" t="s">
        <v>71</v>
      </c>
      <c r="E1722" t="s">
        <v>74</v>
      </c>
      <c r="F1722" t="s">
        <v>78</v>
      </c>
    </row>
    <row r="1723" spans="1:6" x14ac:dyDescent="0.45">
      <c r="A1723">
        <v>50</v>
      </c>
      <c r="B1723">
        <v>16</v>
      </c>
      <c r="C1723">
        <v>110000</v>
      </c>
      <c r="D1723" t="s">
        <v>71</v>
      </c>
      <c r="E1723" t="s">
        <v>74</v>
      </c>
      <c r="F1723" t="s">
        <v>78</v>
      </c>
    </row>
    <row r="1724" spans="1:6" x14ac:dyDescent="0.45">
      <c r="A1724">
        <v>45</v>
      </c>
      <c r="B1724">
        <v>16</v>
      </c>
      <c r="C1724">
        <v>110000</v>
      </c>
      <c r="D1724" t="s">
        <v>71</v>
      </c>
      <c r="E1724" t="s">
        <v>74</v>
      </c>
      <c r="F1724" t="s">
        <v>78</v>
      </c>
    </row>
    <row r="1725" spans="1:6" x14ac:dyDescent="0.45">
      <c r="A1725">
        <v>40</v>
      </c>
      <c r="B1725">
        <v>16</v>
      </c>
      <c r="C1725">
        <v>110000</v>
      </c>
      <c r="D1725" t="s">
        <v>71</v>
      </c>
      <c r="E1725" t="s">
        <v>74</v>
      </c>
      <c r="F1725" t="s">
        <v>78</v>
      </c>
    </row>
    <row r="1726" spans="1:6" x14ac:dyDescent="0.45">
      <c r="A1726">
        <v>40</v>
      </c>
      <c r="B1726">
        <v>16</v>
      </c>
      <c r="C1726">
        <v>115000</v>
      </c>
      <c r="D1726" t="s">
        <v>71</v>
      </c>
      <c r="E1726" t="s">
        <v>74</v>
      </c>
      <c r="F1726" t="s">
        <v>78</v>
      </c>
    </row>
    <row r="1727" spans="1:6" x14ac:dyDescent="0.45">
      <c r="A1727">
        <v>40</v>
      </c>
      <c r="B1727">
        <v>16</v>
      </c>
      <c r="C1727">
        <v>115000</v>
      </c>
      <c r="D1727" t="s">
        <v>71</v>
      </c>
      <c r="E1727" t="s">
        <v>72</v>
      </c>
      <c r="F1727" t="s">
        <v>78</v>
      </c>
    </row>
    <row r="1728" spans="1:6" x14ac:dyDescent="0.45">
      <c r="A1728">
        <v>55</v>
      </c>
      <c r="B1728">
        <v>16</v>
      </c>
      <c r="C1728">
        <v>115000</v>
      </c>
      <c r="D1728" t="s">
        <v>71</v>
      </c>
      <c r="E1728" t="s">
        <v>74</v>
      </c>
      <c r="F1728" t="s">
        <v>78</v>
      </c>
    </row>
    <row r="1729" spans="1:6" x14ac:dyDescent="0.45">
      <c r="A1729">
        <v>40</v>
      </c>
      <c r="B1729">
        <v>16</v>
      </c>
      <c r="C1729">
        <v>117000</v>
      </c>
      <c r="D1729" t="s">
        <v>71</v>
      </c>
      <c r="E1729" t="s">
        <v>72</v>
      </c>
      <c r="F1729" t="s">
        <v>78</v>
      </c>
    </row>
    <row r="1730" spans="1:6" x14ac:dyDescent="0.45">
      <c r="A1730">
        <v>50</v>
      </c>
      <c r="B1730">
        <v>16</v>
      </c>
      <c r="C1730">
        <v>120000</v>
      </c>
      <c r="D1730" t="s">
        <v>71</v>
      </c>
      <c r="E1730" t="s">
        <v>74</v>
      </c>
      <c r="F1730" t="s">
        <v>78</v>
      </c>
    </row>
    <row r="1731" spans="1:6" x14ac:dyDescent="0.45">
      <c r="A1731">
        <v>44</v>
      </c>
      <c r="B1731">
        <v>16</v>
      </c>
      <c r="C1731">
        <v>120000</v>
      </c>
      <c r="D1731" t="s">
        <v>71</v>
      </c>
      <c r="E1731" t="s">
        <v>74</v>
      </c>
      <c r="F1731" t="s">
        <v>78</v>
      </c>
    </row>
    <row r="1732" spans="1:6" x14ac:dyDescent="0.45">
      <c r="A1732">
        <v>50</v>
      </c>
      <c r="B1732">
        <v>16</v>
      </c>
      <c r="C1732">
        <v>120000</v>
      </c>
      <c r="D1732" t="s">
        <v>71</v>
      </c>
      <c r="E1732" t="s">
        <v>74</v>
      </c>
      <c r="F1732" t="s">
        <v>78</v>
      </c>
    </row>
    <row r="1733" spans="1:6" x14ac:dyDescent="0.45">
      <c r="A1733">
        <v>60</v>
      </c>
      <c r="B1733">
        <v>16</v>
      </c>
      <c r="C1733">
        <v>120000</v>
      </c>
      <c r="D1733" t="s">
        <v>71</v>
      </c>
      <c r="E1733" t="s">
        <v>74</v>
      </c>
      <c r="F1733" t="s">
        <v>78</v>
      </c>
    </row>
    <row r="1734" spans="1:6" x14ac:dyDescent="0.45">
      <c r="A1734">
        <v>50</v>
      </c>
      <c r="B1734">
        <v>16</v>
      </c>
      <c r="C1734">
        <v>120000</v>
      </c>
      <c r="D1734" t="s">
        <v>75</v>
      </c>
      <c r="E1734" t="s">
        <v>72</v>
      </c>
      <c r="F1734" t="s">
        <v>78</v>
      </c>
    </row>
    <row r="1735" spans="1:6" x14ac:dyDescent="0.45">
      <c r="A1735">
        <v>0</v>
      </c>
      <c r="B1735">
        <v>16</v>
      </c>
      <c r="C1735">
        <v>120000</v>
      </c>
      <c r="D1735" t="s">
        <v>71</v>
      </c>
      <c r="E1735" t="s">
        <v>74</v>
      </c>
      <c r="F1735" t="s">
        <v>78</v>
      </c>
    </row>
    <row r="1736" spans="1:6" x14ac:dyDescent="0.45">
      <c r="A1736">
        <v>60</v>
      </c>
      <c r="B1736">
        <v>16</v>
      </c>
      <c r="C1736">
        <v>122000</v>
      </c>
      <c r="D1736" t="s">
        <v>71</v>
      </c>
      <c r="E1736" t="s">
        <v>74</v>
      </c>
      <c r="F1736" t="s">
        <v>78</v>
      </c>
    </row>
    <row r="1737" spans="1:6" x14ac:dyDescent="0.45">
      <c r="A1737">
        <v>50</v>
      </c>
      <c r="B1737">
        <v>16</v>
      </c>
      <c r="C1737">
        <v>124925</v>
      </c>
      <c r="D1737" t="s">
        <v>71</v>
      </c>
      <c r="E1737" t="s">
        <v>74</v>
      </c>
      <c r="F1737" t="s">
        <v>78</v>
      </c>
    </row>
    <row r="1738" spans="1:6" x14ac:dyDescent="0.45">
      <c r="A1738">
        <v>60</v>
      </c>
      <c r="B1738">
        <v>16</v>
      </c>
      <c r="C1738">
        <v>125000</v>
      </c>
      <c r="D1738" t="s">
        <v>71</v>
      </c>
      <c r="E1738" t="s">
        <v>74</v>
      </c>
      <c r="F1738" t="s">
        <v>78</v>
      </c>
    </row>
    <row r="1739" spans="1:6" x14ac:dyDescent="0.45">
      <c r="A1739">
        <v>50</v>
      </c>
      <c r="B1739">
        <v>16</v>
      </c>
      <c r="C1739">
        <v>125000</v>
      </c>
      <c r="D1739" t="s">
        <v>71</v>
      </c>
      <c r="E1739" t="s">
        <v>74</v>
      </c>
      <c r="F1739" t="s">
        <v>78</v>
      </c>
    </row>
    <row r="1740" spans="1:6" x14ac:dyDescent="0.45">
      <c r="A1740">
        <v>70</v>
      </c>
      <c r="B1740">
        <v>16</v>
      </c>
      <c r="C1740">
        <v>130000</v>
      </c>
      <c r="D1740" t="s">
        <v>71</v>
      </c>
      <c r="E1740" t="s">
        <v>74</v>
      </c>
      <c r="F1740" t="s">
        <v>78</v>
      </c>
    </row>
    <row r="1741" spans="1:6" x14ac:dyDescent="0.45">
      <c r="A1741">
        <v>70</v>
      </c>
      <c r="B1741">
        <v>16</v>
      </c>
      <c r="C1741">
        <v>130000</v>
      </c>
      <c r="D1741" t="s">
        <v>71</v>
      </c>
      <c r="E1741" t="s">
        <v>74</v>
      </c>
      <c r="F1741" t="s">
        <v>78</v>
      </c>
    </row>
    <row r="1742" spans="1:6" x14ac:dyDescent="0.45">
      <c r="A1742">
        <v>60</v>
      </c>
      <c r="B1742">
        <v>16</v>
      </c>
      <c r="C1742">
        <v>130000</v>
      </c>
      <c r="D1742" t="s">
        <v>71</v>
      </c>
      <c r="E1742" t="s">
        <v>74</v>
      </c>
      <c r="F1742" t="s">
        <v>78</v>
      </c>
    </row>
    <row r="1743" spans="1:6" x14ac:dyDescent="0.45">
      <c r="A1743">
        <v>70</v>
      </c>
      <c r="B1743">
        <v>16</v>
      </c>
      <c r="C1743">
        <v>132000</v>
      </c>
      <c r="D1743" t="s">
        <v>71</v>
      </c>
      <c r="E1743" t="s">
        <v>74</v>
      </c>
      <c r="F1743" t="s">
        <v>78</v>
      </c>
    </row>
    <row r="1744" spans="1:6" x14ac:dyDescent="0.45">
      <c r="A1744">
        <v>40</v>
      </c>
      <c r="B1744">
        <v>16</v>
      </c>
      <c r="C1744">
        <v>134925</v>
      </c>
      <c r="D1744" t="s">
        <v>71</v>
      </c>
      <c r="E1744" t="s">
        <v>74</v>
      </c>
      <c r="F1744" t="s">
        <v>78</v>
      </c>
    </row>
    <row r="1745" spans="1:6" x14ac:dyDescent="0.45">
      <c r="A1745">
        <v>50</v>
      </c>
      <c r="B1745">
        <v>16</v>
      </c>
      <c r="C1745">
        <v>135000</v>
      </c>
      <c r="D1745" t="s">
        <v>71</v>
      </c>
      <c r="E1745" t="s">
        <v>74</v>
      </c>
      <c r="F1745" t="s">
        <v>78</v>
      </c>
    </row>
    <row r="1746" spans="1:6" x14ac:dyDescent="0.45">
      <c r="A1746">
        <v>55</v>
      </c>
      <c r="B1746">
        <v>16</v>
      </c>
      <c r="C1746">
        <v>135000</v>
      </c>
      <c r="D1746" t="s">
        <v>71</v>
      </c>
      <c r="E1746" t="s">
        <v>74</v>
      </c>
      <c r="F1746" t="s">
        <v>78</v>
      </c>
    </row>
    <row r="1747" spans="1:6" x14ac:dyDescent="0.45">
      <c r="A1747">
        <v>44</v>
      </c>
      <c r="B1747">
        <v>16</v>
      </c>
      <c r="C1747">
        <v>135000</v>
      </c>
      <c r="D1747" t="s">
        <v>71</v>
      </c>
      <c r="E1747" t="s">
        <v>74</v>
      </c>
      <c r="F1747" t="s">
        <v>78</v>
      </c>
    </row>
    <row r="1748" spans="1:6" x14ac:dyDescent="0.45">
      <c r="A1748">
        <v>45</v>
      </c>
      <c r="B1748">
        <v>16</v>
      </c>
      <c r="C1748">
        <v>135000</v>
      </c>
      <c r="D1748" t="s">
        <v>71</v>
      </c>
      <c r="E1748" t="s">
        <v>72</v>
      </c>
      <c r="F1748" t="s">
        <v>78</v>
      </c>
    </row>
    <row r="1749" spans="1:6" x14ac:dyDescent="0.45">
      <c r="A1749">
        <v>60</v>
      </c>
      <c r="B1749">
        <v>16</v>
      </c>
      <c r="C1749">
        <v>135000</v>
      </c>
      <c r="D1749" t="s">
        <v>71</v>
      </c>
      <c r="E1749" t="s">
        <v>74</v>
      </c>
      <c r="F1749" t="s">
        <v>78</v>
      </c>
    </row>
    <row r="1750" spans="1:6" x14ac:dyDescent="0.45">
      <c r="A1750">
        <v>40</v>
      </c>
      <c r="B1750">
        <v>16</v>
      </c>
      <c r="C1750">
        <v>137000</v>
      </c>
      <c r="D1750" t="s">
        <v>75</v>
      </c>
      <c r="E1750" t="s">
        <v>74</v>
      </c>
      <c r="F1750" t="s">
        <v>78</v>
      </c>
    </row>
    <row r="1751" spans="1:6" x14ac:dyDescent="0.45">
      <c r="A1751">
        <v>0</v>
      </c>
      <c r="B1751">
        <v>16</v>
      </c>
      <c r="C1751">
        <v>139925</v>
      </c>
      <c r="D1751" t="s">
        <v>71</v>
      </c>
      <c r="E1751" t="s">
        <v>74</v>
      </c>
      <c r="F1751" t="s">
        <v>78</v>
      </c>
    </row>
    <row r="1752" spans="1:6" x14ac:dyDescent="0.45">
      <c r="A1752">
        <v>40</v>
      </c>
      <c r="B1752">
        <v>16</v>
      </c>
      <c r="C1752">
        <v>140000</v>
      </c>
      <c r="D1752" t="s">
        <v>71</v>
      </c>
      <c r="E1752" t="s">
        <v>74</v>
      </c>
      <c r="F1752" t="s">
        <v>78</v>
      </c>
    </row>
    <row r="1753" spans="1:6" x14ac:dyDescent="0.45">
      <c r="A1753">
        <v>55</v>
      </c>
      <c r="B1753">
        <v>16</v>
      </c>
      <c r="C1753">
        <v>140000</v>
      </c>
      <c r="D1753" t="s">
        <v>71</v>
      </c>
      <c r="E1753" t="s">
        <v>72</v>
      </c>
      <c r="F1753" t="s">
        <v>78</v>
      </c>
    </row>
    <row r="1754" spans="1:6" x14ac:dyDescent="0.45">
      <c r="A1754">
        <v>40</v>
      </c>
      <c r="B1754">
        <v>16</v>
      </c>
      <c r="C1754">
        <v>144499</v>
      </c>
      <c r="D1754" t="s">
        <v>71</v>
      </c>
      <c r="E1754" t="s">
        <v>74</v>
      </c>
      <c r="F1754" t="s">
        <v>78</v>
      </c>
    </row>
    <row r="1755" spans="1:6" x14ac:dyDescent="0.45">
      <c r="A1755">
        <v>40</v>
      </c>
      <c r="B1755">
        <v>16</v>
      </c>
      <c r="C1755">
        <v>144499</v>
      </c>
      <c r="D1755" t="s">
        <v>71</v>
      </c>
      <c r="E1755" t="s">
        <v>74</v>
      </c>
      <c r="F1755" t="s">
        <v>78</v>
      </c>
    </row>
    <row r="1756" spans="1:6" x14ac:dyDescent="0.45">
      <c r="A1756">
        <v>43</v>
      </c>
      <c r="B1756">
        <v>16</v>
      </c>
      <c r="C1756">
        <v>145000</v>
      </c>
      <c r="D1756" t="s">
        <v>71</v>
      </c>
      <c r="E1756" t="s">
        <v>74</v>
      </c>
      <c r="F1756" t="s">
        <v>78</v>
      </c>
    </row>
    <row r="1757" spans="1:6" x14ac:dyDescent="0.45">
      <c r="A1757">
        <v>55</v>
      </c>
      <c r="B1757">
        <v>16</v>
      </c>
      <c r="C1757">
        <v>150000</v>
      </c>
      <c r="D1757" t="s">
        <v>71</v>
      </c>
      <c r="E1757" t="s">
        <v>74</v>
      </c>
      <c r="F1757" t="s">
        <v>78</v>
      </c>
    </row>
    <row r="1758" spans="1:6" x14ac:dyDescent="0.45">
      <c r="A1758">
        <v>58</v>
      </c>
      <c r="B1758">
        <v>16</v>
      </c>
      <c r="C1758">
        <v>150000</v>
      </c>
      <c r="D1758" t="s">
        <v>71</v>
      </c>
      <c r="E1758" t="s">
        <v>74</v>
      </c>
      <c r="F1758" t="s">
        <v>78</v>
      </c>
    </row>
    <row r="1759" spans="1:6" x14ac:dyDescent="0.45">
      <c r="A1759">
        <v>50</v>
      </c>
      <c r="B1759">
        <v>16</v>
      </c>
      <c r="C1759">
        <v>150000</v>
      </c>
      <c r="D1759" t="s">
        <v>71</v>
      </c>
      <c r="E1759" t="s">
        <v>74</v>
      </c>
      <c r="F1759" t="s">
        <v>78</v>
      </c>
    </row>
    <row r="1760" spans="1:6" x14ac:dyDescent="0.45">
      <c r="A1760">
        <v>40</v>
      </c>
      <c r="B1760">
        <v>16</v>
      </c>
      <c r="C1760">
        <v>150000</v>
      </c>
      <c r="D1760" t="s">
        <v>71</v>
      </c>
      <c r="E1760" t="s">
        <v>74</v>
      </c>
      <c r="F1760" t="s">
        <v>78</v>
      </c>
    </row>
    <row r="1761" spans="1:6" x14ac:dyDescent="0.45">
      <c r="A1761">
        <v>40</v>
      </c>
      <c r="B1761">
        <v>16</v>
      </c>
      <c r="C1761">
        <v>150000</v>
      </c>
      <c r="D1761" t="s">
        <v>71</v>
      </c>
      <c r="E1761" t="s">
        <v>74</v>
      </c>
      <c r="F1761" t="s">
        <v>78</v>
      </c>
    </row>
    <row r="1762" spans="1:6" x14ac:dyDescent="0.45">
      <c r="A1762">
        <v>50</v>
      </c>
      <c r="B1762">
        <v>16</v>
      </c>
      <c r="C1762">
        <v>150000</v>
      </c>
      <c r="D1762" t="s">
        <v>71</v>
      </c>
      <c r="E1762" t="s">
        <v>74</v>
      </c>
      <c r="F1762" t="s">
        <v>78</v>
      </c>
    </row>
    <row r="1763" spans="1:6" x14ac:dyDescent="0.45">
      <c r="A1763">
        <v>55</v>
      </c>
      <c r="B1763">
        <v>16</v>
      </c>
      <c r="C1763">
        <v>150000</v>
      </c>
      <c r="D1763" t="s">
        <v>71</v>
      </c>
      <c r="E1763" t="s">
        <v>74</v>
      </c>
      <c r="F1763" t="s">
        <v>78</v>
      </c>
    </row>
    <row r="1764" spans="1:6" x14ac:dyDescent="0.45">
      <c r="A1764">
        <v>50</v>
      </c>
      <c r="B1764">
        <v>16</v>
      </c>
      <c r="C1764">
        <v>159925</v>
      </c>
      <c r="D1764" t="s">
        <v>71</v>
      </c>
      <c r="E1764" t="s">
        <v>74</v>
      </c>
      <c r="F1764" t="s">
        <v>78</v>
      </c>
    </row>
    <row r="1765" spans="1:6" x14ac:dyDescent="0.45">
      <c r="A1765">
        <v>50</v>
      </c>
      <c r="B1765">
        <v>16</v>
      </c>
      <c r="C1765">
        <v>306731</v>
      </c>
      <c r="D1765" t="s">
        <v>71</v>
      </c>
      <c r="E1765" t="s">
        <v>74</v>
      </c>
      <c r="F1765" t="s">
        <v>78</v>
      </c>
    </row>
    <row r="1766" spans="1:6" x14ac:dyDescent="0.45">
      <c r="A1766">
        <v>70</v>
      </c>
      <c r="B1766">
        <v>16</v>
      </c>
      <c r="C1766">
        <v>306731</v>
      </c>
      <c r="D1766" t="s">
        <v>71</v>
      </c>
      <c r="E1766" t="s">
        <v>74</v>
      </c>
      <c r="F1766" t="s">
        <v>78</v>
      </c>
    </row>
    <row r="1767" spans="1:6" x14ac:dyDescent="0.45">
      <c r="A1767">
        <v>50</v>
      </c>
      <c r="B1767">
        <v>16</v>
      </c>
      <c r="C1767">
        <v>306731</v>
      </c>
      <c r="D1767" t="s">
        <v>71</v>
      </c>
      <c r="E1767" t="s">
        <v>74</v>
      </c>
      <c r="F1767" t="s">
        <v>78</v>
      </c>
    </row>
    <row r="1768" spans="1:6" x14ac:dyDescent="0.45">
      <c r="A1768">
        <v>55</v>
      </c>
      <c r="B1768">
        <v>16</v>
      </c>
      <c r="C1768">
        <v>306731</v>
      </c>
      <c r="D1768" t="s">
        <v>71</v>
      </c>
      <c r="E1768" t="s">
        <v>74</v>
      </c>
      <c r="F1768" t="s">
        <v>78</v>
      </c>
    </row>
    <row r="1769" spans="1:6" x14ac:dyDescent="0.45">
      <c r="A1769">
        <v>40</v>
      </c>
      <c r="B1769">
        <v>16</v>
      </c>
      <c r="C1769">
        <v>306731</v>
      </c>
      <c r="D1769" t="s">
        <v>71</v>
      </c>
      <c r="E1769" t="s">
        <v>74</v>
      </c>
      <c r="F1769" t="s">
        <v>78</v>
      </c>
    </row>
    <row r="1770" spans="1:6" x14ac:dyDescent="0.45">
      <c r="A1770">
        <v>60</v>
      </c>
      <c r="B1770">
        <v>16</v>
      </c>
      <c r="C1770">
        <v>306731</v>
      </c>
      <c r="D1770" t="s">
        <v>71</v>
      </c>
      <c r="E1770" t="s">
        <v>74</v>
      </c>
      <c r="F1770" t="s">
        <v>78</v>
      </c>
    </row>
    <row r="1771" spans="1:6" x14ac:dyDescent="0.45">
      <c r="A1771">
        <v>50</v>
      </c>
      <c r="B1771">
        <v>16</v>
      </c>
      <c r="C1771">
        <v>306731</v>
      </c>
      <c r="D1771" t="s">
        <v>75</v>
      </c>
      <c r="E1771" t="s">
        <v>74</v>
      </c>
      <c r="F1771" t="s">
        <v>78</v>
      </c>
    </row>
    <row r="1772" spans="1:6" x14ac:dyDescent="0.45">
      <c r="A1772">
        <v>50</v>
      </c>
      <c r="B1772">
        <v>16</v>
      </c>
      <c r="C1772">
        <v>306731</v>
      </c>
      <c r="D1772" t="s">
        <v>71</v>
      </c>
      <c r="E1772" t="s">
        <v>74</v>
      </c>
      <c r="F1772" t="s">
        <v>78</v>
      </c>
    </row>
    <row r="1773" spans="1:6" x14ac:dyDescent="0.45">
      <c r="A1773">
        <v>0</v>
      </c>
      <c r="B1773">
        <v>16</v>
      </c>
      <c r="C1773">
        <v>306731</v>
      </c>
      <c r="D1773" t="s">
        <v>71</v>
      </c>
      <c r="E1773" t="s">
        <v>74</v>
      </c>
      <c r="F1773" t="s">
        <v>78</v>
      </c>
    </row>
    <row r="1774" spans="1:6" x14ac:dyDescent="0.45">
      <c r="A1774">
        <v>70</v>
      </c>
      <c r="B1774">
        <v>16</v>
      </c>
      <c r="C1774">
        <v>306731</v>
      </c>
      <c r="D1774" t="s">
        <v>71</v>
      </c>
      <c r="E1774" t="s">
        <v>74</v>
      </c>
      <c r="F1774" t="s">
        <v>78</v>
      </c>
    </row>
    <row r="1775" spans="1:6" x14ac:dyDescent="0.45">
      <c r="A1775">
        <v>60</v>
      </c>
      <c r="B1775">
        <v>16</v>
      </c>
      <c r="C1775">
        <v>306731</v>
      </c>
      <c r="D1775" t="s">
        <v>71</v>
      </c>
      <c r="E1775" t="s">
        <v>74</v>
      </c>
      <c r="F1775" t="s">
        <v>78</v>
      </c>
    </row>
    <row r="1776" spans="1:6" x14ac:dyDescent="0.45">
      <c r="A1776">
        <v>40</v>
      </c>
      <c r="B1776">
        <v>16</v>
      </c>
      <c r="C1776">
        <v>306731</v>
      </c>
      <c r="D1776" t="s">
        <v>71</v>
      </c>
      <c r="E1776" t="s">
        <v>74</v>
      </c>
      <c r="F1776" t="s">
        <v>78</v>
      </c>
    </row>
    <row r="1777" spans="1:6" x14ac:dyDescent="0.45">
      <c r="A1777">
        <v>65</v>
      </c>
      <c r="B1777">
        <v>16</v>
      </c>
      <c r="C1777">
        <v>306731</v>
      </c>
      <c r="D1777" t="s">
        <v>71</v>
      </c>
      <c r="E1777" t="s">
        <v>74</v>
      </c>
      <c r="F1777" t="s">
        <v>78</v>
      </c>
    </row>
    <row r="1778" spans="1:6" x14ac:dyDescent="0.45">
      <c r="A1778">
        <v>70</v>
      </c>
      <c r="B1778">
        <v>16</v>
      </c>
      <c r="C1778">
        <v>313231</v>
      </c>
      <c r="D1778" t="s">
        <v>71</v>
      </c>
      <c r="E1778" t="s">
        <v>74</v>
      </c>
      <c r="F1778" t="s">
        <v>78</v>
      </c>
    </row>
    <row r="1779" spans="1:6" x14ac:dyDescent="0.45">
      <c r="A1779">
        <v>60</v>
      </c>
      <c r="B1779">
        <v>16</v>
      </c>
      <c r="C1779">
        <v>314731</v>
      </c>
      <c r="D1779" t="s">
        <v>71</v>
      </c>
      <c r="E1779" t="s">
        <v>74</v>
      </c>
      <c r="F1779" t="s">
        <v>78</v>
      </c>
    </row>
    <row r="1780" spans="1:6" x14ac:dyDescent="0.45">
      <c r="A1780">
        <v>50</v>
      </c>
      <c r="B1780">
        <v>16</v>
      </c>
      <c r="C1780">
        <v>348516</v>
      </c>
      <c r="D1780" t="s">
        <v>71</v>
      </c>
      <c r="E1780" t="s">
        <v>74</v>
      </c>
      <c r="F1780" t="s">
        <v>78</v>
      </c>
    </row>
    <row r="1781" spans="1:6" x14ac:dyDescent="0.45">
      <c r="A1781">
        <v>0</v>
      </c>
      <c r="B1781">
        <v>16</v>
      </c>
      <c r="C1781">
        <v>366656</v>
      </c>
      <c r="D1781" t="s">
        <v>71</v>
      </c>
      <c r="E1781" t="s">
        <v>74</v>
      </c>
      <c r="F1781" t="s">
        <v>78</v>
      </c>
    </row>
    <row r="1782" spans="1:6" x14ac:dyDescent="0.45">
      <c r="A1782">
        <v>40</v>
      </c>
      <c r="B1782">
        <v>14</v>
      </c>
      <c r="C1782">
        <v>800</v>
      </c>
      <c r="D1782" t="s">
        <v>71</v>
      </c>
      <c r="E1782" t="s">
        <v>74</v>
      </c>
      <c r="F1782" t="s">
        <v>79</v>
      </c>
    </row>
    <row r="1783" spans="1:6" x14ac:dyDescent="0.45">
      <c r="A1783">
        <v>35</v>
      </c>
      <c r="B1783">
        <v>14</v>
      </c>
      <c r="C1783">
        <v>3000</v>
      </c>
      <c r="D1783" t="s">
        <v>71</v>
      </c>
      <c r="E1783" t="s">
        <v>72</v>
      </c>
      <c r="F1783" t="s">
        <v>79</v>
      </c>
    </row>
    <row r="1784" spans="1:6" x14ac:dyDescent="0.45">
      <c r="A1784">
        <v>40</v>
      </c>
      <c r="B1784">
        <v>14</v>
      </c>
      <c r="C1784">
        <v>3000</v>
      </c>
      <c r="D1784" t="s">
        <v>71</v>
      </c>
      <c r="E1784" t="s">
        <v>74</v>
      </c>
      <c r="F1784" t="s">
        <v>79</v>
      </c>
    </row>
    <row r="1785" spans="1:6" x14ac:dyDescent="0.45">
      <c r="A1785">
        <v>40</v>
      </c>
      <c r="B1785">
        <v>14</v>
      </c>
      <c r="C1785">
        <v>3660</v>
      </c>
      <c r="D1785" t="s">
        <v>71</v>
      </c>
      <c r="E1785" t="s">
        <v>72</v>
      </c>
      <c r="F1785" t="s">
        <v>79</v>
      </c>
    </row>
    <row r="1786" spans="1:6" x14ac:dyDescent="0.45">
      <c r="A1786">
        <v>40</v>
      </c>
      <c r="B1786">
        <v>14</v>
      </c>
      <c r="C1786">
        <v>5000</v>
      </c>
      <c r="D1786" t="s">
        <v>76</v>
      </c>
      <c r="E1786" t="s">
        <v>72</v>
      </c>
      <c r="F1786" t="s">
        <v>79</v>
      </c>
    </row>
    <row r="1787" spans="1:6" x14ac:dyDescent="0.45">
      <c r="A1787">
        <v>40</v>
      </c>
      <c r="B1787">
        <v>14</v>
      </c>
      <c r="C1787">
        <v>7000</v>
      </c>
      <c r="D1787" t="s">
        <v>71</v>
      </c>
      <c r="E1787" t="s">
        <v>72</v>
      </c>
      <c r="F1787" t="s">
        <v>79</v>
      </c>
    </row>
    <row r="1788" spans="1:6" x14ac:dyDescent="0.45">
      <c r="A1788">
        <v>35</v>
      </c>
      <c r="B1788">
        <v>14</v>
      </c>
      <c r="C1788">
        <v>7200</v>
      </c>
      <c r="D1788" t="s">
        <v>71</v>
      </c>
      <c r="E1788" t="s">
        <v>72</v>
      </c>
      <c r="F1788" t="s">
        <v>79</v>
      </c>
    </row>
    <row r="1789" spans="1:6" x14ac:dyDescent="0.45">
      <c r="A1789">
        <v>0</v>
      </c>
      <c r="B1789">
        <v>14</v>
      </c>
      <c r="C1789">
        <v>8000</v>
      </c>
      <c r="D1789" t="s">
        <v>76</v>
      </c>
      <c r="E1789" t="s">
        <v>72</v>
      </c>
      <c r="F1789" t="s">
        <v>79</v>
      </c>
    </row>
    <row r="1790" spans="1:6" x14ac:dyDescent="0.45">
      <c r="A1790">
        <v>40</v>
      </c>
      <c r="B1790">
        <v>14</v>
      </c>
      <c r="C1790">
        <v>8160</v>
      </c>
      <c r="D1790" t="s">
        <v>71</v>
      </c>
      <c r="E1790" t="s">
        <v>72</v>
      </c>
      <c r="F1790" t="s">
        <v>79</v>
      </c>
    </row>
    <row r="1791" spans="1:6" x14ac:dyDescent="0.45">
      <c r="A1791">
        <v>40</v>
      </c>
      <c r="B1791">
        <v>14</v>
      </c>
      <c r="C1791">
        <v>9000</v>
      </c>
      <c r="D1791" t="s">
        <v>71</v>
      </c>
      <c r="E1791" t="s">
        <v>74</v>
      </c>
      <c r="F1791" t="s">
        <v>79</v>
      </c>
    </row>
    <row r="1792" spans="1:6" x14ac:dyDescent="0.45">
      <c r="A1792">
        <v>40</v>
      </c>
      <c r="B1792">
        <v>14</v>
      </c>
      <c r="C1792">
        <v>9412</v>
      </c>
      <c r="D1792" t="s">
        <v>71</v>
      </c>
      <c r="E1792" t="s">
        <v>72</v>
      </c>
      <c r="F1792" t="s">
        <v>79</v>
      </c>
    </row>
    <row r="1793" spans="1:6" x14ac:dyDescent="0.45">
      <c r="A1793">
        <v>40</v>
      </c>
      <c r="B1793">
        <v>14</v>
      </c>
      <c r="C1793">
        <v>9999</v>
      </c>
      <c r="D1793" t="s">
        <v>71</v>
      </c>
      <c r="E1793" t="s">
        <v>74</v>
      </c>
      <c r="F1793" t="s">
        <v>79</v>
      </c>
    </row>
    <row r="1794" spans="1:6" x14ac:dyDescent="0.45">
      <c r="A1794">
        <v>38</v>
      </c>
      <c r="B1794">
        <v>14</v>
      </c>
      <c r="C1794">
        <v>10125</v>
      </c>
      <c r="D1794" t="s">
        <v>71</v>
      </c>
      <c r="E1794" t="s">
        <v>72</v>
      </c>
      <c r="F1794" t="s">
        <v>79</v>
      </c>
    </row>
    <row r="1795" spans="1:6" x14ac:dyDescent="0.45">
      <c r="A1795">
        <v>35</v>
      </c>
      <c r="B1795">
        <v>14</v>
      </c>
      <c r="C1795">
        <v>11804</v>
      </c>
      <c r="D1795" t="s">
        <v>71</v>
      </c>
      <c r="E1795" t="s">
        <v>72</v>
      </c>
      <c r="F1795" t="s">
        <v>79</v>
      </c>
    </row>
    <row r="1796" spans="1:6" x14ac:dyDescent="0.45">
      <c r="A1796">
        <v>40</v>
      </c>
      <c r="B1796">
        <v>14</v>
      </c>
      <c r="C1796">
        <v>12000</v>
      </c>
      <c r="D1796" t="s">
        <v>71</v>
      </c>
      <c r="E1796" t="s">
        <v>74</v>
      </c>
      <c r="F1796" t="s">
        <v>79</v>
      </c>
    </row>
    <row r="1797" spans="1:6" x14ac:dyDescent="0.45">
      <c r="A1797">
        <v>40</v>
      </c>
      <c r="B1797">
        <v>14</v>
      </c>
      <c r="C1797">
        <v>12000</v>
      </c>
      <c r="D1797" t="s">
        <v>71</v>
      </c>
      <c r="E1797" t="s">
        <v>72</v>
      </c>
      <c r="F1797" t="s">
        <v>79</v>
      </c>
    </row>
    <row r="1798" spans="1:6" x14ac:dyDescent="0.45">
      <c r="A1798">
        <v>40</v>
      </c>
      <c r="B1798">
        <v>14</v>
      </c>
      <c r="C1798">
        <v>12000</v>
      </c>
      <c r="D1798" t="s">
        <v>71</v>
      </c>
      <c r="E1798" t="s">
        <v>72</v>
      </c>
      <c r="F1798" t="s">
        <v>79</v>
      </c>
    </row>
    <row r="1799" spans="1:6" x14ac:dyDescent="0.45">
      <c r="A1799">
        <v>35</v>
      </c>
      <c r="B1799">
        <v>14</v>
      </c>
      <c r="C1799">
        <v>12000</v>
      </c>
      <c r="D1799" t="s">
        <v>71</v>
      </c>
      <c r="E1799" t="s">
        <v>72</v>
      </c>
      <c r="F1799" t="s">
        <v>79</v>
      </c>
    </row>
    <row r="1800" spans="1:6" x14ac:dyDescent="0.45">
      <c r="A1800">
        <v>40</v>
      </c>
      <c r="B1800">
        <v>14</v>
      </c>
      <c r="C1800">
        <v>12000</v>
      </c>
      <c r="D1800" t="s">
        <v>71</v>
      </c>
      <c r="E1800" t="s">
        <v>72</v>
      </c>
      <c r="F1800" t="s">
        <v>79</v>
      </c>
    </row>
    <row r="1801" spans="1:6" x14ac:dyDescent="0.45">
      <c r="A1801">
        <v>46</v>
      </c>
      <c r="B1801">
        <v>14</v>
      </c>
      <c r="C1801">
        <v>12800</v>
      </c>
      <c r="D1801" t="s">
        <v>71</v>
      </c>
      <c r="E1801" t="s">
        <v>72</v>
      </c>
      <c r="F1801" t="s">
        <v>79</v>
      </c>
    </row>
    <row r="1802" spans="1:6" x14ac:dyDescent="0.45">
      <c r="A1802">
        <v>70</v>
      </c>
      <c r="B1802">
        <v>14</v>
      </c>
      <c r="C1802">
        <v>12800</v>
      </c>
      <c r="D1802" t="s">
        <v>76</v>
      </c>
      <c r="E1802" t="s">
        <v>74</v>
      </c>
      <c r="F1802" t="s">
        <v>79</v>
      </c>
    </row>
    <row r="1803" spans="1:6" x14ac:dyDescent="0.45">
      <c r="A1803">
        <v>35</v>
      </c>
      <c r="B1803">
        <v>14</v>
      </c>
      <c r="C1803">
        <v>13339</v>
      </c>
      <c r="D1803" t="s">
        <v>71</v>
      </c>
      <c r="E1803" t="s">
        <v>72</v>
      </c>
      <c r="F1803" t="s">
        <v>79</v>
      </c>
    </row>
    <row r="1804" spans="1:6" x14ac:dyDescent="0.45">
      <c r="A1804">
        <v>40</v>
      </c>
      <c r="B1804">
        <v>14</v>
      </c>
      <c r="C1804">
        <v>13747</v>
      </c>
      <c r="D1804" t="s">
        <v>71</v>
      </c>
      <c r="E1804" t="s">
        <v>72</v>
      </c>
      <c r="F1804" t="s">
        <v>79</v>
      </c>
    </row>
    <row r="1805" spans="1:6" x14ac:dyDescent="0.45">
      <c r="A1805">
        <v>40</v>
      </c>
      <c r="B1805">
        <v>14</v>
      </c>
      <c r="C1805">
        <v>14160</v>
      </c>
      <c r="D1805" t="s">
        <v>71</v>
      </c>
      <c r="E1805" t="s">
        <v>72</v>
      </c>
      <c r="F1805" t="s">
        <v>79</v>
      </c>
    </row>
    <row r="1806" spans="1:6" x14ac:dyDescent="0.45">
      <c r="A1806">
        <v>46</v>
      </c>
      <c r="B1806">
        <v>14</v>
      </c>
      <c r="C1806">
        <v>15000</v>
      </c>
      <c r="D1806" t="s">
        <v>71</v>
      </c>
      <c r="E1806" t="s">
        <v>72</v>
      </c>
      <c r="F1806" t="s">
        <v>79</v>
      </c>
    </row>
    <row r="1807" spans="1:6" x14ac:dyDescent="0.45">
      <c r="A1807">
        <v>40</v>
      </c>
      <c r="B1807">
        <v>14</v>
      </c>
      <c r="C1807">
        <v>15433</v>
      </c>
      <c r="D1807" t="s">
        <v>71</v>
      </c>
      <c r="E1807" t="s">
        <v>72</v>
      </c>
      <c r="F1807" t="s">
        <v>79</v>
      </c>
    </row>
    <row r="1808" spans="1:6" x14ac:dyDescent="0.45">
      <c r="A1808">
        <v>40</v>
      </c>
      <c r="B1808">
        <v>14</v>
      </c>
      <c r="C1808">
        <v>15600</v>
      </c>
      <c r="D1808" t="s">
        <v>71</v>
      </c>
      <c r="E1808" t="s">
        <v>74</v>
      </c>
      <c r="F1808" t="s">
        <v>79</v>
      </c>
    </row>
    <row r="1809" spans="1:6" x14ac:dyDescent="0.45">
      <c r="A1809">
        <v>40</v>
      </c>
      <c r="B1809">
        <v>14</v>
      </c>
      <c r="C1809">
        <v>17000</v>
      </c>
      <c r="D1809" t="s">
        <v>75</v>
      </c>
      <c r="E1809" t="s">
        <v>74</v>
      </c>
      <c r="F1809" t="s">
        <v>79</v>
      </c>
    </row>
    <row r="1810" spans="1:6" x14ac:dyDescent="0.45">
      <c r="A1810">
        <v>35</v>
      </c>
      <c r="B1810">
        <v>14</v>
      </c>
      <c r="C1810">
        <v>17200</v>
      </c>
      <c r="D1810" t="s">
        <v>71</v>
      </c>
      <c r="E1810" t="s">
        <v>72</v>
      </c>
      <c r="F1810" t="s">
        <v>79</v>
      </c>
    </row>
    <row r="1811" spans="1:6" x14ac:dyDescent="0.45">
      <c r="A1811">
        <v>40</v>
      </c>
      <c r="B1811">
        <v>14</v>
      </c>
      <c r="C1811">
        <v>18000</v>
      </c>
      <c r="D1811" t="s">
        <v>71</v>
      </c>
      <c r="E1811" t="s">
        <v>72</v>
      </c>
      <c r="F1811" t="s">
        <v>79</v>
      </c>
    </row>
    <row r="1812" spans="1:6" x14ac:dyDescent="0.45">
      <c r="A1812">
        <v>35</v>
      </c>
      <c r="B1812">
        <v>14</v>
      </c>
      <c r="C1812">
        <v>18000</v>
      </c>
      <c r="D1812" t="s">
        <v>71</v>
      </c>
      <c r="E1812" t="s">
        <v>72</v>
      </c>
      <c r="F1812" t="s">
        <v>79</v>
      </c>
    </row>
    <row r="1813" spans="1:6" x14ac:dyDescent="0.45">
      <c r="A1813">
        <v>0</v>
      </c>
      <c r="B1813">
        <v>14</v>
      </c>
      <c r="C1813">
        <v>18000</v>
      </c>
      <c r="D1813" t="s">
        <v>75</v>
      </c>
      <c r="E1813" t="s">
        <v>72</v>
      </c>
      <c r="F1813" t="s">
        <v>79</v>
      </c>
    </row>
    <row r="1814" spans="1:6" x14ac:dyDescent="0.45">
      <c r="A1814">
        <v>35</v>
      </c>
      <c r="B1814">
        <v>14</v>
      </c>
      <c r="C1814">
        <v>18000</v>
      </c>
      <c r="D1814" t="s">
        <v>71</v>
      </c>
      <c r="E1814" t="s">
        <v>72</v>
      </c>
      <c r="F1814" t="s">
        <v>79</v>
      </c>
    </row>
    <row r="1815" spans="1:6" x14ac:dyDescent="0.45">
      <c r="A1815">
        <v>37</v>
      </c>
      <c r="B1815">
        <v>14</v>
      </c>
      <c r="C1815">
        <v>18000</v>
      </c>
      <c r="D1815" t="s">
        <v>76</v>
      </c>
      <c r="E1815" t="s">
        <v>74</v>
      </c>
      <c r="F1815" t="s">
        <v>79</v>
      </c>
    </row>
    <row r="1816" spans="1:6" x14ac:dyDescent="0.45">
      <c r="A1816">
        <v>40</v>
      </c>
      <c r="B1816">
        <v>14</v>
      </c>
      <c r="C1816">
        <v>18720</v>
      </c>
      <c r="D1816" t="s">
        <v>76</v>
      </c>
      <c r="E1816" t="s">
        <v>72</v>
      </c>
      <c r="F1816" t="s">
        <v>79</v>
      </c>
    </row>
    <row r="1817" spans="1:6" x14ac:dyDescent="0.45">
      <c r="A1817">
        <v>40</v>
      </c>
      <c r="B1817">
        <v>14</v>
      </c>
      <c r="C1817">
        <v>19000</v>
      </c>
      <c r="D1817" t="s">
        <v>71</v>
      </c>
      <c r="E1817" t="s">
        <v>74</v>
      </c>
      <c r="F1817" t="s">
        <v>79</v>
      </c>
    </row>
    <row r="1818" spans="1:6" x14ac:dyDescent="0.45">
      <c r="A1818">
        <v>45</v>
      </c>
      <c r="B1818">
        <v>14</v>
      </c>
      <c r="C1818">
        <v>19600</v>
      </c>
      <c r="D1818" t="s">
        <v>71</v>
      </c>
      <c r="E1818" t="s">
        <v>72</v>
      </c>
      <c r="F1818" t="s">
        <v>79</v>
      </c>
    </row>
    <row r="1819" spans="1:6" x14ac:dyDescent="0.45">
      <c r="A1819">
        <v>40</v>
      </c>
      <c r="B1819">
        <v>14</v>
      </c>
      <c r="C1819">
        <v>20000</v>
      </c>
      <c r="D1819" t="s">
        <v>71</v>
      </c>
      <c r="E1819" t="s">
        <v>72</v>
      </c>
      <c r="F1819" t="s">
        <v>79</v>
      </c>
    </row>
    <row r="1820" spans="1:6" x14ac:dyDescent="0.45">
      <c r="A1820">
        <v>40</v>
      </c>
      <c r="B1820">
        <v>14</v>
      </c>
      <c r="C1820">
        <v>20000</v>
      </c>
      <c r="D1820" t="s">
        <v>71</v>
      </c>
      <c r="E1820" t="s">
        <v>72</v>
      </c>
      <c r="F1820" t="s">
        <v>79</v>
      </c>
    </row>
    <row r="1821" spans="1:6" x14ac:dyDescent="0.45">
      <c r="A1821">
        <v>40</v>
      </c>
      <c r="B1821">
        <v>14</v>
      </c>
      <c r="C1821">
        <v>20000</v>
      </c>
      <c r="D1821" t="s">
        <v>71</v>
      </c>
      <c r="E1821" t="s">
        <v>72</v>
      </c>
      <c r="F1821" t="s">
        <v>79</v>
      </c>
    </row>
    <row r="1822" spans="1:6" x14ac:dyDescent="0.45">
      <c r="A1822">
        <v>40</v>
      </c>
      <c r="B1822">
        <v>14</v>
      </c>
      <c r="C1822">
        <v>20000</v>
      </c>
      <c r="D1822" t="s">
        <v>71</v>
      </c>
      <c r="E1822" t="s">
        <v>72</v>
      </c>
      <c r="F1822" t="s">
        <v>79</v>
      </c>
    </row>
    <row r="1823" spans="1:6" x14ac:dyDescent="0.45">
      <c r="A1823">
        <v>40</v>
      </c>
      <c r="B1823">
        <v>14</v>
      </c>
      <c r="C1823">
        <v>20000</v>
      </c>
      <c r="D1823" t="s">
        <v>71</v>
      </c>
      <c r="E1823" t="s">
        <v>72</v>
      </c>
      <c r="F1823" t="s">
        <v>79</v>
      </c>
    </row>
    <row r="1824" spans="1:6" x14ac:dyDescent="0.45">
      <c r="A1824">
        <v>40</v>
      </c>
      <c r="B1824">
        <v>14</v>
      </c>
      <c r="C1824">
        <v>20000</v>
      </c>
      <c r="D1824" t="s">
        <v>71</v>
      </c>
      <c r="E1824" t="s">
        <v>74</v>
      </c>
      <c r="F1824" t="s">
        <v>79</v>
      </c>
    </row>
    <row r="1825" spans="1:6" x14ac:dyDescent="0.45">
      <c r="A1825">
        <v>40</v>
      </c>
      <c r="B1825">
        <v>14</v>
      </c>
      <c r="C1825">
        <v>20800</v>
      </c>
      <c r="D1825" t="s">
        <v>71</v>
      </c>
      <c r="E1825" t="s">
        <v>72</v>
      </c>
      <c r="F1825" t="s">
        <v>79</v>
      </c>
    </row>
    <row r="1826" spans="1:6" x14ac:dyDescent="0.45">
      <c r="A1826">
        <v>40</v>
      </c>
      <c r="B1826">
        <v>14</v>
      </c>
      <c r="C1826">
        <v>21000</v>
      </c>
      <c r="D1826" t="s">
        <v>71</v>
      </c>
      <c r="E1826" t="s">
        <v>72</v>
      </c>
      <c r="F1826" t="s">
        <v>79</v>
      </c>
    </row>
    <row r="1827" spans="1:6" x14ac:dyDescent="0.45">
      <c r="A1827">
        <v>70</v>
      </c>
      <c r="B1827">
        <v>14</v>
      </c>
      <c r="C1827">
        <v>21000</v>
      </c>
      <c r="D1827" t="s">
        <v>77</v>
      </c>
      <c r="E1827" t="s">
        <v>72</v>
      </c>
      <c r="F1827" t="s">
        <v>79</v>
      </c>
    </row>
    <row r="1828" spans="1:6" x14ac:dyDescent="0.45">
      <c r="A1828">
        <v>40</v>
      </c>
      <c r="B1828">
        <v>14</v>
      </c>
      <c r="C1828">
        <v>21200</v>
      </c>
      <c r="D1828" t="s">
        <v>71</v>
      </c>
      <c r="E1828" t="s">
        <v>74</v>
      </c>
      <c r="F1828" t="s">
        <v>79</v>
      </c>
    </row>
    <row r="1829" spans="1:6" x14ac:dyDescent="0.45">
      <c r="A1829">
        <v>40</v>
      </c>
      <c r="B1829">
        <v>14</v>
      </c>
      <c r="C1829">
        <v>21793</v>
      </c>
      <c r="D1829" t="s">
        <v>71</v>
      </c>
      <c r="E1829" t="s">
        <v>72</v>
      </c>
      <c r="F1829" t="s">
        <v>79</v>
      </c>
    </row>
    <row r="1830" spans="1:6" x14ac:dyDescent="0.45">
      <c r="A1830">
        <v>40</v>
      </c>
      <c r="B1830">
        <v>14</v>
      </c>
      <c r="C1830">
        <v>21840</v>
      </c>
      <c r="D1830" t="s">
        <v>71</v>
      </c>
      <c r="E1830" t="s">
        <v>72</v>
      </c>
      <c r="F1830" t="s">
        <v>79</v>
      </c>
    </row>
    <row r="1831" spans="1:6" x14ac:dyDescent="0.45">
      <c r="A1831">
        <v>40</v>
      </c>
      <c r="B1831">
        <v>14</v>
      </c>
      <c r="C1831">
        <v>22000</v>
      </c>
      <c r="D1831" t="s">
        <v>71</v>
      </c>
      <c r="E1831" t="s">
        <v>72</v>
      </c>
      <c r="F1831" t="s">
        <v>79</v>
      </c>
    </row>
    <row r="1832" spans="1:6" x14ac:dyDescent="0.45">
      <c r="A1832">
        <v>40</v>
      </c>
      <c r="B1832">
        <v>14</v>
      </c>
      <c r="C1832">
        <v>22000</v>
      </c>
      <c r="D1832" t="s">
        <v>71</v>
      </c>
      <c r="E1832" t="s">
        <v>72</v>
      </c>
      <c r="F1832" t="s">
        <v>79</v>
      </c>
    </row>
    <row r="1833" spans="1:6" x14ac:dyDescent="0.45">
      <c r="A1833">
        <v>40</v>
      </c>
      <c r="B1833">
        <v>14</v>
      </c>
      <c r="C1833">
        <v>22000</v>
      </c>
      <c r="D1833" t="s">
        <v>71</v>
      </c>
      <c r="E1833" t="s">
        <v>72</v>
      </c>
      <c r="F1833" t="s">
        <v>79</v>
      </c>
    </row>
    <row r="1834" spans="1:6" x14ac:dyDescent="0.45">
      <c r="A1834">
        <v>40</v>
      </c>
      <c r="B1834">
        <v>14</v>
      </c>
      <c r="C1834">
        <v>23000</v>
      </c>
      <c r="D1834" t="s">
        <v>71</v>
      </c>
      <c r="E1834" t="s">
        <v>72</v>
      </c>
      <c r="F1834" t="s">
        <v>79</v>
      </c>
    </row>
    <row r="1835" spans="1:6" x14ac:dyDescent="0.45">
      <c r="A1835">
        <v>40</v>
      </c>
      <c r="B1835">
        <v>14</v>
      </c>
      <c r="C1835">
        <v>23000</v>
      </c>
      <c r="D1835" t="s">
        <v>71</v>
      </c>
      <c r="E1835" t="s">
        <v>72</v>
      </c>
      <c r="F1835" t="s">
        <v>79</v>
      </c>
    </row>
    <row r="1836" spans="1:6" x14ac:dyDescent="0.45">
      <c r="A1836">
        <v>40</v>
      </c>
      <c r="B1836">
        <v>14</v>
      </c>
      <c r="C1836">
        <v>23000</v>
      </c>
      <c r="D1836" t="s">
        <v>76</v>
      </c>
      <c r="E1836" t="s">
        <v>72</v>
      </c>
      <c r="F1836" t="s">
        <v>79</v>
      </c>
    </row>
    <row r="1837" spans="1:6" x14ac:dyDescent="0.45">
      <c r="A1837">
        <v>45</v>
      </c>
      <c r="B1837">
        <v>14</v>
      </c>
      <c r="C1837">
        <v>23000</v>
      </c>
      <c r="D1837" t="s">
        <v>71</v>
      </c>
      <c r="E1837" t="s">
        <v>74</v>
      </c>
      <c r="F1837" t="s">
        <v>79</v>
      </c>
    </row>
    <row r="1838" spans="1:6" x14ac:dyDescent="0.45">
      <c r="A1838">
        <v>40</v>
      </c>
      <c r="B1838">
        <v>14</v>
      </c>
      <c r="C1838">
        <v>23000</v>
      </c>
      <c r="D1838" t="s">
        <v>71</v>
      </c>
      <c r="E1838" t="s">
        <v>72</v>
      </c>
      <c r="F1838" t="s">
        <v>79</v>
      </c>
    </row>
    <row r="1839" spans="1:6" x14ac:dyDescent="0.45">
      <c r="A1839">
        <v>45</v>
      </c>
      <c r="B1839">
        <v>14</v>
      </c>
      <c r="C1839">
        <v>23933</v>
      </c>
      <c r="D1839" t="s">
        <v>71</v>
      </c>
      <c r="E1839" t="s">
        <v>72</v>
      </c>
      <c r="F1839" t="s">
        <v>79</v>
      </c>
    </row>
    <row r="1840" spans="1:6" x14ac:dyDescent="0.45">
      <c r="A1840">
        <v>38</v>
      </c>
      <c r="B1840">
        <v>14</v>
      </c>
      <c r="C1840">
        <v>24000</v>
      </c>
      <c r="D1840" t="s">
        <v>71</v>
      </c>
      <c r="E1840" t="s">
        <v>72</v>
      </c>
      <c r="F1840" t="s">
        <v>79</v>
      </c>
    </row>
    <row r="1841" spans="1:6" x14ac:dyDescent="0.45">
      <c r="A1841">
        <v>40</v>
      </c>
      <c r="B1841">
        <v>14</v>
      </c>
      <c r="C1841">
        <v>24000</v>
      </c>
      <c r="D1841" t="s">
        <v>71</v>
      </c>
      <c r="E1841" t="s">
        <v>74</v>
      </c>
      <c r="F1841" t="s">
        <v>79</v>
      </c>
    </row>
    <row r="1842" spans="1:6" x14ac:dyDescent="0.45">
      <c r="A1842">
        <v>40</v>
      </c>
      <c r="B1842">
        <v>14</v>
      </c>
      <c r="C1842">
        <v>24000</v>
      </c>
      <c r="D1842" t="s">
        <v>75</v>
      </c>
      <c r="E1842" t="s">
        <v>72</v>
      </c>
      <c r="F1842" t="s">
        <v>79</v>
      </c>
    </row>
    <row r="1843" spans="1:6" x14ac:dyDescent="0.45">
      <c r="A1843">
        <v>40</v>
      </c>
      <c r="B1843">
        <v>14</v>
      </c>
      <c r="C1843">
        <v>25000</v>
      </c>
      <c r="D1843" t="s">
        <v>76</v>
      </c>
      <c r="E1843" t="s">
        <v>74</v>
      </c>
      <c r="F1843" t="s">
        <v>79</v>
      </c>
    </row>
    <row r="1844" spans="1:6" x14ac:dyDescent="0.45">
      <c r="A1844">
        <v>50</v>
      </c>
      <c r="B1844">
        <v>14</v>
      </c>
      <c r="C1844">
        <v>25000</v>
      </c>
      <c r="D1844" t="s">
        <v>76</v>
      </c>
      <c r="E1844" t="s">
        <v>72</v>
      </c>
      <c r="F1844" t="s">
        <v>79</v>
      </c>
    </row>
    <row r="1845" spans="1:6" x14ac:dyDescent="0.45">
      <c r="A1845">
        <v>0</v>
      </c>
      <c r="B1845">
        <v>14</v>
      </c>
      <c r="C1845">
        <v>25000</v>
      </c>
      <c r="D1845" t="s">
        <v>71</v>
      </c>
      <c r="E1845" t="s">
        <v>74</v>
      </c>
      <c r="F1845" t="s">
        <v>79</v>
      </c>
    </row>
    <row r="1846" spans="1:6" x14ac:dyDescent="0.45">
      <c r="A1846">
        <v>48</v>
      </c>
      <c r="B1846">
        <v>14</v>
      </c>
      <c r="C1846">
        <v>25000</v>
      </c>
      <c r="D1846" t="s">
        <v>71</v>
      </c>
      <c r="E1846" t="s">
        <v>72</v>
      </c>
      <c r="F1846" t="s">
        <v>79</v>
      </c>
    </row>
    <row r="1847" spans="1:6" x14ac:dyDescent="0.45">
      <c r="A1847">
        <v>40</v>
      </c>
      <c r="B1847">
        <v>14</v>
      </c>
      <c r="C1847">
        <v>25000</v>
      </c>
      <c r="D1847" t="s">
        <v>71</v>
      </c>
      <c r="E1847" t="s">
        <v>72</v>
      </c>
      <c r="F1847" t="s">
        <v>79</v>
      </c>
    </row>
    <row r="1848" spans="1:6" x14ac:dyDescent="0.45">
      <c r="A1848">
        <v>50</v>
      </c>
      <c r="B1848">
        <v>14</v>
      </c>
      <c r="C1848">
        <v>25300</v>
      </c>
      <c r="D1848" t="s">
        <v>71</v>
      </c>
      <c r="E1848" t="s">
        <v>72</v>
      </c>
      <c r="F1848" t="s">
        <v>79</v>
      </c>
    </row>
    <row r="1849" spans="1:6" x14ac:dyDescent="0.45">
      <c r="A1849">
        <v>40</v>
      </c>
      <c r="B1849">
        <v>14</v>
      </c>
      <c r="C1849">
        <v>25330</v>
      </c>
      <c r="D1849" t="s">
        <v>71</v>
      </c>
      <c r="E1849" t="s">
        <v>72</v>
      </c>
      <c r="F1849" t="s">
        <v>79</v>
      </c>
    </row>
    <row r="1850" spans="1:6" x14ac:dyDescent="0.45">
      <c r="A1850">
        <v>50</v>
      </c>
      <c r="B1850">
        <v>14</v>
      </c>
      <c r="C1850">
        <v>26000</v>
      </c>
      <c r="D1850" t="s">
        <v>71</v>
      </c>
      <c r="E1850" t="s">
        <v>72</v>
      </c>
      <c r="F1850" t="s">
        <v>79</v>
      </c>
    </row>
    <row r="1851" spans="1:6" x14ac:dyDescent="0.45">
      <c r="A1851">
        <v>50</v>
      </c>
      <c r="B1851">
        <v>14</v>
      </c>
      <c r="C1851">
        <v>26000</v>
      </c>
      <c r="D1851" t="s">
        <v>71</v>
      </c>
      <c r="E1851" t="s">
        <v>74</v>
      </c>
      <c r="F1851" t="s">
        <v>79</v>
      </c>
    </row>
    <row r="1852" spans="1:6" x14ac:dyDescent="0.45">
      <c r="A1852">
        <v>40</v>
      </c>
      <c r="B1852">
        <v>14</v>
      </c>
      <c r="C1852">
        <v>26000</v>
      </c>
      <c r="D1852" t="s">
        <v>71</v>
      </c>
      <c r="E1852" t="s">
        <v>74</v>
      </c>
      <c r="F1852" t="s">
        <v>79</v>
      </c>
    </row>
    <row r="1853" spans="1:6" x14ac:dyDescent="0.45">
      <c r="A1853">
        <v>53</v>
      </c>
      <c r="B1853">
        <v>14</v>
      </c>
      <c r="C1853">
        <v>26319</v>
      </c>
      <c r="D1853" t="s">
        <v>71</v>
      </c>
      <c r="E1853" t="s">
        <v>74</v>
      </c>
      <c r="F1853" t="s">
        <v>79</v>
      </c>
    </row>
    <row r="1854" spans="1:6" x14ac:dyDescent="0.45">
      <c r="A1854">
        <v>35</v>
      </c>
      <c r="B1854">
        <v>14</v>
      </c>
      <c r="C1854">
        <v>27000</v>
      </c>
      <c r="D1854" t="s">
        <v>71</v>
      </c>
      <c r="E1854" t="s">
        <v>72</v>
      </c>
      <c r="F1854" t="s">
        <v>79</v>
      </c>
    </row>
    <row r="1855" spans="1:6" x14ac:dyDescent="0.45">
      <c r="A1855">
        <v>46</v>
      </c>
      <c r="B1855">
        <v>14</v>
      </c>
      <c r="C1855">
        <v>27000</v>
      </c>
      <c r="D1855" t="s">
        <v>71</v>
      </c>
      <c r="E1855" t="s">
        <v>74</v>
      </c>
      <c r="F1855" t="s">
        <v>79</v>
      </c>
    </row>
    <row r="1856" spans="1:6" x14ac:dyDescent="0.45">
      <c r="A1856">
        <v>50</v>
      </c>
      <c r="B1856">
        <v>14</v>
      </c>
      <c r="C1856">
        <v>27000</v>
      </c>
      <c r="D1856" t="s">
        <v>71</v>
      </c>
      <c r="E1856" t="s">
        <v>72</v>
      </c>
      <c r="F1856" t="s">
        <v>79</v>
      </c>
    </row>
    <row r="1857" spans="1:6" x14ac:dyDescent="0.45">
      <c r="A1857">
        <v>40</v>
      </c>
      <c r="B1857">
        <v>14</v>
      </c>
      <c r="C1857">
        <v>27000</v>
      </c>
      <c r="D1857" t="s">
        <v>71</v>
      </c>
      <c r="E1857" t="s">
        <v>72</v>
      </c>
      <c r="F1857" t="s">
        <v>79</v>
      </c>
    </row>
    <row r="1858" spans="1:6" x14ac:dyDescent="0.45">
      <c r="A1858">
        <v>40</v>
      </c>
      <c r="B1858">
        <v>14</v>
      </c>
      <c r="C1858">
        <v>27500</v>
      </c>
      <c r="D1858" t="s">
        <v>76</v>
      </c>
      <c r="E1858" t="s">
        <v>74</v>
      </c>
      <c r="F1858" t="s">
        <v>79</v>
      </c>
    </row>
    <row r="1859" spans="1:6" x14ac:dyDescent="0.45">
      <c r="A1859">
        <v>40</v>
      </c>
      <c r="B1859">
        <v>14</v>
      </c>
      <c r="C1859">
        <v>28000</v>
      </c>
      <c r="D1859" t="s">
        <v>71</v>
      </c>
      <c r="E1859" t="s">
        <v>74</v>
      </c>
      <c r="F1859" t="s">
        <v>79</v>
      </c>
    </row>
    <row r="1860" spans="1:6" x14ac:dyDescent="0.45">
      <c r="A1860">
        <v>40</v>
      </c>
      <c r="B1860">
        <v>14</v>
      </c>
      <c r="C1860">
        <v>28000</v>
      </c>
      <c r="D1860" t="s">
        <v>71</v>
      </c>
      <c r="E1860" t="s">
        <v>72</v>
      </c>
      <c r="F1860" t="s">
        <v>79</v>
      </c>
    </row>
    <row r="1861" spans="1:6" x14ac:dyDescent="0.45">
      <c r="A1861">
        <v>40</v>
      </c>
      <c r="B1861">
        <v>14</v>
      </c>
      <c r="C1861">
        <v>28000</v>
      </c>
      <c r="D1861" t="s">
        <v>71</v>
      </c>
      <c r="E1861" t="s">
        <v>72</v>
      </c>
      <c r="F1861" t="s">
        <v>79</v>
      </c>
    </row>
    <row r="1862" spans="1:6" x14ac:dyDescent="0.45">
      <c r="A1862">
        <v>45</v>
      </c>
      <c r="B1862">
        <v>14</v>
      </c>
      <c r="C1862">
        <v>29000</v>
      </c>
      <c r="D1862" t="s">
        <v>71</v>
      </c>
      <c r="E1862" t="s">
        <v>74</v>
      </c>
      <c r="F1862" t="s">
        <v>79</v>
      </c>
    </row>
    <row r="1863" spans="1:6" x14ac:dyDescent="0.45">
      <c r="A1863">
        <v>40</v>
      </c>
      <c r="B1863">
        <v>14</v>
      </c>
      <c r="C1863">
        <v>29236</v>
      </c>
      <c r="D1863" t="s">
        <v>71</v>
      </c>
      <c r="E1863" t="s">
        <v>72</v>
      </c>
      <c r="F1863" t="s">
        <v>79</v>
      </c>
    </row>
    <row r="1864" spans="1:6" x14ac:dyDescent="0.45">
      <c r="A1864">
        <v>0</v>
      </c>
      <c r="B1864">
        <v>14</v>
      </c>
      <c r="C1864">
        <v>29932</v>
      </c>
      <c r="D1864" t="s">
        <v>71</v>
      </c>
      <c r="E1864" t="s">
        <v>72</v>
      </c>
      <c r="F1864" t="s">
        <v>79</v>
      </c>
    </row>
    <row r="1865" spans="1:6" x14ac:dyDescent="0.45">
      <c r="A1865">
        <v>40</v>
      </c>
      <c r="B1865">
        <v>14</v>
      </c>
      <c r="C1865">
        <v>30000</v>
      </c>
      <c r="D1865" t="s">
        <v>71</v>
      </c>
      <c r="E1865" t="s">
        <v>72</v>
      </c>
      <c r="F1865" t="s">
        <v>79</v>
      </c>
    </row>
    <row r="1866" spans="1:6" x14ac:dyDescent="0.45">
      <c r="A1866">
        <v>40</v>
      </c>
      <c r="B1866">
        <v>14</v>
      </c>
      <c r="C1866">
        <v>30000</v>
      </c>
      <c r="D1866" t="s">
        <v>71</v>
      </c>
      <c r="E1866" t="s">
        <v>72</v>
      </c>
      <c r="F1866" t="s">
        <v>79</v>
      </c>
    </row>
    <row r="1867" spans="1:6" x14ac:dyDescent="0.45">
      <c r="A1867">
        <v>40</v>
      </c>
      <c r="B1867">
        <v>14</v>
      </c>
      <c r="C1867">
        <v>30000</v>
      </c>
      <c r="D1867" t="s">
        <v>71</v>
      </c>
      <c r="E1867" t="s">
        <v>72</v>
      </c>
      <c r="F1867" t="s">
        <v>79</v>
      </c>
    </row>
    <row r="1868" spans="1:6" x14ac:dyDescent="0.45">
      <c r="A1868">
        <v>40</v>
      </c>
      <c r="B1868">
        <v>14</v>
      </c>
      <c r="C1868">
        <v>30000</v>
      </c>
      <c r="D1868" t="s">
        <v>71</v>
      </c>
      <c r="E1868" t="s">
        <v>72</v>
      </c>
      <c r="F1868" t="s">
        <v>79</v>
      </c>
    </row>
    <row r="1869" spans="1:6" x14ac:dyDescent="0.45">
      <c r="A1869">
        <v>40</v>
      </c>
      <c r="B1869">
        <v>14</v>
      </c>
      <c r="C1869">
        <v>30000</v>
      </c>
      <c r="D1869" t="s">
        <v>71</v>
      </c>
      <c r="E1869" t="s">
        <v>74</v>
      </c>
      <c r="F1869" t="s">
        <v>79</v>
      </c>
    </row>
    <row r="1870" spans="1:6" x14ac:dyDescent="0.45">
      <c r="A1870">
        <v>40</v>
      </c>
      <c r="B1870">
        <v>14</v>
      </c>
      <c r="C1870">
        <v>30000</v>
      </c>
      <c r="D1870" t="s">
        <v>71</v>
      </c>
      <c r="E1870" t="s">
        <v>72</v>
      </c>
      <c r="F1870" t="s">
        <v>79</v>
      </c>
    </row>
    <row r="1871" spans="1:6" x14ac:dyDescent="0.45">
      <c r="A1871">
        <v>45</v>
      </c>
      <c r="B1871">
        <v>14</v>
      </c>
      <c r="C1871">
        <v>30000</v>
      </c>
      <c r="D1871" t="s">
        <v>71</v>
      </c>
      <c r="E1871" t="s">
        <v>74</v>
      </c>
      <c r="F1871" t="s">
        <v>79</v>
      </c>
    </row>
    <row r="1872" spans="1:6" x14ac:dyDescent="0.45">
      <c r="A1872">
        <v>35</v>
      </c>
      <c r="B1872">
        <v>14</v>
      </c>
      <c r="C1872">
        <v>30000</v>
      </c>
      <c r="D1872" t="s">
        <v>71</v>
      </c>
      <c r="E1872" t="s">
        <v>74</v>
      </c>
      <c r="F1872" t="s">
        <v>79</v>
      </c>
    </row>
    <row r="1873" spans="1:6" x14ac:dyDescent="0.45">
      <c r="A1873">
        <v>0</v>
      </c>
      <c r="B1873">
        <v>14</v>
      </c>
      <c r="C1873">
        <v>30000</v>
      </c>
      <c r="D1873" t="s">
        <v>71</v>
      </c>
      <c r="E1873" t="s">
        <v>74</v>
      </c>
      <c r="F1873" t="s">
        <v>79</v>
      </c>
    </row>
    <row r="1874" spans="1:6" x14ac:dyDescent="0.45">
      <c r="A1874">
        <v>60</v>
      </c>
      <c r="B1874">
        <v>14</v>
      </c>
      <c r="C1874">
        <v>30000</v>
      </c>
      <c r="D1874" t="s">
        <v>71</v>
      </c>
      <c r="E1874" t="s">
        <v>74</v>
      </c>
      <c r="F1874" t="s">
        <v>79</v>
      </c>
    </row>
    <row r="1875" spans="1:6" x14ac:dyDescent="0.45">
      <c r="A1875">
        <v>36</v>
      </c>
      <c r="B1875">
        <v>14</v>
      </c>
      <c r="C1875">
        <v>30400</v>
      </c>
      <c r="D1875" t="s">
        <v>71</v>
      </c>
      <c r="E1875" t="s">
        <v>72</v>
      </c>
      <c r="F1875" t="s">
        <v>79</v>
      </c>
    </row>
    <row r="1876" spans="1:6" x14ac:dyDescent="0.45">
      <c r="A1876">
        <v>50</v>
      </c>
      <c r="B1876">
        <v>14</v>
      </c>
      <c r="C1876">
        <v>30500</v>
      </c>
      <c r="D1876" t="s">
        <v>71</v>
      </c>
      <c r="E1876" t="s">
        <v>74</v>
      </c>
      <c r="F1876" t="s">
        <v>79</v>
      </c>
    </row>
    <row r="1877" spans="1:6" x14ac:dyDescent="0.45">
      <c r="A1877">
        <v>40</v>
      </c>
      <c r="B1877">
        <v>14</v>
      </c>
      <c r="C1877">
        <v>31000</v>
      </c>
      <c r="D1877" t="s">
        <v>76</v>
      </c>
      <c r="E1877" t="s">
        <v>72</v>
      </c>
      <c r="F1877" t="s">
        <v>79</v>
      </c>
    </row>
    <row r="1878" spans="1:6" x14ac:dyDescent="0.45">
      <c r="A1878">
        <v>50</v>
      </c>
      <c r="B1878">
        <v>14</v>
      </c>
      <c r="C1878">
        <v>31200</v>
      </c>
      <c r="D1878" t="s">
        <v>71</v>
      </c>
      <c r="E1878" t="s">
        <v>74</v>
      </c>
      <c r="F1878" t="s">
        <v>79</v>
      </c>
    </row>
    <row r="1879" spans="1:6" x14ac:dyDescent="0.45">
      <c r="A1879">
        <v>38</v>
      </c>
      <c r="B1879">
        <v>14</v>
      </c>
      <c r="C1879">
        <v>31535</v>
      </c>
      <c r="D1879" t="s">
        <v>71</v>
      </c>
      <c r="E1879" t="s">
        <v>72</v>
      </c>
      <c r="F1879" t="s">
        <v>79</v>
      </c>
    </row>
    <row r="1880" spans="1:6" x14ac:dyDescent="0.45">
      <c r="A1880">
        <v>40</v>
      </c>
      <c r="B1880">
        <v>14</v>
      </c>
      <c r="C1880">
        <v>32000</v>
      </c>
      <c r="D1880" t="s">
        <v>71</v>
      </c>
      <c r="E1880" t="s">
        <v>74</v>
      </c>
      <c r="F1880" t="s">
        <v>79</v>
      </c>
    </row>
    <row r="1881" spans="1:6" x14ac:dyDescent="0.45">
      <c r="A1881">
        <v>45</v>
      </c>
      <c r="B1881">
        <v>14</v>
      </c>
      <c r="C1881">
        <v>32000</v>
      </c>
      <c r="D1881" t="s">
        <v>76</v>
      </c>
      <c r="E1881" t="s">
        <v>72</v>
      </c>
      <c r="F1881" t="s">
        <v>79</v>
      </c>
    </row>
    <row r="1882" spans="1:6" x14ac:dyDescent="0.45">
      <c r="A1882">
        <v>40</v>
      </c>
      <c r="B1882">
        <v>14</v>
      </c>
      <c r="C1882">
        <v>32000</v>
      </c>
      <c r="D1882" t="s">
        <v>71</v>
      </c>
      <c r="E1882" t="s">
        <v>74</v>
      </c>
      <c r="F1882" t="s">
        <v>79</v>
      </c>
    </row>
    <row r="1883" spans="1:6" x14ac:dyDescent="0.45">
      <c r="A1883">
        <v>40</v>
      </c>
      <c r="B1883">
        <v>14</v>
      </c>
      <c r="C1883">
        <v>32000</v>
      </c>
      <c r="D1883" t="s">
        <v>71</v>
      </c>
      <c r="E1883" t="s">
        <v>72</v>
      </c>
      <c r="F1883" t="s">
        <v>79</v>
      </c>
    </row>
    <row r="1884" spans="1:6" x14ac:dyDescent="0.45">
      <c r="A1884">
        <v>40</v>
      </c>
      <c r="B1884">
        <v>14</v>
      </c>
      <c r="C1884">
        <v>32000</v>
      </c>
      <c r="D1884" t="s">
        <v>71</v>
      </c>
      <c r="E1884" t="s">
        <v>74</v>
      </c>
      <c r="F1884" t="s">
        <v>79</v>
      </c>
    </row>
    <row r="1885" spans="1:6" x14ac:dyDescent="0.45">
      <c r="A1885">
        <v>40</v>
      </c>
      <c r="B1885">
        <v>14</v>
      </c>
      <c r="C1885">
        <v>32000</v>
      </c>
      <c r="D1885" t="s">
        <v>71</v>
      </c>
      <c r="E1885" t="s">
        <v>72</v>
      </c>
      <c r="F1885" t="s">
        <v>79</v>
      </c>
    </row>
    <row r="1886" spans="1:6" x14ac:dyDescent="0.45">
      <c r="A1886">
        <v>40</v>
      </c>
      <c r="B1886">
        <v>14</v>
      </c>
      <c r="C1886">
        <v>32000</v>
      </c>
      <c r="D1886" t="s">
        <v>71</v>
      </c>
      <c r="E1886" t="s">
        <v>72</v>
      </c>
      <c r="F1886" t="s">
        <v>79</v>
      </c>
    </row>
    <row r="1887" spans="1:6" x14ac:dyDescent="0.45">
      <c r="A1887">
        <v>40</v>
      </c>
      <c r="B1887">
        <v>14</v>
      </c>
      <c r="C1887">
        <v>32000</v>
      </c>
      <c r="D1887" t="s">
        <v>76</v>
      </c>
      <c r="E1887" t="s">
        <v>74</v>
      </c>
      <c r="F1887" t="s">
        <v>79</v>
      </c>
    </row>
    <row r="1888" spans="1:6" x14ac:dyDescent="0.45">
      <c r="A1888">
        <v>45</v>
      </c>
      <c r="B1888">
        <v>14</v>
      </c>
      <c r="C1888">
        <v>32900</v>
      </c>
      <c r="D1888" t="s">
        <v>75</v>
      </c>
      <c r="E1888" t="s">
        <v>72</v>
      </c>
      <c r="F1888" t="s">
        <v>79</v>
      </c>
    </row>
    <row r="1889" spans="1:6" x14ac:dyDescent="0.45">
      <c r="A1889">
        <v>40</v>
      </c>
      <c r="B1889">
        <v>14</v>
      </c>
      <c r="C1889">
        <v>32900</v>
      </c>
      <c r="D1889" t="s">
        <v>71</v>
      </c>
      <c r="E1889" t="s">
        <v>72</v>
      </c>
      <c r="F1889" t="s">
        <v>79</v>
      </c>
    </row>
    <row r="1890" spans="1:6" x14ac:dyDescent="0.45">
      <c r="A1890">
        <v>47</v>
      </c>
      <c r="B1890">
        <v>14</v>
      </c>
      <c r="C1890">
        <v>33000</v>
      </c>
      <c r="D1890" t="s">
        <v>71</v>
      </c>
      <c r="E1890" t="s">
        <v>74</v>
      </c>
      <c r="F1890" t="s">
        <v>79</v>
      </c>
    </row>
    <row r="1891" spans="1:6" x14ac:dyDescent="0.45">
      <c r="A1891">
        <v>50</v>
      </c>
      <c r="B1891">
        <v>14</v>
      </c>
      <c r="C1891">
        <v>33000</v>
      </c>
      <c r="D1891" t="s">
        <v>71</v>
      </c>
      <c r="E1891" t="s">
        <v>74</v>
      </c>
      <c r="F1891" t="s">
        <v>79</v>
      </c>
    </row>
    <row r="1892" spans="1:6" x14ac:dyDescent="0.45">
      <c r="A1892">
        <v>60</v>
      </c>
      <c r="B1892">
        <v>14</v>
      </c>
      <c r="C1892">
        <v>33500</v>
      </c>
      <c r="D1892" t="s">
        <v>71</v>
      </c>
      <c r="E1892" t="s">
        <v>74</v>
      </c>
      <c r="F1892" t="s">
        <v>79</v>
      </c>
    </row>
    <row r="1893" spans="1:6" x14ac:dyDescent="0.45">
      <c r="A1893">
        <v>35</v>
      </c>
      <c r="B1893">
        <v>14</v>
      </c>
      <c r="C1893">
        <v>34000</v>
      </c>
      <c r="D1893" t="s">
        <v>71</v>
      </c>
      <c r="E1893" t="s">
        <v>72</v>
      </c>
      <c r="F1893" t="s">
        <v>79</v>
      </c>
    </row>
    <row r="1894" spans="1:6" x14ac:dyDescent="0.45">
      <c r="A1894">
        <v>40</v>
      </c>
      <c r="B1894">
        <v>14</v>
      </c>
      <c r="C1894">
        <v>34000</v>
      </c>
      <c r="D1894" t="s">
        <v>71</v>
      </c>
      <c r="E1894" t="s">
        <v>72</v>
      </c>
      <c r="F1894" t="s">
        <v>79</v>
      </c>
    </row>
    <row r="1895" spans="1:6" x14ac:dyDescent="0.45">
      <c r="A1895">
        <v>40</v>
      </c>
      <c r="B1895">
        <v>14</v>
      </c>
      <c r="C1895">
        <v>34000</v>
      </c>
      <c r="D1895" t="s">
        <v>71</v>
      </c>
      <c r="E1895" t="s">
        <v>72</v>
      </c>
      <c r="F1895" t="s">
        <v>79</v>
      </c>
    </row>
    <row r="1896" spans="1:6" x14ac:dyDescent="0.45">
      <c r="A1896">
        <v>40</v>
      </c>
      <c r="B1896">
        <v>14</v>
      </c>
      <c r="C1896">
        <v>34060</v>
      </c>
      <c r="D1896" t="s">
        <v>71</v>
      </c>
      <c r="E1896" t="s">
        <v>72</v>
      </c>
      <c r="F1896" t="s">
        <v>79</v>
      </c>
    </row>
    <row r="1897" spans="1:6" x14ac:dyDescent="0.45">
      <c r="A1897">
        <v>40</v>
      </c>
      <c r="B1897">
        <v>14</v>
      </c>
      <c r="C1897">
        <v>34500</v>
      </c>
      <c r="D1897" t="s">
        <v>71</v>
      </c>
      <c r="E1897" t="s">
        <v>74</v>
      </c>
      <c r="F1897" t="s">
        <v>79</v>
      </c>
    </row>
    <row r="1898" spans="1:6" x14ac:dyDescent="0.45">
      <c r="A1898">
        <v>45</v>
      </c>
      <c r="B1898">
        <v>14</v>
      </c>
      <c r="C1898">
        <v>34892</v>
      </c>
      <c r="D1898" t="s">
        <v>76</v>
      </c>
      <c r="E1898" t="s">
        <v>72</v>
      </c>
      <c r="F1898" t="s">
        <v>79</v>
      </c>
    </row>
    <row r="1899" spans="1:6" x14ac:dyDescent="0.45">
      <c r="A1899">
        <v>38</v>
      </c>
      <c r="B1899">
        <v>14</v>
      </c>
      <c r="C1899">
        <v>35000</v>
      </c>
      <c r="D1899" t="s">
        <v>71</v>
      </c>
      <c r="E1899" t="s">
        <v>74</v>
      </c>
      <c r="F1899" t="s">
        <v>79</v>
      </c>
    </row>
    <row r="1900" spans="1:6" x14ac:dyDescent="0.45">
      <c r="A1900">
        <v>45</v>
      </c>
      <c r="B1900">
        <v>14</v>
      </c>
      <c r="C1900">
        <v>35000</v>
      </c>
      <c r="D1900" t="s">
        <v>71</v>
      </c>
      <c r="E1900" t="s">
        <v>74</v>
      </c>
      <c r="F1900" t="s">
        <v>79</v>
      </c>
    </row>
    <row r="1901" spans="1:6" x14ac:dyDescent="0.45">
      <c r="A1901">
        <v>40</v>
      </c>
      <c r="B1901">
        <v>14</v>
      </c>
      <c r="C1901">
        <v>35000</v>
      </c>
      <c r="D1901" t="s">
        <v>71</v>
      </c>
      <c r="E1901" t="s">
        <v>72</v>
      </c>
      <c r="F1901" t="s">
        <v>79</v>
      </c>
    </row>
    <row r="1902" spans="1:6" x14ac:dyDescent="0.45">
      <c r="A1902">
        <v>40</v>
      </c>
      <c r="B1902">
        <v>14</v>
      </c>
      <c r="C1902">
        <v>35000</v>
      </c>
      <c r="D1902" t="s">
        <v>76</v>
      </c>
      <c r="E1902" t="s">
        <v>72</v>
      </c>
      <c r="F1902" t="s">
        <v>79</v>
      </c>
    </row>
    <row r="1903" spans="1:6" x14ac:dyDescent="0.45">
      <c r="A1903">
        <v>40</v>
      </c>
      <c r="B1903">
        <v>14</v>
      </c>
      <c r="C1903">
        <v>35000</v>
      </c>
      <c r="D1903" t="s">
        <v>71</v>
      </c>
      <c r="E1903" t="s">
        <v>72</v>
      </c>
      <c r="F1903" t="s">
        <v>79</v>
      </c>
    </row>
    <row r="1904" spans="1:6" x14ac:dyDescent="0.45">
      <c r="A1904">
        <v>40</v>
      </c>
      <c r="B1904">
        <v>14</v>
      </c>
      <c r="C1904">
        <v>35000</v>
      </c>
      <c r="D1904" t="s">
        <v>71</v>
      </c>
      <c r="E1904" t="s">
        <v>74</v>
      </c>
      <c r="F1904" t="s">
        <v>79</v>
      </c>
    </row>
    <row r="1905" spans="1:6" x14ac:dyDescent="0.45">
      <c r="A1905">
        <v>48</v>
      </c>
      <c r="B1905">
        <v>14</v>
      </c>
      <c r="C1905">
        <v>35200</v>
      </c>
      <c r="D1905" t="s">
        <v>71</v>
      </c>
      <c r="E1905" t="s">
        <v>74</v>
      </c>
      <c r="F1905" t="s">
        <v>79</v>
      </c>
    </row>
    <row r="1906" spans="1:6" x14ac:dyDescent="0.45">
      <c r="A1906">
        <v>40</v>
      </c>
      <c r="B1906">
        <v>14</v>
      </c>
      <c r="C1906">
        <v>36500</v>
      </c>
      <c r="D1906" t="s">
        <v>71</v>
      </c>
      <c r="E1906" t="s">
        <v>74</v>
      </c>
      <c r="F1906" t="s">
        <v>79</v>
      </c>
    </row>
    <row r="1907" spans="1:6" x14ac:dyDescent="0.45">
      <c r="A1907">
        <v>50</v>
      </c>
      <c r="B1907">
        <v>14</v>
      </c>
      <c r="C1907">
        <v>37000</v>
      </c>
      <c r="D1907" t="s">
        <v>71</v>
      </c>
      <c r="E1907" t="s">
        <v>74</v>
      </c>
      <c r="F1907" t="s">
        <v>79</v>
      </c>
    </row>
    <row r="1908" spans="1:6" x14ac:dyDescent="0.45">
      <c r="A1908">
        <v>40</v>
      </c>
      <c r="B1908">
        <v>14</v>
      </c>
      <c r="C1908">
        <v>37700</v>
      </c>
      <c r="D1908" t="s">
        <v>71</v>
      </c>
      <c r="E1908" t="s">
        <v>74</v>
      </c>
      <c r="F1908" t="s">
        <v>79</v>
      </c>
    </row>
    <row r="1909" spans="1:6" x14ac:dyDescent="0.45">
      <c r="A1909">
        <v>40</v>
      </c>
      <c r="B1909">
        <v>14</v>
      </c>
      <c r="C1909">
        <v>38000</v>
      </c>
      <c r="D1909" t="s">
        <v>76</v>
      </c>
      <c r="E1909" t="s">
        <v>72</v>
      </c>
      <c r="F1909" t="s">
        <v>79</v>
      </c>
    </row>
    <row r="1910" spans="1:6" x14ac:dyDescent="0.45">
      <c r="A1910">
        <v>40</v>
      </c>
      <c r="B1910">
        <v>14</v>
      </c>
      <c r="C1910">
        <v>38000</v>
      </c>
      <c r="D1910" t="s">
        <v>71</v>
      </c>
      <c r="E1910" t="s">
        <v>72</v>
      </c>
      <c r="F1910" t="s">
        <v>79</v>
      </c>
    </row>
    <row r="1911" spans="1:6" x14ac:dyDescent="0.45">
      <c r="A1911">
        <v>38</v>
      </c>
      <c r="B1911">
        <v>14</v>
      </c>
      <c r="C1911">
        <v>38480</v>
      </c>
      <c r="D1911" t="s">
        <v>71</v>
      </c>
      <c r="E1911" t="s">
        <v>72</v>
      </c>
      <c r="F1911" t="s">
        <v>79</v>
      </c>
    </row>
    <row r="1912" spans="1:6" x14ac:dyDescent="0.45">
      <c r="A1912">
        <v>38</v>
      </c>
      <c r="B1912">
        <v>14</v>
      </c>
      <c r="C1912">
        <v>39000</v>
      </c>
      <c r="D1912" t="s">
        <v>71</v>
      </c>
      <c r="E1912" t="s">
        <v>72</v>
      </c>
      <c r="F1912" t="s">
        <v>79</v>
      </c>
    </row>
    <row r="1913" spans="1:6" x14ac:dyDescent="0.45">
      <c r="A1913">
        <v>48</v>
      </c>
      <c r="B1913">
        <v>14</v>
      </c>
      <c r="C1913">
        <v>40000</v>
      </c>
      <c r="D1913" t="s">
        <v>71</v>
      </c>
      <c r="E1913" t="s">
        <v>72</v>
      </c>
      <c r="F1913" t="s">
        <v>79</v>
      </c>
    </row>
    <row r="1914" spans="1:6" x14ac:dyDescent="0.45">
      <c r="A1914">
        <v>40</v>
      </c>
      <c r="B1914">
        <v>14</v>
      </c>
      <c r="C1914">
        <v>40000</v>
      </c>
      <c r="D1914" t="s">
        <v>76</v>
      </c>
      <c r="E1914" t="s">
        <v>74</v>
      </c>
      <c r="F1914" t="s">
        <v>79</v>
      </c>
    </row>
    <row r="1915" spans="1:6" x14ac:dyDescent="0.45">
      <c r="A1915">
        <v>40</v>
      </c>
      <c r="B1915">
        <v>14</v>
      </c>
      <c r="C1915">
        <v>40000</v>
      </c>
      <c r="D1915" t="s">
        <v>71</v>
      </c>
      <c r="E1915" t="s">
        <v>74</v>
      </c>
      <c r="F1915" t="s">
        <v>79</v>
      </c>
    </row>
    <row r="1916" spans="1:6" x14ac:dyDescent="0.45">
      <c r="A1916">
        <v>45</v>
      </c>
      <c r="B1916">
        <v>14</v>
      </c>
      <c r="C1916">
        <v>40000</v>
      </c>
      <c r="D1916" t="s">
        <v>71</v>
      </c>
      <c r="E1916" t="s">
        <v>74</v>
      </c>
      <c r="F1916" t="s">
        <v>79</v>
      </c>
    </row>
    <row r="1917" spans="1:6" x14ac:dyDescent="0.45">
      <c r="A1917">
        <v>40</v>
      </c>
      <c r="B1917">
        <v>14</v>
      </c>
      <c r="C1917">
        <v>40000</v>
      </c>
      <c r="D1917" t="s">
        <v>76</v>
      </c>
      <c r="E1917" t="s">
        <v>72</v>
      </c>
      <c r="F1917" t="s">
        <v>79</v>
      </c>
    </row>
    <row r="1918" spans="1:6" x14ac:dyDescent="0.45">
      <c r="A1918">
        <v>40</v>
      </c>
      <c r="B1918">
        <v>14</v>
      </c>
      <c r="C1918">
        <v>40000</v>
      </c>
      <c r="D1918" t="s">
        <v>71</v>
      </c>
      <c r="E1918" t="s">
        <v>72</v>
      </c>
      <c r="F1918" t="s">
        <v>79</v>
      </c>
    </row>
    <row r="1919" spans="1:6" x14ac:dyDescent="0.45">
      <c r="A1919">
        <v>40</v>
      </c>
      <c r="B1919">
        <v>14</v>
      </c>
      <c r="C1919">
        <v>40000</v>
      </c>
      <c r="D1919" t="s">
        <v>71</v>
      </c>
      <c r="E1919" t="s">
        <v>72</v>
      </c>
      <c r="F1919" t="s">
        <v>79</v>
      </c>
    </row>
    <row r="1920" spans="1:6" x14ac:dyDescent="0.45">
      <c r="A1920">
        <v>60</v>
      </c>
      <c r="B1920">
        <v>14</v>
      </c>
      <c r="C1920">
        <v>40000</v>
      </c>
      <c r="D1920" t="s">
        <v>71</v>
      </c>
      <c r="E1920" t="s">
        <v>74</v>
      </c>
      <c r="F1920" t="s">
        <v>79</v>
      </c>
    </row>
    <row r="1921" spans="1:6" x14ac:dyDescent="0.45">
      <c r="A1921">
        <v>36</v>
      </c>
      <c r="B1921">
        <v>14</v>
      </c>
      <c r="C1921">
        <v>40000</v>
      </c>
      <c r="D1921" t="s">
        <v>71</v>
      </c>
      <c r="E1921" t="s">
        <v>74</v>
      </c>
      <c r="F1921" t="s">
        <v>79</v>
      </c>
    </row>
    <row r="1922" spans="1:6" x14ac:dyDescent="0.45">
      <c r="A1922">
        <v>40</v>
      </c>
      <c r="B1922">
        <v>14</v>
      </c>
      <c r="C1922">
        <v>40000</v>
      </c>
      <c r="D1922" t="s">
        <v>76</v>
      </c>
      <c r="E1922" t="s">
        <v>72</v>
      </c>
      <c r="F1922" t="s">
        <v>79</v>
      </c>
    </row>
    <row r="1923" spans="1:6" x14ac:dyDescent="0.45">
      <c r="A1923">
        <v>40</v>
      </c>
      <c r="B1923">
        <v>14</v>
      </c>
      <c r="C1923">
        <v>40000</v>
      </c>
      <c r="D1923" t="s">
        <v>71</v>
      </c>
      <c r="E1923" t="s">
        <v>72</v>
      </c>
      <c r="F1923" t="s">
        <v>79</v>
      </c>
    </row>
    <row r="1924" spans="1:6" x14ac:dyDescent="0.45">
      <c r="A1924">
        <v>50</v>
      </c>
      <c r="B1924">
        <v>14</v>
      </c>
      <c r="C1924">
        <v>41000</v>
      </c>
      <c r="D1924" t="s">
        <v>71</v>
      </c>
      <c r="E1924" t="s">
        <v>74</v>
      </c>
      <c r="F1924" t="s">
        <v>79</v>
      </c>
    </row>
    <row r="1925" spans="1:6" x14ac:dyDescent="0.45">
      <c r="A1925">
        <v>40</v>
      </c>
      <c r="B1925">
        <v>14</v>
      </c>
      <c r="C1925">
        <v>41000</v>
      </c>
      <c r="D1925" t="s">
        <v>71</v>
      </c>
      <c r="E1925" t="s">
        <v>72</v>
      </c>
      <c r="F1925" t="s">
        <v>79</v>
      </c>
    </row>
    <row r="1926" spans="1:6" x14ac:dyDescent="0.45">
      <c r="A1926">
        <v>65</v>
      </c>
      <c r="B1926">
        <v>14</v>
      </c>
      <c r="C1926">
        <v>41000</v>
      </c>
      <c r="D1926" t="s">
        <v>71</v>
      </c>
      <c r="E1926" t="s">
        <v>74</v>
      </c>
      <c r="F1926" t="s">
        <v>79</v>
      </c>
    </row>
    <row r="1927" spans="1:6" x14ac:dyDescent="0.45">
      <c r="A1927">
        <v>40</v>
      </c>
      <c r="B1927">
        <v>14</v>
      </c>
      <c r="C1927">
        <v>42000</v>
      </c>
      <c r="D1927" t="s">
        <v>71</v>
      </c>
      <c r="E1927" t="s">
        <v>72</v>
      </c>
      <c r="F1927" t="s">
        <v>79</v>
      </c>
    </row>
    <row r="1928" spans="1:6" x14ac:dyDescent="0.45">
      <c r="A1928">
        <v>40</v>
      </c>
      <c r="B1928">
        <v>14</v>
      </c>
      <c r="C1928">
        <v>42000</v>
      </c>
      <c r="D1928" t="s">
        <v>71</v>
      </c>
      <c r="E1928" t="s">
        <v>74</v>
      </c>
      <c r="F1928" t="s">
        <v>79</v>
      </c>
    </row>
    <row r="1929" spans="1:6" x14ac:dyDescent="0.45">
      <c r="A1929">
        <v>50</v>
      </c>
      <c r="B1929">
        <v>14</v>
      </c>
      <c r="C1929">
        <v>42000</v>
      </c>
      <c r="D1929" t="s">
        <v>71</v>
      </c>
      <c r="E1929" t="s">
        <v>74</v>
      </c>
      <c r="F1929" t="s">
        <v>79</v>
      </c>
    </row>
    <row r="1930" spans="1:6" x14ac:dyDescent="0.45">
      <c r="A1930">
        <v>45</v>
      </c>
      <c r="B1930">
        <v>14</v>
      </c>
      <c r="C1930">
        <v>42486</v>
      </c>
      <c r="D1930" t="s">
        <v>71</v>
      </c>
      <c r="E1930" t="s">
        <v>74</v>
      </c>
      <c r="F1930" t="s">
        <v>79</v>
      </c>
    </row>
    <row r="1931" spans="1:6" x14ac:dyDescent="0.45">
      <c r="A1931">
        <v>40</v>
      </c>
      <c r="B1931">
        <v>14</v>
      </c>
      <c r="C1931">
        <v>43680</v>
      </c>
      <c r="D1931" t="s">
        <v>71</v>
      </c>
      <c r="E1931" t="s">
        <v>72</v>
      </c>
      <c r="F1931" t="s">
        <v>79</v>
      </c>
    </row>
    <row r="1932" spans="1:6" x14ac:dyDescent="0.45">
      <c r="A1932">
        <v>35</v>
      </c>
      <c r="B1932">
        <v>14</v>
      </c>
      <c r="C1932">
        <v>43700</v>
      </c>
      <c r="D1932" t="s">
        <v>71</v>
      </c>
      <c r="E1932" t="s">
        <v>72</v>
      </c>
      <c r="F1932" t="s">
        <v>79</v>
      </c>
    </row>
    <row r="1933" spans="1:6" x14ac:dyDescent="0.45">
      <c r="A1933">
        <v>40</v>
      </c>
      <c r="B1933">
        <v>14</v>
      </c>
      <c r="C1933">
        <v>43700</v>
      </c>
      <c r="D1933" t="s">
        <v>71</v>
      </c>
      <c r="E1933" t="s">
        <v>72</v>
      </c>
      <c r="F1933" t="s">
        <v>79</v>
      </c>
    </row>
    <row r="1934" spans="1:6" x14ac:dyDescent="0.45">
      <c r="A1934">
        <v>40</v>
      </c>
      <c r="B1934">
        <v>14</v>
      </c>
      <c r="C1934">
        <v>43700</v>
      </c>
      <c r="D1934" t="s">
        <v>71</v>
      </c>
      <c r="E1934" t="s">
        <v>72</v>
      </c>
      <c r="F1934" t="s">
        <v>79</v>
      </c>
    </row>
    <row r="1935" spans="1:6" x14ac:dyDescent="0.45">
      <c r="A1935">
        <v>50</v>
      </c>
      <c r="B1935">
        <v>14</v>
      </c>
      <c r="C1935">
        <v>44000</v>
      </c>
      <c r="D1935" t="s">
        <v>71</v>
      </c>
      <c r="E1935" t="s">
        <v>74</v>
      </c>
      <c r="F1935" t="s">
        <v>79</v>
      </c>
    </row>
    <row r="1936" spans="1:6" x14ac:dyDescent="0.45">
      <c r="A1936">
        <v>55</v>
      </c>
      <c r="B1936">
        <v>14</v>
      </c>
      <c r="C1936">
        <v>44000</v>
      </c>
      <c r="D1936" t="s">
        <v>71</v>
      </c>
      <c r="E1936" t="s">
        <v>74</v>
      </c>
      <c r="F1936" t="s">
        <v>79</v>
      </c>
    </row>
    <row r="1937" spans="1:6" x14ac:dyDescent="0.45">
      <c r="A1937">
        <v>40</v>
      </c>
      <c r="B1937">
        <v>14</v>
      </c>
      <c r="C1937">
        <v>44000</v>
      </c>
      <c r="D1937" t="s">
        <v>71</v>
      </c>
      <c r="E1937" t="s">
        <v>74</v>
      </c>
      <c r="F1937" t="s">
        <v>79</v>
      </c>
    </row>
    <row r="1938" spans="1:6" x14ac:dyDescent="0.45">
      <c r="A1938">
        <v>40</v>
      </c>
      <c r="B1938">
        <v>14</v>
      </c>
      <c r="C1938">
        <v>44000</v>
      </c>
      <c r="D1938" t="s">
        <v>77</v>
      </c>
      <c r="E1938" t="s">
        <v>74</v>
      </c>
      <c r="F1938" t="s">
        <v>79</v>
      </c>
    </row>
    <row r="1939" spans="1:6" x14ac:dyDescent="0.45">
      <c r="A1939">
        <v>50</v>
      </c>
      <c r="B1939">
        <v>14</v>
      </c>
      <c r="C1939">
        <v>44000</v>
      </c>
      <c r="D1939" t="s">
        <v>71</v>
      </c>
      <c r="E1939" t="s">
        <v>74</v>
      </c>
      <c r="F1939" t="s">
        <v>79</v>
      </c>
    </row>
    <row r="1940" spans="1:6" x14ac:dyDescent="0.45">
      <c r="A1940">
        <v>40</v>
      </c>
      <c r="B1940">
        <v>14</v>
      </c>
      <c r="C1940">
        <v>44085</v>
      </c>
      <c r="D1940" t="s">
        <v>71</v>
      </c>
      <c r="E1940" t="s">
        <v>74</v>
      </c>
      <c r="F1940" t="s">
        <v>79</v>
      </c>
    </row>
    <row r="1941" spans="1:6" x14ac:dyDescent="0.45">
      <c r="A1941">
        <v>45</v>
      </c>
      <c r="B1941">
        <v>14</v>
      </c>
      <c r="C1941">
        <v>44460</v>
      </c>
      <c r="D1941" t="s">
        <v>71</v>
      </c>
      <c r="E1941" t="s">
        <v>74</v>
      </c>
      <c r="F1941" t="s">
        <v>79</v>
      </c>
    </row>
    <row r="1942" spans="1:6" x14ac:dyDescent="0.45">
      <c r="A1942">
        <v>50</v>
      </c>
      <c r="B1942">
        <v>14</v>
      </c>
      <c r="C1942">
        <v>45000</v>
      </c>
      <c r="D1942" t="s">
        <v>71</v>
      </c>
      <c r="E1942" t="s">
        <v>74</v>
      </c>
      <c r="F1942" t="s">
        <v>79</v>
      </c>
    </row>
    <row r="1943" spans="1:6" x14ac:dyDescent="0.45">
      <c r="A1943">
        <v>55</v>
      </c>
      <c r="B1943">
        <v>14</v>
      </c>
      <c r="C1943">
        <v>45000</v>
      </c>
      <c r="D1943" t="s">
        <v>71</v>
      </c>
      <c r="E1943" t="s">
        <v>72</v>
      </c>
      <c r="F1943" t="s">
        <v>79</v>
      </c>
    </row>
    <row r="1944" spans="1:6" x14ac:dyDescent="0.45">
      <c r="A1944">
        <v>60</v>
      </c>
      <c r="B1944">
        <v>14</v>
      </c>
      <c r="C1944">
        <v>45000</v>
      </c>
      <c r="D1944" t="s">
        <v>71</v>
      </c>
      <c r="E1944" t="s">
        <v>74</v>
      </c>
      <c r="F1944" t="s">
        <v>79</v>
      </c>
    </row>
    <row r="1945" spans="1:6" x14ac:dyDescent="0.45">
      <c r="A1945">
        <v>40</v>
      </c>
      <c r="B1945">
        <v>14</v>
      </c>
      <c r="C1945">
        <v>45000</v>
      </c>
      <c r="D1945" t="s">
        <v>71</v>
      </c>
      <c r="E1945" t="s">
        <v>74</v>
      </c>
      <c r="F1945" t="s">
        <v>79</v>
      </c>
    </row>
    <row r="1946" spans="1:6" x14ac:dyDescent="0.45">
      <c r="A1946">
        <v>49</v>
      </c>
      <c r="B1946">
        <v>14</v>
      </c>
      <c r="C1946">
        <v>45100</v>
      </c>
      <c r="D1946" t="s">
        <v>71</v>
      </c>
      <c r="E1946" t="s">
        <v>74</v>
      </c>
      <c r="F1946" t="s">
        <v>79</v>
      </c>
    </row>
    <row r="1947" spans="1:6" x14ac:dyDescent="0.45">
      <c r="A1947">
        <v>37</v>
      </c>
      <c r="B1947">
        <v>14</v>
      </c>
      <c r="C1947">
        <v>47000</v>
      </c>
      <c r="D1947" t="s">
        <v>71</v>
      </c>
      <c r="E1947" t="s">
        <v>74</v>
      </c>
      <c r="F1947" t="s">
        <v>79</v>
      </c>
    </row>
    <row r="1948" spans="1:6" x14ac:dyDescent="0.45">
      <c r="A1948">
        <v>56</v>
      </c>
      <c r="B1948">
        <v>14</v>
      </c>
      <c r="C1948">
        <v>47000</v>
      </c>
      <c r="D1948" t="s">
        <v>71</v>
      </c>
      <c r="E1948" t="s">
        <v>74</v>
      </c>
      <c r="F1948" t="s">
        <v>79</v>
      </c>
    </row>
    <row r="1949" spans="1:6" x14ac:dyDescent="0.45">
      <c r="A1949">
        <v>60</v>
      </c>
      <c r="B1949">
        <v>14</v>
      </c>
      <c r="C1949">
        <v>47000</v>
      </c>
      <c r="D1949" t="s">
        <v>71</v>
      </c>
      <c r="E1949" t="s">
        <v>74</v>
      </c>
      <c r="F1949" t="s">
        <v>79</v>
      </c>
    </row>
    <row r="1950" spans="1:6" x14ac:dyDescent="0.45">
      <c r="A1950">
        <v>50</v>
      </c>
      <c r="B1950">
        <v>14</v>
      </c>
      <c r="C1950">
        <v>48000</v>
      </c>
      <c r="D1950" t="s">
        <v>71</v>
      </c>
      <c r="E1950" t="s">
        <v>74</v>
      </c>
      <c r="F1950" t="s">
        <v>79</v>
      </c>
    </row>
    <row r="1951" spans="1:6" x14ac:dyDescent="0.45">
      <c r="A1951">
        <v>45</v>
      </c>
      <c r="B1951">
        <v>14</v>
      </c>
      <c r="C1951">
        <v>48000</v>
      </c>
      <c r="D1951" t="s">
        <v>71</v>
      </c>
      <c r="E1951" t="s">
        <v>74</v>
      </c>
      <c r="F1951" t="s">
        <v>79</v>
      </c>
    </row>
    <row r="1952" spans="1:6" x14ac:dyDescent="0.45">
      <c r="A1952">
        <v>50</v>
      </c>
      <c r="B1952">
        <v>14</v>
      </c>
      <c r="C1952">
        <v>49000</v>
      </c>
      <c r="D1952" t="s">
        <v>71</v>
      </c>
      <c r="E1952" t="s">
        <v>74</v>
      </c>
      <c r="F1952" t="s">
        <v>79</v>
      </c>
    </row>
    <row r="1953" spans="1:6" x14ac:dyDescent="0.45">
      <c r="A1953">
        <v>47</v>
      </c>
      <c r="B1953">
        <v>14</v>
      </c>
      <c r="C1953">
        <v>50000</v>
      </c>
      <c r="D1953" t="s">
        <v>71</v>
      </c>
      <c r="E1953" t="s">
        <v>72</v>
      </c>
      <c r="F1953" t="s">
        <v>79</v>
      </c>
    </row>
    <row r="1954" spans="1:6" x14ac:dyDescent="0.45">
      <c r="A1954">
        <v>50</v>
      </c>
      <c r="B1954">
        <v>14</v>
      </c>
      <c r="C1954">
        <v>50000</v>
      </c>
      <c r="D1954" t="s">
        <v>71</v>
      </c>
      <c r="E1954" t="s">
        <v>74</v>
      </c>
      <c r="F1954" t="s">
        <v>79</v>
      </c>
    </row>
    <row r="1955" spans="1:6" x14ac:dyDescent="0.45">
      <c r="A1955">
        <v>40</v>
      </c>
      <c r="B1955">
        <v>14</v>
      </c>
      <c r="C1955">
        <v>50000</v>
      </c>
      <c r="D1955" t="s">
        <v>77</v>
      </c>
      <c r="E1955" t="s">
        <v>74</v>
      </c>
      <c r="F1955" t="s">
        <v>79</v>
      </c>
    </row>
    <row r="1956" spans="1:6" x14ac:dyDescent="0.45">
      <c r="A1956">
        <v>45</v>
      </c>
      <c r="B1956">
        <v>14</v>
      </c>
      <c r="C1956">
        <v>50000</v>
      </c>
      <c r="D1956" t="s">
        <v>71</v>
      </c>
      <c r="E1956" t="s">
        <v>74</v>
      </c>
      <c r="F1956" t="s">
        <v>79</v>
      </c>
    </row>
    <row r="1957" spans="1:6" x14ac:dyDescent="0.45">
      <c r="A1957">
        <v>45</v>
      </c>
      <c r="B1957">
        <v>14</v>
      </c>
      <c r="C1957">
        <v>50000</v>
      </c>
      <c r="D1957" t="s">
        <v>71</v>
      </c>
      <c r="E1957" t="s">
        <v>74</v>
      </c>
      <c r="F1957" t="s">
        <v>79</v>
      </c>
    </row>
    <row r="1958" spans="1:6" x14ac:dyDescent="0.45">
      <c r="A1958">
        <v>55</v>
      </c>
      <c r="B1958">
        <v>14</v>
      </c>
      <c r="C1958">
        <v>50000</v>
      </c>
      <c r="D1958" t="s">
        <v>71</v>
      </c>
      <c r="E1958" t="s">
        <v>72</v>
      </c>
      <c r="F1958" t="s">
        <v>79</v>
      </c>
    </row>
    <row r="1959" spans="1:6" x14ac:dyDescent="0.45">
      <c r="A1959">
        <v>45</v>
      </c>
      <c r="B1959">
        <v>14</v>
      </c>
      <c r="C1959">
        <v>50700</v>
      </c>
      <c r="D1959" t="s">
        <v>71</v>
      </c>
      <c r="E1959" t="s">
        <v>74</v>
      </c>
      <c r="F1959" t="s">
        <v>79</v>
      </c>
    </row>
    <row r="1960" spans="1:6" x14ac:dyDescent="0.45">
      <c r="A1960">
        <v>40</v>
      </c>
      <c r="B1960">
        <v>14</v>
      </c>
      <c r="C1960">
        <v>51000</v>
      </c>
      <c r="D1960" t="s">
        <v>71</v>
      </c>
      <c r="E1960" t="s">
        <v>74</v>
      </c>
      <c r="F1960" t="s">
        <v>79</v>
      </c>
    </row>
    <row r="1961" spans="1:6" x14ac:dyDescent="0.45">
      <c r="A1961">
        <v>40</v>
      </c>
      <c r="B1961">
        <v>14</v>
      </c>
      <c r="C1961">
        <v>51219</v>
      </c>
      <c r="D1961" t="s">
        <v>71</v>
      </c>
      <c r="E1961" t="s">
        <v>72</v>
      </c>
      <c r="F1961" t="s">
        <v>79</v>
      </c>
    </row>
    <row r="1962" spans="1:6" x14ac:dyDescent="0.45">
      <c r="A1962">
        <v>50</v>
      </c>
      <c r="B1962">
        <v>14</v>
      </c>
      <c r="C1962">
        <v>51500</v>
      </c>
      <c r="D1962" t="s">
        <v>71</v>
      </c>
      <c r="E1962" t="s">
        <v>74</v>
      </c>
      <c r="F1962" t="s">
        <v>79</v>
      </c>
    </row>
    <row r="1963" spans="1:6" x14ac:dyDescent="0.45">
      <c r="A1963">
        <v>40</v>
      </c>
      <c r="B1963">
        <v>14</v>
      </c>
      <c r="C1963">
        <v>52000</v>
      </c>
      <c r="D1963" t="s">
        <v>71</v>
      </c>
      <c r="E1963" t="s">
        <v>72</v>
      </c>
      <c r="F1963" t="s">
        <v>79</v>
      </c>
    </row>
    <row r="1964" spans="1:6" x14ac:dyDescent="0.45">
      <c r="A1964">
        <v>45</v>
      </c>
      <c r="B1964">
        <v>14</v>
      </c>
      <c r="C1964">
        <v>52300</v>
      </c>
      <c r="D1964" t="s">
        <v>71</v>
      </c>
      <c r="E1964" t="s">
        <v>74</v>
      </c>
      <c r="F1964" t="s">
        <v>79</v>
      </c>
    </row>
    <row r="1965" spans="1:6" x14ac:dyDescent="0.45">
      <c r="A1965">
        <v>40</v>
      </c>
      <c r="B1965">
        <v>14</v>
      </c>
      <c r="C1965">
        <v>53000</v>
      </c>
      <c r="D1965" t="s">
        <v>71</v>
      </c>
      <c r="E1965" t="s">
        <v>74</v>
      </c>
      <c r="F1965" t="s">
        <v>79</v>
      </c>
    </row>
    <row r="1966" spans="1:6" x14ac:dyDescent="0.45">
      <c r="A1966">
        <v>40</v>
      </c>
      <c r="B1966">
        <v>14</v>
      </c>
      <c r="C1966">
        <v>55000</v>
      </c>
      <c r="D1966" t="s">
        <v>71</v>
      </c>
      <c r="E1966" t="s">
        <v>74</v>
      </c>
      <c r="F1966" t="s">
        <v>79</v>
      </c>
    </row>
    <row r="1967" spans="1:6" x14ac:dyDescent="0.45">
      <c r="A1967">
        <v>144</v>
      </c>
      <c r="B1967">
        <v>14</v>
      </c>
      <c r="C1967">
        <v>55000</v>
      </c>
      <c r="D1967" t="s">
        <v>71</v>
      </c>
      <c r="E1967" t="s">
        <v>74</v>
      </c>
      <c r="F1967" t="s">
        <v>79</v>
      </c>
    </row>
    <row r="1968" spans="1:6" x14ac:dyDescent="0.45">
      <c r="A1968">
        <v>40</v>
      </c>
      <c r="B1968">
        <v>14</v>
      </c>
      <c r="C1968">
        <v>55000</v>
      </c>
      <c r="D1968" t="s">
        <v>77</v>
      </c>
      <c r="E1968" t="s">
        <v>74</v>
      </c>
      <c r="F1968" t="s">
        <v>79</v>
      </c>
    </row>
    <row r="1969" spans="1:6" x14ac:dyDescent="0.45">
      <c r="A1969">
        <v>52</v>
      </c>
      <c r="B1969">
        <v>14</v>
      </c>
      <c r="C1969">
        <v>56000</v>
      </c>
      <c r="D1969" t="s">
        <v>71</v>
      </c>
      <c r="E1969" t="s">
        <v>74</v>
      </c>
      <c r="F1969" t="s">
        <v>79</v>
      </c>
    </row>
    <row r="1970" spans="1:6" x14ac:dyDescent="0.45">
      <c r="A1970">
        <v>50</v>
      </c>
      <c r="B1970">
        <v>14</v>
      </c>
      <c r="C1970">
        <v>57000</v>
      </c>
      <c r="D1970" t="s">
        <v>71</v>
      </c>
      <c r="E1970" t="s">
        <v>74</v>
      </c>
      <c r="F1970" t="s">
        <v>79</v>
      </c>
    </row>
    <row r="1971" spans="1:6" x14ac:dyDescent="0.45">
      <c r="A1971">
        <v>40</v>
      </c>
      <c r="B1971">
        <v>14</v>
      </c>
      <c r="C1971">
        <v>58000</v>
      </c>
      <c r="D1971" t="s">
        <v>71</v>
      </c>
      <c r="E1971" t="s">
        <v>72</v>
      </c>
      <c r="F1971" t="s">
        <v>79</v>
      </c>
    </row>
    <row r="1972" spans="1:6" x14ac:dyDescent="0.45">
      <c r="A1972">
        <v>40</v>
      </c>
      <c r="B1972">
        <v>14</v>
      </c>
      <c r="C1972">
        <v>58000</v>
      </c>
      <c r="D1972" t="s">
        <v>71</v>
      </c>
      <c r="E1972" t="s">
        <v>72</v>
      </c>
      <c r="F1972" t="s">
        <v>79</v>
      </c>
    </row>
    <row r="1973" spans="1:6" x14ac:dyDescent="0.45">
      <c r="A1973">
        <v>53</v>
      </c>
      <c r="B1973">
        <v>14</v>
      </c>
      <c r="C1973">
        <v>59000</v>
      </c>
      <c r="D1973" t="s">
        <v>71</v>
      </c>
      <c r="E1973" t="s">
        <v>74</v>
      </c>
      <c r="F1973" t="s">
        <v>79</v>
      </c>
    </row>
    <row r="1974" spans="1:6" x14ac:dyDescent="0.45">
      <c r="A1974">
        <v>40</v>
      </c>
      <c r="B1974">
        <v>14</v>
      </c>
      <c r="C1974">
        <v>60000</v>
      </c>
      <c r="D1974" t="s">
        <v>76</v>
      </c>
      <c r="E1974" t="s">
        <v>74</v>
      </c>
      <c r="F1974" t="s">
        <v>79</v>
      </c>
    </row>
    <row r="1975" spans="1:6" x14ac:dyDescent="0.45">
      <c r="A1975">
        <v>40</v>
      </c>
      <c r="B1975">
        <v>14</v>
      </c>
      <c r="C1975">
        <v>60000</v>
      </c>
      <c r="D1975" t="s">
        <v>71</v>
      </c>
      <c r="E1975" t="s">
        <v>74</v>
      </c>
      <c r="F1975" t="s">
        <v>79</v>
      </c>
    </row>
    <row r="1976" spans="1:6" x14ac:dyDescent="0.45">
      <c r="A1976">
        <v>40</v>
      </c>
      <c r="B1976">
        <v>14</v>
      </c>
      <c r="C1976">
        <v>60000</v>
      </c>
      <c r="D1976" t="s">
        <v>71</v>
      </c>
      <c r="E1976" t="s">
        <v>74</v>
      </c>
      <c r="F1976" t="s">
        <v>79</v>
      </c>
    </row>
    <row r="1977" spans="1:6" x14ac:dyDescent="0.45">
      <c r="A1977">
        <v>70</v>
      </c>
      <c r="B1977">
        <v>14</v>
      </c>
      <c r="C1977">
        <v>60000</v>
      </c>
      <c r="D1977" t="s">
        <v>71</v>
      </c>
      <c r="E1977" t="s">
        <v>74</v>
      </c>
      <c r="F1977" t="s">
        <v>79</v>
      </c>
    </row>
    <row r="1978" spans="1:6" x14ac:dyDescent="0.45">
      <c r="A1978">
        <v>40</v>
      </c>
      <c r="B1978">
        <v>14</v>
      </c>
      <c r="C1978">
        <v>61000</v>
      </c>
      <c r="D1978" t="s">
        <v>71</v>
      </c>
      <c r="E1978" t="s">
        <v>74</v>
      </c>
      <c r="F1978" t="s">
        <v>79</v>
      </c>
    </row>
    <row r="1979" spans="1:6" x14ac:dyDescent="0.45">
      <c r="A1979">
        <v>50</v>
      </c>
      <c r="B1979">
        <v>14</v>
      </c>
      <c r="C1979">
        <v>64944</v>
      </c>
      <c r="D1979" t="s">
        <v>71</v>
      </c>
      <c r="E1979" t="s">
        <v>74</v>
      </c>
      <c r="F1979" t="s">
        <v>79</v>
      </c>
    </row>
    <row r="1980" spans="1:6" x14ac:dyDescent="0.45">
      <c r="A1980">
        <v>50</v>
      </c>
      <c r="B1980">
        <v>14</v>
      </c>
      <c r="C1980">
        <v>65000</v>
      </c>
      <c r="D1980" t="s">
        <v>71</v>
      </c>
      <c r="E1980" t="s">
        <v>74</v>
      </c>
      <c r="F1980" t="s">
        <v>79</v>
      </c>
    </row>
    <row r="1981" spans="1:6" x14ac:dyDescent="0.45">
      <c r="A1981">
        <v>40</v>
      </c>
      <c r="B1981">
        <v>14</v>
      </c>
      <c r="C1981">
        <v>65000</v>
      </c>
      <c r="D1981" t="s">
        <v>71</v>
      </c>
      <c r="E1981" t="s">
        <v>74</v>
      </c>
      <c r="F1981" t="s">
        <v>79</v>
      </c>
    </row>
    <row r="1982" spans="1:6" x14ac:dyDescent="0.45">
      <c r="A1982">
        <v>45</v>
      </c>
      <c r="B1982">
        <v>14</v>
      </c>
      <c r="C1982">
        <v>65000</v>
      </c>
      <c r="D1982" t="s">
        <v>71</v>
      </c>
      <c r="E1982" t="s">
        <v>74</v>
      </c>
      <c r="F1982" t="s">
        <v>79</v>
      </c>
    </row>
    <row r="1983" spans="1:6" x14ac:dyDescent="0.45">
      <c r="A1983">
        <v>40</v>
      </c>
      <c r="B1983">
        <v>14</v>
      </c>
      <c r="C1983">
        <v>67000</v>
      </c>
      <c r="D1983" t="s">
        <v>71</v>
      </c>
      <c r="E1983" t="s">
        <v>74</v>
      </c>
      <c r="F1983" t="s">
        <v>79</v>
      </c>
    </row>
    <row r="1984" spans="1:6" x14ac:dyDescent="0.45">
      <c r="A1984">
        <v>50</v>
      </c>
      <c r="B1984">
        <v>14</v>
      </c>
      <c r="C1984">
        <v>68000</v>
      </c>
      <c r="D1984" t="s">
        <v>71</v>
      </c>
      <c r="E1984" t="s">
        <v>74</v>
      </c>
      <c r="F1984" t="s">
        <v>79</v>
      </c>
    </row>
    <row r="1985" spans="1:6" x14ac:dyDescent="0.45">
      <c r="A1985">
        <v>40</v>
      </c>
      <c r="B1985">
        <v>14</v>
      </c>
      <c r="C1985">
        <v>68000</v>
      </c>
      <c r="D1985" t="s">
        <v>71</v>
      </c>
      <c r="E1985" t="s">
        <v>72</v>
      </c>
      <c r="F1985" t="s">
        <v>79</v>
      </c>
    </row>
    <row r="1986" spans="1:6" x14ac:dyDescent="0.45">
      <c r="A1986">
        <v>40</v>
      </c>
      <c r="B1986">
        <v>14</v>
      </c>
      <c r="C1986">
        <v>68000</v>
      </c>
      <c r="D1986" t="s">
        <v>71</v>
      </c>
      <c r="E1986" t="s">
        <v>72</v>
      </c>
      <c r="F1986" t="s">
        <v>79</v>
      </c>
    </row>
    <row r="1987" spans="1:6" x14ac:dyDescent="0.45">
      <c r="A1987">
        <v>53</v>
      </c>
      <c r="B1987">
        <v>14</v>
      </c>
      <c r="C1987">
        <v>72000</v>
      </c>
      <c r="D1987" t="s">
        <v>71</v>
      </c>
      <c r="E1987" t="s">
        <v>74</v>
      </c>
      <c r="F1987" t="s">
        <v>79</v>
      </c>
    </row>
    <row r="1988" spans="1:6" x14ac:dyDescent="0.45">
      <c r="A1988">
        <v>40</v>
      </c>
      <c r="B1988">
        <v>14</v>
      </c>
      <c r="C1988">
        <v>75237</v>
      </c>
      <c r="D1988" t="s">
        <v>71</v>
      </c>
      <c r="E1988" t="s">
        <v>72</v>
      </c>
      <c r="F1988" t="s">
        <v>79</v>
      </c>
    </row>
    <row r="1989" spans="1:6" x14ac:dyDescent="0.45">
      <c r="A1989">
        <v>45</v>
      </c>
      <c r="B1989">
        <v>14</v>
      </c>
      <c r="C1989">
        <v>75814</v>
      </c>
      <c r="D1989" t="s">
        <v>71</v>
      </c>
      <c r="E1989" t="s">
        <v>74</v>
      </c>
      <c r="F1989" t="s">
        <v>79</v>
      </c>
    </row>
    <row r="1990" spans="1:6" x14ac:dyDescent="0.45">
      <c r="A1990">
        <v>40</v>
      </c>
      <c r="B1990">
        <v>14</v>
      </c>
      <c r="C1990">
        <v>84000</v>
      </c>
      <c r="D1990" t="s">
        <v>71</v>
      </c>
      <c r="E1990" t="s">
        <v>74</v>
      </c>
      <c r="F1990" t="s">
        <v>79</v>
      </c>
    </row>
    <row r="1991" spans="1:6" x14ac:dyDescent="0.45">
      <c r="A1991">
        <v>60</v>
      </c>
      <c r="B1991">
        <v>14</v>
      </c>
      <c r="C1991">
        <v>100000</v>
      </c>
      <c r="D1991" t="s">
        <v>71</v>
      </c>
      <c r="E1991" t="s">
        <v>74</v>
      </c>
      <c r="F1991" t="s">
        <v>79</v>
      </c>
    </row>
    <row r="1992" spans="1:6" x14ac:dyDescent="0.45">
      <c r="A1992">
        <v>50</v>
      </c>
      <c r="B1992">
        <v>14</v>
      </c>
      <c r="C1992">
        <v>112800</v>
      </c>
      <c r="D1992" t="s">
        <v>71</v>
      </c>
      <c r="E1992" t="s">
        <v>74</v>
      </c>
      <c r="F1992" t="s">
        <v>79</v>
      </c>
    </row>
    <row r="1993" spans="1:6" x14ac:dyDescent="0.45">
      <c r="A1993">
        <v>60</v>
      </c>
      <c r="B1993">
        <v>14</v>
      </c>
      <c r="C1993">
        <v>149925</v>
      </c>
      <c r="D1993" t="s">
        <v>71</v>
      </c>
      <c r="E1993" t="s">
        <v>74</v>
      </c>
      <c r="F1993" t="s">
        <v>79</v>
      </c>
    </row>
    <row r="1994" spans="1:6" x14ac:dyDescent="0.45">
      <c r="A1994">
        <v>50</v>
      </c>
      <c r="B1994">
        <v>14</v>
      </c>
      <c r="C1994">
        <v>390510</v>
      </c>
      <c r="D1994" t="s">
        <v>71</v>
      </c>
      <c r="E1994" t="s">
        <v>72</v>
      </c>
      <c r="F1994" t="s">
        <v>79</v>
      </c>
    </row>
    <row r="1995" spans="1:6" x14ac:dyDescent="0.45">
      <c r="A1995">
        <v>45</v>
      </c>
      <c r="B1995">
        <v>13</v>
      </c>
      <c r="C1995">
        <v>400</v>
      </c>
      <c r="D1995" t="s">
        <v>76</v>
      </c>
      <c r="E1995" t="s">
        <v>72</v>
      </c>
      <c r="F1995" t="s">
        <v>79</v>
      </c>
    </row>
    <row r="1996" spans="1:6" x14ac:dyDescent="0.45">
      <c r="A1996">
        <v>40</v>
      </c>
      <c r="B1996">
        <v>13</v>
      </c>
      <c r="C1996">
        <v>500</v>
      </c>
      <c r="D1996" t="s">
        <v>71</v>
      </c>
      <c r="E1996" t="s">
        <v>74</v>
      </c>
      <c r="F1996" t="s">
        <v>79</v>
      </c>
    </row>
    <row r="1997" spans="1:6" x14ac:dyDescent="0.45">
      <c r="A1997">
        <v>50</v>
      </c>
      <c r="B1997">
        <v>13</v>
      </c>
      <c r="C1997">
        <v>500</v>
      </c>
      <c r="D1997" t="s">
        <v>71</v>
      </c>
      <c r="E1997" t="s">
        <v>74</v>
      </c>
      <c r="F1997" t="s">
        <v>79</v>
      </c>
    </row>
    <row r="1998" spans="1:6" x14ac:dyDescent="0.45">
      <c r="A1998">
        <v>0</v>
      </c>
      <c r="B1998">
        <v>13</v>
      </c>
      <c r="C1998">
        <v>700</v>
      </c>
      <c r="D1998" t="s">
        <v>71</v>
      </c>
      <c r="E1998" t="s">
        <v>74</v>
      </c>
      <c r="F1998" t="s">
        <v>79</v>
      </c>
    </row>
    <row r="1999" spans="1:6" x14ac:dyDescent="0.45">
      <c r="A1999">
        <v>40</v>
      </c>
      <c r="B1999">
        <v>13</v>
      </c>
      <c r="C1999">
        <v>856</v>
      </c>
      <c r="D1999" t="s">
        <v>76</v>
      </c>
      <c r="E1999" t="s">
        <v>74</v>
      </c>
      <c r="F1999" t="s">
        <v>79</v>
      </c>
    </row>
    <row r="2000" spans="1:6" x14ac:dyDescent="0.45">
      <c r="A2000">
        <v>50</v>
      </c>
      <c r="B2000">
        <v>13</v>
      </c>
      <c r="C2000">
        <v>1000</v>
      </c>
      <c r="D2000" t="s">
        <v>71</v>
      </c>
      <c r="E2000" t="s">
        <v>72</v>
      </c>
      <c r="F2000" t="s">
        <v>79</v>
      </c>
    </row>
    <row r="2001" spans="1:6" x14ac:dyDescent="0.45">
      <c r="A2001">
        <v>40</v>
      </c>
      <c r="B2001">
        <v>13</v>
      </c>
      <c r="C2001">
        <v>1120</v>
      </c>
      <c r="D2001" t="s">
        <v>76</v>
      </c>
      <c r="E2001" t="s">
        <v>72</v>
      </c>
      <c r="F2001" t="s">
        <v>79</v>
      </c>
    </row>
    <row r="2002" spans="1:6" x14ac:dyDescent="0.45">
      <c r="A2002">
        <v>40</v>
      </c>
      <c r="B2002">
        <v>13</v>
      </c>
      <c r="C2002">
        <v>1950</v>
      </c>
      <c r="D2002" t="s">
        <v>71</v>
      </c>
      <c r="E2002" t="s">
        <v>72</v>
      </c>
      <c r="F2002" t="s">
        <v>79</v>
      </c>
    </row>
    <row r="2003" spans="1:6" x14ac:dyDescent="0.45">
      <c r="A2003">
        <v>40</v>
      </c>
      <c r="B2003">
        <v>13</v>
      </c>
      <c r="C2003">
        <v>2000</v>
      </c>
      <c r="D2003" t="s">
        <v>71</v>
      </c>
      <c r="E2003" t="s">
        <v>74</v>
      </c>
      <c r="F2003" t="s">
        <v>79</v>
      </c>
    </row>
    <row r="2004" spans="1:6" x14ac:dyDescent="0.45">
      <c r="A2004">
        <v>40</v>
      </c>
      <c r="B2004">
        <v>13</v>
      </c>
      <c r="C2004">
        <v>2300</v>
      </c>
      <c r="D2004" t="s">
        <v>76</v>
      </c>
      <c r="E2004" t="s">
        <v>72</v>
      </c>
      <c r="F2004" t="s">
        <v>79</v>
      </c>
    </row>
    <row r="2005" spans="1:6" x14ac:dyDescent="0.45">
      <c r="A2005">
        <v>58</v>
      </c>
      <c r="B2005">
        <v>13</v>
      </c>
      <c r="C2005">
        <v>2343</v>
      </c>
      <c r="D2005" t="s">
        <v>71</v>
      </c>
      <c r="E2005" t="s">
        <v>72</v>
      </c>
      <c r="F2005" t="s">
        <v>79</v>
      </c>
    </row>
    <row r="2006" spans="1:6" x14ac:dyDescent="0.45">
      <c r="A2006">
        <v>45</v>
      </c>
      <c r="B2006">
        <v>13</v>
      </c>
      <c r="C2006">
        <v>2445</v>
      </c>
      <c r="D2006" t="s">
        <v>71</v>
      </c>
      <c r="E2006" t="s">
        <v>72</v>
      </c>
      <c r="F2006" t="s">
        <v>79</v>
      </c>
    </row>
    <row r="2007" spans="1:6" x14ac:dyDescent="0.45">
      <c r="A2007">
        <v>38</v>
      </c>
      <c r="B2007">
        <v>13</v>
      </c>
      <c r="C2007">
        <v>2800</v>
      </c>
      <c r="D2007" t="s">
        <v>71</v>
      </c>
      <c r="E2007" t="s">
        <v>72</v>
      </c>
      <c r="F2007" t="s">
        <v>79</v>
      </c>
    </row>
    <row r="2008" spans="1:6" x14ac:dyDescent="0.45">
      <c r="A2008">
        <v>40</v>
      </c>
      <c r="B2008">
        <v>13</v>
      </c>
      <c r="C2008">
        <v>2862</v>
      </c>
      <c r="D2008" t="s">
        <v>76</v>
      </c>
      <c r="E2008" t="s">
        <v>72</v>
      </c>
      <c r="F2008" t="s">
        <v>79</v>
      </c>
    </row>
    <row r="2009" spans="1:6" x14ac:dyDescent="0.45">
      <c r="A2009">
        <v>40</v>
      </c>
      <c r="B2009">
        <v>13</v>
      </c>
      <c r="C2009">
        <v>3000</v>
      </c>
      <c r="D2009" t="s">
        <v>76</v>
      </c>
      <c r="E2009" t="s">
        <v>74</v>
      </c>
      <c r="F2009" t="s">
        <v>79</v>
      </c>
    </row>
    <row r="2010" spans="1:6" x14ac:dyDescent="0.45">
      <c r="A2010">
        <v>45</v>
      </c>
      <c r="B2010">
        <v>13</v>
      </c>
      <c r="C2010">
        <v>3000</v>
      </c>
      <c r="D2010" t="s">
        <v>71</v>
      </c>
      <c r="E2010" t="s">
        <v>74</v>
      </c>
      <c r="F2010" t="s">
        <v>79</v>
      </c>
    </row>
    <row r="2011" spans="1:6" x14ac:dyDescent="0.45">
      <c r="A2011">
        <v>40</v>
      </c>
      <c r="B2011">
        <v>13</v>
      </c>
      <c r="C2011">
        <v>3000</v>
      </c>
      <c r="D2011" t="s">
        <v>71</v>
      </c>
      <c r="E2011" t="s">
        <v>74</v>
      </c>
      <c r="F2011" t="s">
        <v>79</v>
      </c>
    </row>
    <row r="2012" spans="1:6" x14ac:dyDescent="0.45">
      <c r="A2012">
        <v>40</v>
      </c>
      <c r="B2012">
        <v>13</v>
      </c>
      <c r="C2012">
        <v>3376</v>
      </c>
      <c r="D2012" t="s">
        <v>76</v>
      </c>
      <c r="E2012" t="s">
        <v>72</v>
      </c>
      <c r="F2012" t="s">
        <v>79</v>
      </c>
    </row>
    <row r="2013" spans="1:6" x14ac:dyDescent="0.45">
      <c r="A2013">
        <v>40</v>
      </c>
      <c r="B2013">
        <v>13</v>
      </c>
      <c r="C2013">
        <v>3600</v>
      </c>
      <c r="D2013" t="s">
        <v>71</v>
      </c>
      <c r="E2013" t="s">
        <v>72</v>
      </c>
      <c r="F2013" t="s">
        <v>79</v>
      </c>
    </row>
    <row r="2014" spans="1:6" x14ac:dyDescent="0.45">
      <c r="A2014">
        <v>40</v>
      </c>
      <c r="B2014">
        <v>13</v>
      </c>
      <c r="C2014">
        <v>3600</v>
      </c>
      <c r="D2014" t="s">
        <v>71</v>
      </c>
      <c r="E2014" t="s">
        <v>72</v>
      </c>
      <c r="F2014" t="s">
        <v>79</v>
      </c>
    </row>
    <row r="2015" spans="1:6" x14ac:dyDescent="0.45">
      <c r="A2015">
        <v>40</v>
      </c>
      <c r="B2015">
        <v>13</v>
      </c>
      <c r="C2015">
        <v>3800</v>
      </c>
      <c r="D2015" t="s">
        <v>71</v>
      </c>
      <c r="E2015" t="s">
        <v>74</v>
      </c>
      <c r="F2015" t="s">
        <v>79</v>
      </c>
    </row>
    <row r="2016" spans="1:6" x14ac:dyDescent="0.45">
      <c r="A2016">
        <v>45</v>
      </c>
      <c r="B2016">
        <v>13</v>
      </c>
      <c r="C2016">
        <v>4000</v>
      </c>
      <c r="D2016" t="s">
        <v>71</v>
      </c>
      <c r="E2016" t="s">
        <v>74</v>
      </c>
      <c r="F2016" t="s">
        <v>79</v>
      </c>
    </row>
    <row r="2017" spans="1:6" x14ac:dyDescent="0.45">
      <c r="A2017">
        <v>35</v>
      </c>
      <c r="B2017">
        <v>13</v>
      </c>
      <c r="C2017">
        <v>4000</v>
      </c>
      <c r="D2017" t="s">
        <v>71</v>
      </c>
      <c r="E2017" t="s">
        <v>72</v>
      </c>
      <c r="F2017" t="s">
        <v>79</v>
      </c>
    </row>
    <row r="2018" spans="1:6" x14ac:dyDescent="0.45">
      <c r="A2018">
        <v>40</v>
      </c>
      <c r="B2018">
        <v>13</v>
      </c>
      <c r="C2018">
        <v>4000</v>
      </c>
      <c r="D2018" t="s">
        <v>71</v>
      </c>
      <c r="E2018" t="s">
        <v>74</v>
      </c>
      <c r="F2018" t="s">
        <v>79</v>
      </c>
    </row>
    <row r="2019" spans="1:6" x14ac:dyDescent="0.45">
      <c r="A2019">
        <v>40</v>
      </c>
      <c r="B2019">
        <v>13</v>
      </c>
      <c r="C2019">
        <v>4000</v>
      </c>
      <c r="D2019" t="s">
        <v>76</v>
      </c>
      <c r="E2019" t="s">
        <v>74</v>
      </c>
      <c r="F2019" t="s">
        <v>79</v>
      </c>
    </row>
    <row r="2020" spans="1:6" x14ac:dyDescent="0.45">
      <c r="A2020">
        <v>40</v>
      </c>
      <c r="B2020">
        <v>13</v>
      </c>
      <c r="C2020">
        <v>4316</v>
      </c>
      <c r="D2020" t="s">
        <v>71</v>
      </c>
      <c r="E2020" t="s">
        <v>74</v>
      </c>
      <c r="F2020" t="s">
        <v>79</v>
      </c>
    </row>
    <row r="2021" spans="1:6" x14ac:dyDescent="0.45">
      <c r="A2021">
        <v>35</v>
      </c>
      <c r="B2021">
        <v>13</v>
      </c>
      <c r="C2021">
        <v>4900</v>
      </c>
      <c r="D2021" t="s">
        <v>71</v>
      </c>
      <c r="E2021" t="s">
        <v>74</v>
      </c>
      <c r="F2021" t="s">
        <v>79</v>
      </c>
    </row>
    <row r="2022" spans="1:6" x14ac:dyDescent="0.45">
      <c r="A2022">
        <v>40</v>
      </c>
      <c r="B2022">
        <v>13</v>
      </c>
      <c r="C2022">
        <v>5000</v>
      </c>
      <c r="D2022" t="s">
        <v>71</v>
      </c>
      <c r="E2022" t="s">
        <v>74</v>
      </c>
      <c r="F2022" t="s">
        <v>79</v>
      </c>
    </row>
    <row r="2023" spans="1:6" x14ac:dyDescent="0.45">
      <c r="A2023">
        <v>50</v>
      </c>
      <c r="B2023">
        <v>13</v>
      </c>
      <c r="C2023">
        <v>5000</v>
      </c>
      <c r="D2023" t="s">
        <v>76</v>
      </c>
      <c r="E2023" t="s">
        <v>72</v>
      </c>
      <c r="F2023" t="s">
        <v>79</v>
      </c>
    </row>
    <row r="2024" spans="1:6" x14ac:dyDescent="0.45">
      <c r="A2024">
        <v>0</v>
      </c>
      <c r="B2024">
        <v>13</v>
      </c>
      <c r="C2024">
        <v>5000</v>
      </c>
      <c r="D2024" t="s">
        <v>71</v>
      </c>
      <c r="E2024" t="s">
        <v>72</v>
      </c>
      <c r="F2024" t="s">
        <v>79</v>
      </c>
    </row>
    <row r="2025" spans="1:6" x14ac:dyDescent="0.45">
      <c r="A2025">
        <v>47</v>
      </c>
      <c r="B2025">
        <v>13</v>
      </c>
      <c r="C2025">
        <v>5000</v>
      </c>
      <c r="D2025" t="s">
        <v>71</v>
      </c>
      <c r="E2025" t="s">
        <v>72</v>
      </c>
      <c r="F2025" t="s">
        <v>79</v>
      </c>
    </row>
    <row r="2026" spans="1:6" x14ac:dyDescent="0.45">
      <c r="A2026">
        <v>46</v>
      </c>
      <c r="B2026">
        <v>13</v>
      </c>
      <c r="C2026">
        <v>5029</v>
      </c>
      <c r="D2026" t="s">
        <v>71</v>
      </c>
      <c r="E2026" t="s">
        <v>72</v>
      </c>
      <c r="F2026" t="s">
        <v>79</v>
      </c>
    </row>
    <row r="2027" spans="1:6" x14ac:dyDescent="0.45">
      <c r="A2027">
        <v>35</v>
      </c>
      <c r="B2027">
        <v>13</v>
      </c>
      <c r="C2027">
        <v>5100</v>
      </c>
      <c r="D2027" t="s">
        <v>75</v>
      </c>
      <c r="E2027" t="s">
        <v>72</v>
      </c>
      <c r="F2027" t="s">
        <v>79</v>
      </c>
    </row>
    <row r="2028" spans="1:6" x14ac:dyDescent="0.45">
      <c r="A2028">
        <v>40</v>
      </c>
      <c r="B2028">
        <v>13</v>
      </c>
      <c r="C2028">
        <v>5200</v>
      </c>
      <c r="D2028" t="s">
        <v>75</v>
      </c>
      <c r="E2028" t="s">
        <v>74</v>
      </c>
      <c r="F2028" t="s">
        <v>79</v>
      </c>
    </row>
    <row r="2029" spans="1:6" x14ac:dyDescent="0.45">
      <c r="A2029">
        <v>40</v>
      </c>
      <c r="B2029">
        <v>13</v>
      </c>
      <c r="C2029">
        <v>5500</v>
      </c>
      <c r="D2029" t="s">
        <v>76</v>
      </c>
      <c r="E2029" t="s">
        <v>74</v>
      </c>
      <c r="F2029" t="s">
        <v>79</v>
      </c>
    </row>
    <row r="2030" spans="1:6" x14ac:dyDescent="0.45">
      <c r="A2030">
        <v>45</v>
      </c>
      <c r="B2030">
        <v>13</v>
      </c>
      <c r="C2030">
        <v>6000</v>
      </c>
      <c r="D2030" t="s">
        <v>71</v>
      </c>
      <c r="E2030" t="s">
        <v>74</v>
      </c>
      <c r="F2030" t="s">
        <v>79</v>
      </c>
    </row>
    <row r="2031" spans="1:6" x14ac:dyDescent="0.45">
      <c r="A2031">
        <v>35</v>
      </c>
      <c r="B2031">
        <v>13</v>
      </c>
      <c r="C2031">
        <v>6000</v>
      </c>
      <c r="D2031" t="s">
        <v>71</v>
      </c>
      <c r="E2031" t="s">
        <v>72</v>
      </c>
      <c r="F2031" t="s">
        <v>79</v>
      </c>
    </row>
    <row r="2032" spans="1:6" x14ac:dyDescent="0.45">
      <c r="A2032">
        <v>0</v>
      </c>
      <c r="B2032">
        <v>13</v>
      </c>
      <c r="C2032">
        <v>6000</v>
      </c>
      <c r="D2032" t="s">
        <v>71</v>
      </c>
      <c r="E2032" t="s">
        <v>74</v>
      </c>
      <c r="F2032" t="s">
        <v>79</v>
      </c>
    </row>
    <row r="2033" spans="1:6" x14ac:dyDescent="0.45">
      <c r="A2033">
        <v>40</v>
      </c>
      <c r="B2033">
        <v>13</v>
      </c>
      <c r="C2033">
        <v>6000</v>
      </c>
      <c r="D2033" t="s">
        <v>71</v>
      </c>
      <c r="E2033" t="s">
        <v>72</v>
      </c>
      <c r="F2033" t="s">
        <v>79</v>
      </c>
    </row>
    <row r="2034" spans="1:6" x14ac:dyDescent="0.45">
      <c r="A2034">
        <v>40</v>
      </c>
      <c r="B2034">
        <v>13</v>
      </c>
      <c r="C2034">
        <v>6000</v>
      </c>
      <c r="D2034" t="s">
        <v>76</v>
      </c>
      <c r="E2034" t="s">
        <v>74</v>
      </c>
      <c r="F2034" t="s">
        <v>79</v>
      </c>
    </row>
    <row r="2035" spans="1:6" x14ac:dyDescent="0.45">
      <c r="A2035">
        <v>40</v>
      </c>
      <c r="B2035">
        <v>13</v>
      </c>
      <c r="C2035">
        <v>6000</v>
      </c>
      <c r="D2035" t="s">
        <v>71</v>
      </c>
      <c r="E2035" t="s">
        <v>74</v>
      </c>
      <c r="F2035" t="s">
        <v>79</v>
      </c>
    </row>
    <row r="2036" spans="1:6" x14ac:dyDescent="0.45">
      <c r="A2036">
        <v>40</v>
      </c>
      <c r="B2036">
        <v>13</v>
      </c>
      <c r="C2036">
        <v>6000</v>
      </c>
      <c r="D2036" t="s">
        <v>76</v>
      </c>
      <c r="E2036" t="s">
        <v>72</v>
      </c>
      <c r="F2036" t="s">
        <v>79</v>
      </c>
    </row>
    <row r="2037" spans="1:6" x14ac:dyDescent="0.45">
      <c r="A2037">
        <v>35</v>
      </c>
      <c r="B2037">
        <v>13</v>
      </c>
      <c r="C2037">
        <v>6006</v>
      </c>
      <c r="D2037" t="s">
        <v>71</v>
      </c>
      <c r="E2037" t="s">
        <v>72</v>
      </c>
      <c r="F2037" t="s">
        <v>79</v>
      </c>
    </row>
    <row r="2038" spans="1:6" x14ac:dyDescent="0.45">
      <c r="A2038">
        <v>38</v>
      </c>
      <c r="B2038">
        <v>13</v>
      </c>
      <c r="C2038">
        <v>6344</v>
      </c>
      <c r="D2038" t="s">
        <v>71</v>
      </c>
      <c r="E2038" t="s">
        <v>72</v>
      </c>
      <c r="F2038" t="s">
        <v>79</v>
      </c>
    </row>
    <row r="2039" spans="1:6" x14ac:dyDescent="0.45">
      <c r="A2039">
        <v>40</v>
      </c>
      <c r="B2039">
        <v>13</v>
      </c>
      <c r="C2039">
        <v>6470</v>
      </c>
      <c r="D2039" t="s">
        <v>71</v>
      </c>
      <c r="E2039" t="s">
        <v>72</v>
      </c>
      <c r="F2039" t="s">
        <v>79</v>
      </c>
    </row>
    <row r="2040" spans="1:6" x14ac:dyDescent="0.45">
      <c r="A2040">
        <v>40</v>
      </c>
      <c r="B2040">
        <v>13</v>
      </c>
      <c r="C2040">
        <v>6800</v>
      </c>
      <c r="D2040" t="s">
        <v>76</v>
      </c>
      <c r="E2040" t="s">
        <v>72</v>
      </c>
      <c r="F2040" t="s">
        <v>79</v>
      </c>
    </row>
    <row r="2041" spans="1:6" x14ac:dyDescent="0.45">
      <c r="A2041">
        <v>35</v>
      </c>
      <c r="B2041">
        <v>13</v>
      </c>
      <c r="C2041">
        <v>7000</v>
      </c>
      <c r="D2041" t="s">
        <v>71</v>
      </c>
      <c r="E2041" t="s">
        <v>72</v>
      </c>
      <c r="F2041" t="s">
        <v>79</v>
      </c>
    </row>
    <row r="2042" spans="1:6" x14ac:dyDescent="0.45">
      <c r="A2042">
        <v>46</v>
      </c>
      <c r="B2042">
        <v>13</v>
      </c>
      <c r="C2042">
        <v>7000</v>
      </c>
      <c r="D2042" t="s">
        <v>71</v>
      </c>
      <c r="E2042" t="s">
        <v>72</v>
      </c>
      <c r="F2042" t="s">
        <v>79</v>
      </c>
    </row>
    <row r="2043" spans="1:6" x14ac:dyDescent="0.45">
      <c r="A2043">
        <v>52</v>
      </c>
      <c r="B2043">
        <v>13</v>
      </c>
      <c r="C2043">
        <v>7000</v>
      </c>
      <c r="D2043" t="s">
        <v>71</v>
      </c>
      <c r="E2043" t="s">
        <v>72</v>
      </c>
      <c r="F2043" t="s">
        <v>79</v>
      </c>
    </row>
    <row r="2044" spans="1:6" x14ac:dyDescent="0.45">
      <c r="A2044">
        <v>35</v>
      </c>
      <c r="B2044">
        <v>13</v>
      </c>
      <c r="C2044">
        <v>7000</v>
      </c>
      <c r="D2044" t="s">
        <v>71</v>
      </c>
      <c r="E2044" t="s">
        <v>74</v>
      </c>
      <c r="F2044" t="s">
        <v>79</v>
      </c>
    </row>
    <row r="2045" spans="1:6" x14ac:dyDescent="0.45">
      <c r="A2045">
        <v>40</v>
      </c>
      <c r="B2045">
        <v>13</v>
      </c>
      <c r="C2045">
        <v>7000</v>
      </c>
      <c r="D2045" t="s">
        <v>71</v>
      </c>
      <c r="E2045" t="s">
        <v>72</v>
      </c>
      <c r="F2045" t="s">
        <v>79</v>
      </c>
    </row>
    <row r="2046" spans="1:6" x14ac:dyDescent="0.45">
      <c r="A2046">
        <v>40</v>
      </c>
      <c r="B2046">
        <v>13</v>
      </c>
      <c r="C2046">
        <v>7000</v>
      </c>
      <c r="D2046" t="s">
        <v>71</v>
      </c>
      <c r="E2046" t="s">
        <v>72</v>
      </c>
      <c r="F2046" t="s">
        <v>79</v>
      </c>
    </row>
    <row r="2047" spans="1:6" x14ac:dyDescent="0.45">
      <c r="A2047">
        <v>0</v>
      </c>
      <c r="B2047">
        <v>13</v>
      </c>
      <c r="C2047">
        <v>7435</v>
      </c>
      <c r="D2047" t="s">
        <v>71</v>
      </c>
      <c r="E2047" t="s">
        <v>72</v>
      </c>
      <c r="F2047" t="s">
        <v>79</v>
      </c>
    </row>
    <row r="2048" spans="1:6" x14ac:dyDescent="0.45">
      <c r="A2048">
        <v>45</v>
      </c>
      <c r="B2048">
        <v>13</v>
      </c>
      <c r="C2048">
        <v>7500</v>
      </c>
      <c r="D2048" t="s">
        <v>71</v>
      </c>
      <c r="E2048" t="s">
        <v>72</v>
      </c>
      <c r="F2048" t="s">
        <v>79</v>
      </c>
    </row>
    <row r="2049" spans="1:6" x14ac:dyDescent="0.45">
      <c r="A2049">
        <v>50</v>
      </c>
      <c r="B2049">
        <v>13</v>
      </c>
      <c r="C2049">
        <v>7500</v>
      </c>
      <c r="D2049" t="s">
        <v>71</v>
      </c>
      <c r="E2049" t="s">
        <v>74</v>
      </c>
      <c r="F2049" t="s">
        <v>79</v>
      </c>
    </row>
    <row r="2050" spans="1:6" x14ac:dyDescent="0.45">
      <c r="A2050">
        <v>35</v>
      </c>
      <c r="B2050">
        <v>13</v>
      </c>
      <c r="C2050">
        <v>7500</v>
      </c>
      <c r="D2050" t="s">
        <v>71</v>
      </c>
      <c r="E2050" t="s">
        <v>72</v>
      </c>
      <c r="F2050" t="s">
        <v>79</v>
      </c>
    </row>
    <row r="2051" spans="1:6" x14ac:dyDescent="0.45">
      <c r="A2051">
        <v>35</v>
      </c>
      <c r="B2051">
        <v>13</v>
      </c>
      <c r="C2051">
        <v>7612</v>
      </c>
      <c r="D2051" t="s">
        <v>76</v>
      </c>
      <c r="E2051" t="s">
        <v>74</v>
      </c>
      <c r="F2051" t="s">
        <v>79</v>
      </c>
    </row>
    <row r="2052" spans="1:6" x14ac:dyDescent="0.45">
      <c r="A2052">
        <v>40</v>
      </c>
      <c r="B2052">
        <v>13</v>
      </c>
      <c r="C2052">
        <v>8000</v>
      </c>
      <c r="D2052" t="s">
        <v>76</v>
      </c>
      <c r="E2052" t="s">
        <v>74</v>
      </c>
      <c r="F2052" t="s">
        <v>79</v>
      </c>
    </row>
    <row r="2053" spans="1:6" x14ac:dyDescent="0.45">
      <c r="A2053">
        <v>40</v>
      </c>
      <c r="B2053">
        <v>13</v>
      </c>
      <c r="C2053">
        <v>8000</v>
      </c>
      <c r="D2053" t="s">
        <v>71</v>
      </c>
      <c r="E2053" t="s">
        <v>74</v>
      </c>
      <c r="F2053" t="s">
        <v>79</v>
      </c>
    </row>
    <row r="2054" spans="1:6" x14ac:dyDescent="0.45">
      <c r="A2054">
        <v>38</v>
      </c>
      <c r="B2054">
        <v>13</v>
      </c>
      <c r="C2054">
        <v>8000</v>
      </c>
      <c r="D2054" t="s">
        <v>71</v>
      </c>
      <c r="E2054" t="s">
        <v>72</v>
      </c>
      <c r="F2054" t="s">
        <v>79</v>
      </c>
    </row>
    <row r="2055" spans="1:6" x14ac:dyDescent="0.45">
      <c r="A2055">
        <v>40</v>
      </c>
      <c r="B2055">
        <v>13</v>
      </c>
      <c r="C2055">
        <v>8000</v>
      </c>
      <c r="D2055" t="s">
        <v>71</v>
      </c>
      <c r="E2055" t="s">
        <v>74</v>
      </c>
      <c r="F2055" t="s">
        <v>79</v>
      </c>
    </row>
    <row r="2056" spans="1:6" x14ac:dyDescent="0.45">
      <c r="A2056">
        <v>40</v>
      </c>
      <c r="B2056">
        <v>13</v>
      </c>
      <c r="C2056">
        <v>8000</v>
      </c>
      <c r="D2056" t="s">
        <v>71</v>
      </c>
      <c r="E2056" t="s">
        <v>72</v>
      </c>
      <c r="F2056" t="s">
        <v>79</v>
      </c>
    </row>
    <row r="2057" spans="1:6" x14ac:dyDescent="0.45">
      <c r="A2057">
        <v>40</v>
      </c>
      <c r="B2057">
        <v>13</v>
      </c>
      <c r="C2057">
        <v>8000</v>
      </c>
      <c r="D2057" t="s">
        <v>71</v>
      </c>
      <c r="E2057" t="s">
        <v>74</v>
      </c>
      <c r="F2057" t="s">
        <v>79</v>
      </c>
    </row>
    <row r="2058" spans="1:6" x14ac:dyDescent="0.45">
      <c r="A2058">
        <v>55</v>
      </c>
      <c r="B2058">
        <v>13</v>
      </c>
      <c r="C2058">
        <v>8000</v>
      </c>
      <c r="D2058" t="s">
        <v>71</v>
      </c>
      <c r="E2058" t="s">
        <v>72</v>
      </c>
      <c r="F2058" t="s">
        <v>79</v>
      </c>
    </row>
    <row r="2059" spans="1:6" x14ac:dyDescent="0.45">
      <c r="A2059">
        <v>0</v>
      </c>
      <c r="B2059">
        <v>13</v>
      </c>
      <c r="C2059">
        <v>8000</v>
      </c>
      <c r="D2059" t="s">
        <v>71</v>
      </c>
      <c r="E2059" t="s">
        <v>72</v>
      </c>
      <c r="F2059" t="s">
        <v>79</v>
      </c>
    </row>
    <row r="2060" spans="1:6" x14ac:dyDescent="0.45">
      <c r="A2060">
        <v>40</v>
      </c>
      <c r="B2060">
        <v>13</v>
      </c>
      <c r="C2060">
        <v>8000</v>
      </c>
      <c r="D2060" t="s">
        <v>71</v>
      </c>
      <c r="E2060" t="s">
        <v>72</v>
      </c>
      <c r="F2060" t="s">
        <v>79</v>
      </c>
    </row>
    <row r="2061" spans="1:6" x14ac:dyDescent="0.45">
      <c r="A2061">
        <v>40</v>
      </c>
      <c r="B2061">
        <v>13</v>
      </c>
      <c r="C2061">
        <v>8320</v>
      </c>
      <c r="D2061" t="s">
        <v>71</v>
      </c>
      <c r="E2061" t="s">
        <v>74</v>
      </c>
      <c r="F2061" t="s">
        <v>79</v>
      </c>
    </row>
    <row r="2062" spans="1:6" x14ac:dyDescent="0.45">
      <c r="A2062">
        <v>40</v>
      </c>
      <c r="B2062">
        <v>13</v>
      </c>
      <c r="C2062">
        <v>8500</v>
      </c>
      <c r="D2062" t="s">
        <v>71</v>
      </c>
      <c r="E2062" t="s">
        <v>72</v>
      </c>
      <c r="F2062" t="s">
        <v>79</v>
      </c>
    </row>
    <row r="2063" spans="1:6" x14ac:dyDescent="0.45">
      <c r="A2063">
        <v>40</v>
      </c>
      <c r="B2063">
        <v>13</v>
      </c>
      <c r="C2063">
        <v>8593</v>
      </c>
      <c r="D2063" t="s">
        <v>71</v>
      </c>
      <c r="E2063" t="s">
        <v>72</v>
      </c>
      <c r="F2063" t="s">
        <v>79</v>
      </c>
    </row>
    <row r="2064" spans="1:6" x14ac:dyDescent="0.45">
      <c r="A2064">
        <v>40</v>
      </c>
      <c r="B2064">
        <v>13</v>
      </c>
      <c r="C2064">
        <v>8700</v>
      </c>
      <c r="D2064" t="s">
        <v>71</v>
      </c>
      <c r="E2064" t="s">
        <v>72</v>
      </c>
      <c r="F2064" t="s">
        <v>79</v>
      </c>
    </row>
    <row r="2065" spans="1:6" x14ac:dyDescent="0.45">
      <c r="A2065">
        <v>40</v>
      </c>
      <c r="B2065">
        <v>13</v>
      </c>
      <c r="C2065">
        <v>8700</v>
      </c>
      <c r="D2065" t="s">
        <v>71</v>
      </c>
      <c r="E2065" t="s">
        <v>72</v>
      </c>
      <c r="F2065" t="s">
        <v>79</v>
      </c>
    </row>
    <row r="2066" spans="1:6" x14ac:dyDescent="0.45">
      <c r="A2066">
        <v>45</v>
      </c>
      <c r="B2066">
        <v>13</v>
      </c>
      <c r="C2066">
        <v>8840</v>
      </c>
      <c r="D2066" t="s">
        <v>71</v>
      </c>
      <c r="E2066" t="s">
        <v>72</v>
      </c>
      <c r="F2066" t="s">
        <v>79</v>
      </c>
    </row>
    <row r="2067" spans="1:6" x14ac:dyDescent="0.45">
      <c r="A2067">
        <v>40</v>
      </c>
      <c r="B2067">
        <v>13</v>
      </c>
      <c r="C2067">
        <v>9000</v>
      </c>
      <c r="D2067" t="s">
        <v>71</v>
      </c>
      <c r="E2067" t="s">
        <v>72</v>
      </c>
      <c r="F2067" t="s">
        <v>79</v>
      </c>
    </row>
    <row r="2068" spans="1:6" x14ac:dyDescent="0.45">
      <c r="A2068">
        <v>40</v>
      </c>
      <c r="B2068">
        <v>13</v>
      </c>
      <c r="C2068">
        <v>9000</v>
      </c>
      <c r="D2068" t="s">
        <v>76</v>
      </c>
      <c r="E2068" t="s">
        <v>72</v>
      </c>
      <c r="F2068" t="s">
        <v>79</v>
      </c>
    </row>
    <row r="2069" spans="1:6" x14ac:dyDescent="0.45">
      <c r="A2069">
        <v>60</v>
      </c>
      <c r="B2069">
        <v>13</v>
      </c>
      <c r="C2069">
        <v>9000</v>
      </c>
      <c r="D2069" t="s">
        <v>71</v>
      </c>
      <c r="E2069" t="s">
        <v>72</v>
      </c>
      <c r="F2069" t="s">
        <v>79</v>
      </c>
    </row>
    <row r="2070" spans="1:6" x14ac:dyDescent="0.45">
      <c r="A2070">
        <v>35</v>
      </c>
      <c r="B2070">
        <v>13</v>
      </c>
      <c r="C2070">
        <v>9000</v>
      </c>
      <c r="D2070" t="s">
        <v>71</v>
      </c>
      <c r="E2070" t="s">
        <v>72</v>
      </c>
      <c r="F2070" t="s">
        <v>79</v>
      </c>
    </row>
    <row r="2071" spans="1:6" x14ac:dyDescent="0.45">
      <c r="A2071">
        <v>40</v>
      </c>
      <c r="B2071">
        <v>13</v>
      </c>
      <c r="C2071">
        <v>9000</v>
      </c>
      <c r="D2071" t="s">
        <v>71</v>
      </c>
      <c r="E2071" t="s">
        <v>72</v>
      </c>
      <c r="F2071" t="s">
        <v>79</v>
      </c>
    </row>
    <row r="2072" spans="1:6" x14ac:dyDescent="0.45">
      <c r="A2072">
        <v>40</v>
      </c>
      <c r="B2072">
        <v>13</v>
      </c>
      <c r="C2072">
        <v>9200</v>
      </c>
      <c r="D2072" t="s">
        <v>76</v>
      </c>
      <c r="E2072" t="s">
        <v>72</v>
      </c>
      <c r="F2072" t="s">
        <v>79</v>
      </c>
    </row>
    <row r="2073" spans="1:6" x14ac:dyDescent="0.45">
      <c r="A2073">
        <v>40</v>
      </c>
      <c r="B2073">
        <v>13</v>
      </c>
      <c r="C2073">
        <v>9520</v>
      </c>
      <c r="D2073" t="s">
        <v>71</v>
      </c>
      <c r="E2073" t="s">
        <v>74</v>
      </c>
      <c r="F2073" t="s">
        <v>79</v>
      </c>
    </row>
    <row r="2074" spans="1:6" x14ac:dyDescent="0.45">
      <c r="A2074">
        <v>40</v>
      </c>
      <c r="B2074">
        <v>13</v>
      </c>
      <c r="C2074">
        <v>9600</v>
      </c>
      <c r="D2074" t="s">
        <v>76</v>
      </c>
      <c r="E2074" t="s">
        <v>72</v>
      </c>
      <c r="F2074" t="s">
        <v>79</v>
      </c>
    </row>
    <row r="2075" spans="1:6" x14ac:dyDescent="0.45">
      <c r="A2075">
        <v>0</v>
      </c>
      <c r="B2075">
        <v>13</v>
      </c>
      <c r="C2075">
        <v>9650</v>
      </c>
      <c r="D2075" t="s">
        <v>71</v>
      </c>
      <c r="E2075" t="s">
        <v>74</v>
      </c>
      <c r="F2075" t="s">
        <v>79</v>
      </c>
    </row>
    <row r="2076" spans="1:6" x14ac:dyDescent="0.45">
      <c r="A2076">
        <v>48</v>
      </c>
      <c r="B2076">
        <v>13</v>
      </c>
      <c r="C2076">
        <v>9680</v>
      </c>
      <c r="D2076" t="s">
        <v>71</v>
      </c>
      <c r="E2076" t="s">
        <v>74</v>
      </c>
      <c r="F2076" t="s">
        <v>79</v>
      </c>
    </row>
    <row r="2077" spans="1:6" x14ac:dyDescent="0.45">
      <c r="A2077">
        <v>36</v>
      </c>
      <c r="B2077">
        <v>13</v>
      </c>
      <c r="C2077">
        <v>9797</v>
      </c>
      <c r="D2077" t="s">
        <v>71</v>
      </c>
      <c r="E2077" t="s">
        <v>72</v>
      </c>
      <c r="F2077" t="s">
        <v>79</v>
      </c>
    </row>
    <row r="2078" spans="1:6" x14ac:dyDescent="0.45">
      <c r="A2078">
        <v>40</v>
      </c>
      <c r="B2078">
        <v>13</v>
      </c>
      <c r="C2078">
        <v>9800</v>
      </c>
      <c r="D2078" t="s">
        <v>77</v>
      </c>
      <c r="E2078" t="s">
        <v>72</v>
      </c>
      <c r="F2078" t="s">
        <v>79</v>
      </c>
    </row>
    <row r="2079" spans="1:6" x14ac:dyDescent="0.45">
      <c r="A2079">
        <v>40</v>
      </c>
      <c r="B2079">
        <v>13</v>
      </c>
      <c r="C2079">
        <v>9840</v>
      </c>
      <c r="D2079" t="s">
        <v>71</v>
      </c>
      <c r="E2079" t="s">
        <v>72</v>
      </c>
      <c r="F2079" t="s">
        <v>79</v>
      </c>
    </row>
    <row r="2080" spans="1:6" x14ac:dyDescent="0.45">
      <c r="A2080">
        <v>43</v>
      </c>
      <c r="B2080">
        <v>13</v>
      </c>
      <c r="C2080">
        <v>9874</v>
      </c>
      <c r="D2080" t="s">
        <v>71</v>
      </c>
      <c r="E2080" t="s">
        <v>72</v>
      </c>
      <c r="F2080" t="s">
        <v>79</v>
      </c>
    </row>
    <row r="2081" spans="1:6" x14ac:dyDescent="0.45">
      <c r="A2081">
        <v>50</v>
      </c>
      <c r="B2081">
        <v>13</v>
      </c>
      <c r="C2081">
        <v>10000</v>
      </c>
      <c r="D2081" t="s">
        <v>71</v>
      </c>
      <c r="E2081" t="s">
        <v>72</v>
      </c>
      <c r="F2081" t="s">
        <v>79</v>
      </c>
    </row>
    <row r="2082" spans="1:6" x14ac:dyDescent="0.45">
      <c r="A2082">
        <v>40</v>
      </c>
      <c r="B2082">
        <v>13</v>
      </c>
      <c r="C2082">
        <v>10000</v>
      </c>
      <c r="D2082" t="s">
        <v>71</v>
      </c>
      <c r="E2082" t="s">
        <v>74</v>
      </c>
      <c r="F2082" t="s">
        <v>79</v>
      </c>
    </row>
    <row r="2083" spans="1:6" x14ac:dyDescent="0.45">
      <c r="A2083">
        <v>40</v>
      </c>
      <c r="B2083">
        <v>13</v>
      </c>
      <c r="C2083">
        <v>10000</v>
      </c>
      <c r="D2083" t="s">
        <v>71</v>
      </c>
      <c r="E2083" t="s">
        <v>72</v>
      </c>
      <c r="F2083" t="s">
        <v>79</v>
      </c>
    </row>
    <row r="2084" spans="1:6" x14ac:dyDescent="0.45">
      <c r="A2084">
        <v>40</v>
      </c>
      <c r="B2084">
        <v>13</v>
      </c>
      <c r="C2084">
        <v>10000</v>
      </c>
      <c r="D2084" t="s">
        <v>71</v>
      </c>
      <c r="E2084" t="s">
        <v>74</v>
      </c>
      <c r="F2084" t="s">
        <v>79</v>
      </c>
    </row>
    <row r="2085" spans="1:6" x14ac:dyDescent="0.45">
      <c r="A2085">
        <v>40</v>
      </c>
      <c r="B2085">
        <v>13</v>
      </c>
      <c r="C2085">
        <v>10000</v>
      </c>
      <c r="D2085" t="s">
        <v>71</v>
      </c>
      <c r="E2085" t="s">
        <v>72</v>
      </c>
      <c r="F2085" t="s">
        <v>79</v>
      </c>
    </row>
    <row r="2086" spans="1:6" x14ac:dyDescent="0.45">
      <c r="A2086">
        <v>40</v>
      </c>
      <c r="B2086">
        <v>13</v>
      </c>
      <c r="C2086">
        <v>10000</v>
      </c>
      <c r="D2086" t="s">
        <v>71</v>
      </c>
      <c r="E2086" t="s">
        <v>72</v>
      </c>
      <c r="F2086" t="s">
        <v>79</v>
      </c>
    </row>
    <row r="2087" spans="1:6" x14ac:dyDescent="0.45">
      <c r="A2087">
        <v>40</v>
      </c>
      <c r="B2087">
        <v>13</v>
      </c>
      <c r="C2087">
        <v>10000</v>
      </c>
      <c r="D2087" t="s">
        <v>76</v>
      </c>
      <c r="E2087" t="s">
        <v>72</v>
      </c>
      <c r="F2087" t="s">
        <v>79</v>
      </c>
    </row>
    <row r="2088" spans="1:6" x14ac:dyDescent="0.45">
      <c r="A2088">
        <v>35</v>
      </c>
      <c r="B2088">
        <v>13</v>
      </c>
      <c r="C2088">
        <v>10000</v>
      </c>
      <c r="D2088" t="s">
        <v>71</v>
      </c>
      <c r="E2088" t="s">
        <v>74</v>
      </c>
      <c r="F2088" t="s">
        <v>79</v>
      </c>
    </row>
    <row r="2089" spans="1:6" x14ac:dyDescent="0.45">
      <c r="A2089">
        <v>35</v>
      </c>
      <c r="B2089">
        <v>13</v>
      </c>
      <c r="C2089">
        <v>10000</v>
      </c>
      <c r="D2089" t="s">
        <v>71</v>
      </c>
      <c r="E2089" t="s">
        <v>72</v>
      </c>
      <c r="F2089" t="s">
        <v>79</v>
      </c>
    </row>
    <row r="2090" spans="1:6" x14ac:dyDescent="0.45">
      <c r="A2090">
        <v>40</v>
      </c>
      <c r="B2090">
        <v>13</v>
      </c>
      <c r="C2090">
        <v>10000</v>
      </c>
      <c r="D2090" t="s">
        <v>76</v>
      </c>
      <c r="E2090" t="s">
        <v>72</v>
      </c>
      <c r="F2090" t="s">
        <v>79</v>
      </c>
    </row>
    <row r="2091" spans="1:6" x14ac:dyDescent="0.45">
      <c r="A2091">
        <v>52</v>
      </c>
      <c r="B2091">
        <v>13</v>
      </c>
      <c r="C2091">
        <v>10000</v>
      </c>
      <c r="D2091" t="s">
        <v>76</v>
      </c>
      <c r="E2091" t="s">
        <v>74</v>
      </c>
      <c r="F2091" t="s">
        <v>79</v>
      </c>
    </row>
    <row r="2092" spans="1:6" x14ac:dyDescent="0.45">
      <c r="A2092">
        <v>0</v>
      </c>
      <c r="B2092">
        <v>13</v>
      </c>
      <c r="C2092">
        <v>10000</v>
      </c>
      <c r="D2092" t="s">
        <v>71</v>
      </c>
      <c r="E2092" t="s">
        <v>72</v>
      </c>
      <c r="F2092" t="s">
        <v>79</v>
      </c>
    </row>
    <row r="2093" spans="1:6" x14ac:dyDescent="0.45">
      <c r="A2093">
        <v>46</v>
      </c>
      <c r="B2093">
        <v>13</v>
      </c>
      <c r="C2093">
        <v>10334</v>
      </c>
      <c r="D2093" t="s">
        <v>71</v>
      </c>
      <c r="E2093" t="s">
        <v>72</v>
      </c>
      <c r="F2093" t="s">
        <v>79</v>
      </c>
    </row>
    <row r="2094" spans="1:6" x14ac:dyDescent="0.45">
      <c r="A2094">
        <v>40</v>
      </c>
      <c r="B2094">
        <v>13</v>
      </c>
      <c r="C2094">
        <v>10400</v>
      </c>
      <c r="D2094" t="s">
        <v>71</v>
      </c>
      <c r="E2094" t="s">
        <v>72</v>
      </c>
      <c r="F2094" t="s">
        <v>79</v>
      </c>
    </row>
    <row r="2095" spans="1:6" x14ac:dyDescent="0.45">
      <c r="A2095">
        <v>40</v>
      </c>
      <c r="B2095">
        <v>13</v>
      </c>
      <c r="C2095">
        <v>10400</v>
      </c>
      <c r="D2095" t="s">
        <v>71</v>
      </c>
      <c r="E2095" t="s">
        <v>72</v>
      </c>
      <c r="F2095" t="s">
        <v>79</v>
      </c>
    </row>
    <row r="2096" spans="1:6" x14ac:dyDescent="0.45">
      <c r="A2096">
        <v>40</v>
      </c>
      <c r="B2096">
        <v>13</v>
      </c>
      <c r="C2096">
        <v>10400</v>
      </c>
      <c r="D2096" t="s">
        <v>71</v>
      </c>
      <c r="E2096" t="s">
        <v>74</v>
      </c>
      <c r="F2096" t="s">
        <v>79</v>
      </c>
    </row>
    <row r="2097" spans="1:6" x14ac:dyDescent="0.45">
      <c r="A2097">
        <v>40</v>
      </c>
      <c r="B2097">
        <v>13</v>
      </c>
      <c r="C2097">
        <v>10452</v>
      </c>
      <c r="D2097" t="s">
        <v>71</v>
      </c>
      <c r="E2097" t="s">
        <v>72</v>
      </c>
      <c r="F2097" t="s">
        <v>79</v>
      </c>
    </row>
    <row r="2098" spans="1:6" x14ac:dyDescent="0.45">
      <c r="A2098">
        <v>0</v>
      </c>
      <c r="B2098">
        <v>13</v>
      </c>
      <c r="C2098">
        <v>10500</v>
      </c>
      <c r="D2098" t="s">
        <v>71</v>
      </c>
      <c r="E2098" t="s">
        <v>72</v>
      </c>
      <c r="F2098" t="s">
        <v>79</v>
      </c>
    </row>
    <row r="2099" spans="1:6" x14ac:dyDescent="0.45">
      <c r="A2099">
        <v>35</v>
      </c>
      <c r="B2099">
        <v>13</v>
      </c>
      <c r="C2099">
        <v>11000</v>
      </c>
      <c r="D2099" t="s">
        <v>71</v>
      </c>
      <c r="E2099" t="s">
        <v>72</v>
      </c>
      <c r="F2099" t="s">
        <v>79</v>
      </c>
    </row>
    <row r="2100" spans="1:6" x14ac:dyDescent="0.45">
      <c r="A2100">
        <v>40</v>
      </c>
      <c r="B2100">
        <v>13</v>
      </c>
      <c r="C2100">
        <v>11000</v>
      </c>
      <c r="D2100" t="s">
        <v>76</v>
      </c>
      <c r="E2100" t="s">
        <v>72</v>
      </c>
      <c r="F2100" t="s">
        <v>79</v>
      </c>
    </row>
    <row r="2101" spans="1:6" x14ac:dyDescent="0.45">
      <c r="A2101">
        <v>38</v>
      </c>
      <c r="B2101">
        <v>13</v>
      </c>
      <c r="C2101">
        <v>11000</v>
      </c>
      <c r="D2101" t="s">
        <v>71</v>
      </c>
      <c r="E2101" t="s">
        <v>72</v>
      </c>
      <c r="F2101" t="s">
        <v>79</v>
      </c>
    </row>
    <row r="2102" spans="1:6" x14ac:dyDescent="0.45">
      <c r="A2102">
        <v>40</v>
      </c>
      <c r="B2102">
        <v>13</v>
      </c>
      <c r="C2102">
        <v>11000</v>
      </c>
      <c r="D2102" t="s">
        <v>71</v>
      </c>
      <c r="E2102" t="s">
        <v>72</v>
      </c>
      <c r="F2102" t="s">
        <v>79</v>
      </c>
    </row>
    <row r="2103" spans="1:6" x14ac:dyDescent="0.45">
      <c r="A2103">
        <v>40</v>
      </c>
      <c r="B2103">
        <v>13</v>
      </c>
      <c r="C2103">
        <v>11000</v>
      </c>
      <c r="D2103" t="s">
        <v>71</v>
      </c>
      <c r="E2103" t="s">
        <v>72</v>
      </c>
      <c r="F2103" t="s">
        <v>79</v>
      </c>
    </row>
    <row r="2104" spans="1:6" x14ac:dyDescent="0.45">
      <c r="A2104">
        <v>40</v>
      </c>
      <c r="B2104">
        <v>13</v>
      </c>
      <c r="C2104">
        <v>11000</v>
      </c>
      <c r="D2104" t="s">
        <v>71</v>
      </c>
      <c r="E2104" t="s">
        <v>74</v>
      </c>
      <c r="F2104" t="s">
        <v>79</v>
      </c>
    </row>
    <row r="2105" spans="1:6" x14ac:dyDescent="0.45">
      <c r="A2105">
        <v>0</v>
      </c>
      <c r="B2105">
        <v>13</v>
      </c>
      <c r="C2105">
        <v>11000</v>
      </c>
      <c r="D2105" t="s">
        <v>71</v>
      </c>
      <c r="E2105" t="s">
        <v>72</v>
      </c>
      <c r="F2105" t="s">
        <v>79</v>
      </c>
    </row>
    <row r="2106" spans="1:6" x14ac:dyDescent="0.45">
      <c r="A2106">
        <v>80</v>
      </c>
      <c r="B2106">
        <v>13</v>
      </c>
      <c r="C2106">
        <v>11000</v>
      </c>
      <c r="D2106" t="s">
        <v>71</v>
      </c>
      <c r="E2106" t="s">
        <v>72</v>
      </c>
      <c r="F2106" t="s">
        <v>79</v>
      </c>
    </row>
    <row r="2107" spans="1:6" x14ac:dyDescent="0.45">
      <c r="A2107">
        <v>40</v>
      </c>
      <c r="B2107">
        <v>13</v>
      </c>
      <c r="C2107">
        <v>11000</v>
      </c>
      <c r="D2107" t="s">
        <v>71</v>
      </c>
      <c r="E2107" t="s">
        <v>74</v>
      </c>
      <c r="F2107" t="s">
        <v>79</v>
      </c>
    </row>
    <row r="2108" spans="1:6" x14ac:dyDescent="0.45">
      <c r="A2108">
        <v>40</v>
      </c>
      <c r="B2108">
        <v>13</v>
      </c>
      <c r="C2108">
        <v>11000</v>
      </c>
      <c r="D2108" t="s">
        <v>71</v>
      </c>
      <c r="E2108" t="s">
        <v>72</v>
      </c>
      <c r="F2108" t="s">
        <v>79</v>
      </c>
    </row>
    <row r="2109" spans="1:6" x14ac:dyDescent="0.45">
      <c r="A2109">
        <v>40</v>
      </c>
      <c r="B2109">
        <v>13</v>
      </c>
      <c r="C2109">
        <v>11000</v>
      </c>
      <c r="D2109" t="s">
        <v>71</v>
      </c>
      <c r="E2109" t="s">
        <v>72</v>
      </c>
      <c r="F2109" t="s">
        <v>79</v>
      </c>
    </row>
    <row r="2110" spans="1:6" x14ac:dyDescent="0.45">
      <c r="A2110">
        <v>40</v>
      </c>
      <c r="B2110">
        <v>13</v>
      </c>
      <c r="C2110">
        <v>11000</v>
      </c>
      <c r="D2110" t="s">
        <v>71</v>
      </c>
      <c r="E2110" t="s">
        <v>72</v>
      </c>
      <c r="F2110" t="s">
        <v>79</v>
      </c>
    </row>
    <row r="2111" spans="1:6" x14ac:dyDescent="0.45">
      <c r="A2111">
        <v>40</v>
      </c>
      <c r="B2111">
        <v>13</v>
      </c>
      <c r="C2111">
        <v>11000</v>
      </c>
      <c r="D2111" t="s">
        <v>71</v>
      </c>
      <c r="E2111" t="s">
        <v>72</v>
      </c>
      <c r="F2111" t="s">
        <v>79</v>
      </c>
    </row>
    <row r="2112" spans="1:6" x14ac:dyDescent="0.45">
      <c r="A2112">
        <v>36</v>
      </c>
      <c r="B2112">
        <v>13</v>
      </c>
      <c r="C2112">
        <v>11000</v>
      </c>
      <c r="D2112" t="s">
        <v>71</v>
      </c>
      <c r="E2112" t="s">
        <v>74</v>
      </c>
      <c r="F2112" t="s">
        <v>79</v>
      </c>
    </row>
    <row r="2113" spans="1:6" x14ac:dyDescent="0.45">
      <c r="A2113">
        <v>40</v>
      </c>
      <c r="B2113">
        <v>13</v>
      </c>
      <c r="C2113">
        <v>11200</v>
      </c>
      <c r="D2113" t="s">
        <v>71</v>
      </c>
      <c r="E2113" t="s">
        <v>72</v>
      </c>
      <c r="F2113" t="s">
        <v>79</v>
      </c>
    </row>
    <row r="2114" spans="1:6" x14ac:dyDescent="0.45">
      <c r="A2114">
        <v>36</v>
      </c>
      <c r="B2114">
        <v>13</v>
      </c>
      <c r="C2114">
        <v>11500</v>
      </c>
      <c r="D2114" t="s">
        <v>71</v>
      </c>
      <c r="E2114" t="s">
        <v>72</v>
      </c>
      <c r="F2114" t="s">
        <v>79</v>
      </c>
    </row>
    <row r="2115" spans="1:6" x14ac:dyDescent="0.45">
      <c r="A2115">
        <v>60</v>
      </c>
      <c r="B2115">
        <v>13</v>
      </c>
      <c r="C2115">
        <v>11580</v>
      </c>
      <c r="D2115" t="s">
        <v>71</v>
      </c>
      <c r="E2115" t="s">
        <v>72</v>
      </c>
      <c r="F2115" t="s">
        <v>79</v>
      </c>
    </row>
    <row r="2116" spans="1:6" x14ac:dyDescent="0.45">
      <c r="A2116">
        <v>40</v>
      </c>
      <c r="B2116">
        <v>13</v>
      </c>
      <c r="C2116">
        <v>11700</v>
      </c>
      <c r="D2116" t="s">
        <v>71</v>
      </c>
      <c r="E2116" t="s">
        <v>74</v>
      </c>
      <c r="F2116" t="s">
        <v>79</v>
      </c>
    </row>
    <row r="2117" spans="1:6" x14ac:dyDescent="0.45">
      <c r="A2117">
        <v>40</v>
      </c>
      <c r="B2117">
        <v>13</v>
      </c>
      <c r="C2117">
        <v>11706</v>
      </c>
      <c r="D2117" t="s">
        <v>71</v>
      </c>
      <c r="E2117" t="s">
        <v>74</v>
      </c>
      <c r="F2117" t="s">
        <v>79</v>
      </c>
    </row>
    <row r="2118" spans="1:6" x14ac:dyDescent="0.45">
      <c r="A2118">
        <v>40</v>
      </c>
      <c r="B2118">
        <v>13</v>
      </c>
      <c r="C2118">
        <v>11804</v>
      </c>
      <c r="D2118" t="s">
        <v>71</v>
      </c>
      <c r="E2118" t="s">
        <v>72</v>
      </c>
      <c r="F2118" t="s">
        <v>79</v>
      </c>
    </row>
    <row r="2119" spans="1:6" x14ac:dyDescent="0.45">
      <c r="A2119">
        <v>35</v>
      </c>
      <c r="B2119">
        <v>13</v>
      </c>
      <c r="C2119">
        <v>12000</v>
      </c>
      <c r="D2119" t="s">
        <v>71</v>
      </c>
      <c r="E2119" t="s">
        <v>72</v>
      </c>
      <c r="F2119" t="s">
        <v>79</v>
      </c>
    </row>
    <row r="2120" spans="1:6" x14ac:dyDescent="0.45">
      <c r="A2120">
        <v>48</v>
      </c>
      <c r="B2120">
        <v>13</v>
      </c>
      <c r="C2120">
        <v>12000</v>
      </c>
      <c r="D2120" t="s">
        <v>71</v>
      </c>
      <c r="E2120" t="s">
        <v>74</v>
      </c>
      <c r="F2120" t="s">
        <v>79</v>
      </c>
    </row>
    <row r="2121" spans="1:6" x14ac:dyDescent="0.45">
      <c r="A2121">
        <v>44</v>
      </c>
      <c r="B2121">
        <v>13</v>
      </c>
      <c r="C2121">
        <v>12000</v>
      </c>
      <c r="D2121" t="s">
        <v>71</v>
      </c>
      <c r="E2121" t="s">
        <v>72</v>
      </c>
      <c r="F2121" t="s">
        <v>79</v>
      </c>
    </row>
    <row r="2122" spans="1:6" x14ac:dyDescent="0.45">
      <c r="A2122">
        <v>0</v>
      </c>
      <c r="B2122">
        <v>13</v>
      </c>
      <c r="C2122">
        <v>12000</v>
      </c>
      <c r="D2122" t="s">
        <v>71</v>
      </c>
      <c r="E2122" t="s">
        <v>72</v>
      </c>
      <c r="F2122" t="s">
        <v>79</v>
      </c>
    </row>
    <row r="2123" spans="1:6" x14ac:dyDescent="0.45">
      <c r="A2123">
        <v>35</v>
      </c>
      <c r="B2123">
        <v>13</v>
      </c>
      <c r="C2123">
        <v>12000</v>
      </c>
      <c r="D2123" t="s">
        <v>71</v>
      </c>
      <c r="E2123" t="s">
        <v>72</v>
      </c>
      <c r="F2123" t="s">
        <v>79</v>
      </c>
    </row>
    <row r="2124" spans="1:6" x14ac:dyDescent="0.45">
      <c r="A2124">
        <v>38</v>
      </c>
      <c r="B2124">
        <v>13</v>
      </c>
      <c r="C2124">
        <v>12000</v>
      </c>
      <c r="D2124" t="s">
        <v>71</v>
      </c>
      <c r="E2124" t="s">
        <v>74</v>
      </c>
      <c r="F2124" t="s">
        <v>79</v>
      </c>
    </row>
    <row r="2125" spans="1:6" x14ac:dyDescent="0.45">
      <c r="A2125">
        <v>35</v>
      </c>
      <c r="B2125">
        <v>13</v>
      </c>
      <c r="C2125">
        <v>12000</v>
      </c>
      <c r="D2125" t="s">
        <v>71</v>
      </c>
      <c r="E2125" t="s">
        <v>72</v>
      </c>
      <c r="F2125" t="s">
        <v>79</v>
      </c>
    </row>
    <row r="2126" spans="1:6" x14ac:dyDescent="0.45">
      <c r="A2126">
        <v>40</v>
      </c>
      <c r="B2126">
        <v>13</v>
      </c>
      <c r="C2126">
        <v>12000</v>
      </c>
      <c r="D2126" t="s">
        <v>71</v>
      </c>
      <c r="E2126" t="s">
        <v>72</v>
      </c>
      <c r="F2126" t="s">
        <v>79</v>
      </c>
    </row>
    <row r="2127" spans="1:6" x14ac:dyDescent="0.45">
      <c r="A2127">
        <v>40</v>
      </c>
      <c r="B2127">
        <v>13</v>
      </c>
      <c r="C2127">
        <v>12000</v>
      </c>
      <c r="D2127" t="s">
        <v>71</v>
      </c>
      <c r="E2127" t="s">
        <v>72</v>
      </c>
      <c r="F2127" t="s">
        <v>79</v>
      </c>
    </row>
    <row r="2128" spans="1:6" x14ac:dyDescent="0.45">
      <c r="A2128">
        <v>35</v>
      </c>
      <c r="B2128">
        <v>13</v>
      </c>
      <c r="C2128">
        <v>12000</v>
      </c>
      <c r="D2128" t="s">
        <v>76</v>
      </c>
      <c r="E2128" t="s">
        <v>72</v>
      </c>
      <c r="F2128" t="s">
        <v>79</v>
      </c>
    </row>
    <row r="2129" spans="1:6" x14ac:dyDescent="0.45">
      <c r="A2129">
        <v>40</v>
      </c>
      <c r="B2129">
        <v>13</v>
      </c>
      <c r="C2129">
        <v>12000</v>
      </c>
      <c r="D2129" t="s">
        <v>71</v>
      </c>
      <c r="E2129" t="s">
        <v>74</v>
      </c>
      <c r="F2129" t="s">
        <v>79</v>
      </c>
    </row>
    <row r="2130" spans="1:6" x14ac:dyDescent="0.45">
      <c r="A2130">
        <v>37</v>
      </c>
      <c r="B2130">
        <v>13</v>
      </c>
      <c r="C2130">
        <v>12000</v>
      </c>
      <c r="D2130" t="s">
        <v>71</v>
      </c>
      <c r="E2130" t="s">
        <v>74</v>
      </c>
      <c r="F2130" t="s">
        <v>79</v>
      </c>
    </row>
    <row r="2131" spans="1:6" x14ac:dyDescent="0.45">
      <c r="A2131">
        <v>40</v>
      </c>
      <c r="B2131">
        <v>13</v>
      </c>
      <c r="C2131">
        <v>12000</v>
      </c>
      <c r="D2131" t="s">
        <v>71</v>
      </c>
      <c r="E2131" t="s">
        <v>72</v>
      </c>
      <c r="F2131" t="s">
        <v>79</v>
      </c>
    </row>
    <row r="2132" spans="1:6" x14ac:dyDescent="0.45">
      <c r="A2132">
        <v>45</v>
      </c>
      <c r="B2132">
        <v>13</v>
      </c>
      <c r="C2132">
        <v>12000</v>
      </c>
      <c r="D2132" t="s">
        <v>71</v>
      </c>
      <c r="E2132" t="s">
        <v>74</v>
      </c>
      <c r="F2132" t="s">
        <v>79</v>
      </c>
    </row>
    <row r="2133" spans="1:6" x14ac:dyDescent="0.45">
      <c r="A2133">
        <v>40</v>
      </c>
      <c r="B2133">
        <v>13</v>
      </c>
      <c r="C2133">
        <v>12000</v>
      </c>
      <c r="D2133" t="s">
        <v>71</v>
      </c>
      <c r="E2133" t="s">
        <v>72</v>
      </c>
      <c r="F2133" t="s">
        <v>79</v>
      </c>
    </row>
    <row r="2134" spans="1:6" x14ac:dyDescent="0.45">
      <c r="A2134">
        <v>50</v>
      </c>
      <c r="B2134">
        <v>13</v>
      </c>
      <c r="C2134">
        <v>12050</v>
      </c>
      <c r="D2134" t="s">
        <v>71</v>
      </c>
      <c r="E2134" t="s">
        <v>74</v>
      </c>
      <c r="F2134" t="s">
        <v>79</v>
      </c>
    </row>
    <row r="2135" spans="1:6" x14ac:dyDescent="0.45">
      <c r="A2135">
        <v>40</v>
      </c>
      <c r="B2135">
        <v>13</v>
      </c>
      <c r="C2135">
        <v>12290</v>
      </c>
      <c r="D2135" t="s">
        <v>71</v>
      </c>
      <c r="E2135" t="s">
        <v>74</v>
      </c>
      <c r="F2135" t="s">
        <v>79</v>
      </c>
    </row>
    <row r="2136" spans="1:6" x14ac:dyDescent="0.45">
      <c r="A2136">
        <v>38</v>
      </c>
      <c r="B2136">
        <v>13</v>
      </c>
      <c r="C2136">
        <v>12298</v>
      </c>
      <c r="D2136" t="s">
        <v>71</v>
      </c>
      <c r="E2136" t="s">
        <v>72</v>
      </c>
      <c r="F2136" t="s">
        <v>79</v>
      </c>
    </row>
    <row r="2137" spans="1:6" x14ac:dyDescent="0.45">
      <c r="A2137">
        <v>38</v>
      </c>
      <c r="B2137">
        <v>13</v>
      </c>
      <c r="C2137">
        <v>12300</v>
      </c>
      <c r="D2137" t="s">
        <v>71</v>
      </c>
      <c r="E2137" t="s">
        <v>72</v>
      </c>
      <c r="F2137" t="s">
        <v>79</v>
      </c>
    </row>
    <row r="2138" spans="1:6" x14ac:dyDescent="0.45">
      <c r="A2138">
        <v>35</v>
      </c>
      <c r="B2138">
        <v>13</v>
      </c>
      <c r="C2138">
        <v>12480</v>
      </c>
      <c r="D2138" t="s">
        <v>71</v>
      </c>
      <c r="E2138" t="s">
        <v>72</v>
      </c>
      <c r="F2138" t="s">
        <v>79</v>
      </c>
    </row>
    <row r="2139" spans="1:6" x14ac:dyDescent="0.45">
      <c r="A2139">
        <v>36</v>
      </c>
      <c r="B2139">
        <v>13</v>
      </c>
      <c r="C2139">
        <v>12500</v>
      </c>
      <c r="D2139" t="s">
        <v>71</v>
      </c>
      <c r="E2139" t="s">
        <v>72</v>
      </c>
      <c r="F2139" t="s">
        <v>79</v>
      </c>
    </row>
    <row r="2140" spans="1:6" x14ac:dyDescent="0.45">
      <c r="A2140">
        <v>40</v>
      </c>
      <c r="B2140">
        <v>13</v>
      </c>
      <c r="C2140">
        <v>12500</v>
      </c>
      <c r="D2140" t="s">
        <v>71</v>
      </c>
      <c r="E2140" t="s">
        <v>74</v>
      </c>
      <c r="F2140" t="s">
        <v>79</v>
      </c>
    </row>
    <row r="2141" spans="1:6" x14ac:dyDescent="0.45">
      <c r="A2141">
        <v>40</v>
      </c>
      <c r="B2141">
        <v>13</v>
      </c>
      <c r="C2141">
        <v>12500</v>
      </c>
      <c r="D2141" t="s">
        <v>71</v>
      </c>
      <c r="E2141" t="s">
        <v>72</v>
      </c>
      <c r="F2141" t="s">
        <v>79</v>
      </c>
    </row>
    <row r="2142" spans="1:6" x14ac:dyDescent="0.45">
      <c r="A2142">
        <v>45</v>
      </c>
      <c r="B2142">
        <v>13</v>
      </c>
      <c r="C2142">
        <v>12500</v>
      </c>
      <c r="D2142" t="s">
        <v>71</v>
      </c>
      <c r="E2142" t="s">
        <v>74</v>
      </c>
      <c r="F2142" t="s">
        <v>79</v>
      </c>
    </row>
    <row r="2143" spans="1:6" x14ac:dyDescent="0.45">
      <c r="A2143">
        <v>50</v>
      </c>
      <c r="B2143">
        <v>13</v>
      </c>
      <c r="C2143">
        <v>12680</v>
      </c>
      <c r="D2143" t="s">
        <v>71</v>
      </c>
      <c r="E2143" t="s">
        <v>74</v>
      </c>
      <c r="F2143" t="s">
        <v>79</v>
      </c>
    </row>
    <row r="2144" spans="1:6" x14ac:dyDescent="0.45">
      <c r="A2144">
        <v>49</v>
      </c>
      <c r="B2144">
        <v>13</v>
      </c>
      <c r="C2144">
        <v>12835</v>
      </c>
      <c r="D2144" t="s">
        <v>71</v>
      </c>
      <c r="E2144" t="s">
        <v>74</v>
      </c>
      <c r="F2144" t="s">
        <v>79</v>
      </c>
    </row>
    <row r="2145" spans="1:6" x14ac:dyDescent="0.45">
      <c r="A2145">
        <v>40</v>
      </c>
      <c r="B2145">
        <v>13</v>
      </c>
      <c r="C2145">
        <v>12900</v>
      </c>
      <c r="D2145" t="s">
        <v>71</v>
      </c>
      <c r="E2145" t="s">
        <v>72</v>
      </c>
      <c r="F2145" t="s">
        <v>79</v>
      </c>
    </row>
    <row r="2146" spans="1:6" x14ac:dyDescent="0.45">
      <c r="A2146">
        <v>40</v>
      </c>
      <c r="B2146">
        <v>13</v>
      </c>
      <c r="C2146">
        <v>13000</v>
      </c>
      <c r="D2146" t="s">
        <v>71</v>
      </c>
      <c r="E2146" t="s">
        <v>74</v>
      </c>
      <c r="F2146" t="s">
        <v>79</v>
      </c>
    </row>
    <row r="2147" spans="1:6" x14ac:dyDescent="0.45">
      <c r="A2147">
        <v>40</v>
      </c>
      <c r="B2147">
        <v>13</v>
      </c>
      <c r="C2147">
        <v>13000</v>
      </c>
      <c r="D2147" t="s">
        <v>71</v>
      </c>
      <c r="E2147" t="s">
        <v>74</v>
      </c>
      <c r="F2147" t="s">
        <v>79</v>
      </c>
    </row>
    <row r="2148" spans="1:6" x14ac:dyDescent="0.45">
      <c r="A2148">
        <v>35</v>
      </c>
      <c r="B2148">
        <v>13</v>
      </c>
      <c r="C2148">
        <v>13000</v>
      </c>
      <c r="D2148" t="s">
        <v>71</v>
      </c>
      <c r="E2148" t="s">
        <v>72</v>
      </c>
      <c r="F2148" t="s">
        <v>79</v>
      </c>
    </row>
    <row r="2149" spans="1:6" x14ac:dyDescent="0.45">
      <c r="A2149">
        <v>40</v>
      </c>
      <c r="B2149">
        <v>13</v>
      </c>
      <c r="C2149">
        <v>13000</v>
      </c>
      <c r="D2149" t="s">
        <v>71</v>
      </c>
      <c r="E2149" t="s">
        <v>72</v>
      </c>
      <c r="F2149" t="s">
        <v>79</v>
      </c>
    </row>
    <row r="2150" spans="1:6" x14ac:dyDescent="0.45">
      <c r="A2150">
        <v>40</v>
      </c>
      <c r="B2150">
        <v>13</v>
      </c>
      <c r="C2150">
        <v>13000</v>
      </c>
      <c r="D2150" t="s">
        <v>71</v>
      </c>
      <c r="E2150" t="s">
        <v>72</v>
      </c>
      <c r="F2150" t="s">
        <v>79</v>
      </c>
    </row>
    <row r="2151" spans="1:6" x14ac:dyDescent="0.45">
      <c r="A2151">
        <v>40</v>
      </c>
      <c r="B2151">
        <v>13</v>
      </c>
      <c r="C2151">
        <v>13000</v>
      </c>
      <c r="D2151" t="s">
        <v>76</v>
      </c>
      <c r="E2151" t="s">
        <v>74</v>
      </c>
      <c r="F2151" t="s">
        <v>79</v>
      </c>
    </row>
    <row r="2152" spans="1:6" x14ac:dyDescent="0.45">
      <c r="A2152">
        <v>55</v>
      </c>
      <c r="B2152">
        <v>13</v>
      </c>
      <c r="C2152">
        <v>13000</v>
      </c>
      <c r="D2152" t="s">
        <v>71</v>
      </c>
      <c r="E2152" t="s">
        <v>72</v>
      </c>
      <c r="F2152" t="s">
        <v>79</v>
      </c>
    </row>
    <row r="2153" spans="1:6" x14ac:dyDescent="0.45">
      <c r="A2153">
        <v>40</v>
      </c>
      <c r="B2153">
        <v>13</v>
      </c>
      <c r="C2153">
        <v>13000</v>
      </c>
      <c r="D2153" t="s">
        <v>71</v>
      </c>
      <c r="E2153" t="s">
        <v>74</v>
      </c>
      <c r="F2153" t="s">
        <v>79</v>
      </c>
    </row>
    <row r="2154" spans="1:6" x14ac:dyDescent="0.45">
      <c r="A2154">
        <v>45</v>
      </c>
      <c r="B2154">
        <v>13</v>
      </c>
      <c r="C2154">
        <v>13000</v>
      </c>
      <c r="D2154" t="s">
        <v>71</v>
      </c>
      <c r="E2154" t="s">
        <v>72</v>
      </c>
      <c r="F2154" t="s">
        <v>79</v>
      </c>
    </row>
    <row r="2155" spans="1:6" x14ac:dyDescent="0.45">
      <c r="A2155">
        <v>50</v>
      </c>
      <c r="B2155">
        <v>13</v>
      </c>
      <c r="C2155">
        <v>13000</v>
      </c>
      <c r="D2155" t="s">
        <v>71</v>
      </c>
      <c r="E2155" t="s">
        <v>72</v>
      </c>
      <c r="F2155" t="s">
        <v>79</v>
      </c>
    </row>
    <row r="2156" spans="1:6" x14ac:dyDescent="0.45">
      <c r="A2156">
        <v>40</v>
      </c>
      <c r="B2156">
        <v>13</v>
      </c>
      <c r="C2156">
        <v>13000</v>
      </c>
      <c r="D2156" t="s">
        <v>71</v>
      </c>
      <c r="E2156" t="s">
        <v>74</v>
      </c>
      <c r="F2156" t="s">
        <v>79</v>
      </c>
    </row>
    <row r="2157" spans="1:6" x14ac:dyDescent="0.45">
      <c r="A2157">
        <v>36</v>
      </c>
      <c r="B2157">
        <v>13</v>
      </c>
      <c r="C2157">
        <v>13000</v>
      </c>
      <c r="D2157" t="s">
        <v>71</v>
      </c>
      <c r="E2157" t="s">
        <v>72</v>
      </c>
      <c r="F2157" t="s">
        <v>79</v>
      </c>
    </row>
    <row r="2158" spans="1:6" x14ac:dyDescent="0.45">
      <c r="A2158">
        <v>52</v>
      </c>
      <c r="B2158">
        <v>13</v>
      </c>
      <c r="C2158">
        <v>13000</v>
      </c>
      <c r="D2158" t="s">
        <v>71</v>
      </c>
      <c r="E2158" t="s">
        <v>72</v>
      </c>
      <c r="F2158" t="s">
        <v>79</v>
      </c>
    </row>
    <row r="2159" spans="1:6" x14ac:dyDescent="0.45">
      <c r="A2159">
        <v>35</v>
      </c>
      <c r="B2159">
        <v>13</v>
      </c>
      <c r="C2159">
        <v>13000</v>
      </c>
      <c r="D2159" t="s">
        <v>71</v>
      </c>
      <c r="E2159" t="s">
        <v>72</v>
      </c>
      <c r="F2159" t="s">
        <v>79</v>
      </c>
    </row>
    <row r="2160" spans="1:6" x14ac:dyDescent="0.45">
      <c r="A2160">
        <v>35</v>
      </c>
      <c r="B2160">
        <v>13</v>
      </c>
      <c r="C2160">
        <v>13000</v>
      </c>
      <c r="D2160" t="s">
        <v>71</v>
      </c>
      <c r="E2160" t="s">
        <v>72</v>
      </c>
      <c r="F2160" t="s">
        <v>79</v>
      </c>
    </row>
    <row r="2161" spans="1:6" x14ac:dyDescent="0.45">
      <c r="A2161">
        <v>40</v>
      </c>
      <c r="B2161">
        <v>13</v>
      </c>
      <c r="C2161">
        <v>13007</v>
      </c>
      <c r="D2161" t="s">
        <v>71</v>
      </c>
      <c r="E2161" t="s">
        <v>74</v>
      </c>
      <c r="F2161" t="s">
        <v>79</v>
      </c>
    </row>
    <row r="2162" spans="1:6" x14ac:dyDescent="0.45">
      <c r="A2162">
        <v>0</v>
      </c>
      <c r="B2162">
        <v>13</v>
      </c>
      <c r="C2162">
        <v>13100</v>
      </c>
      <c r="D2162" t="s">
        <v>71</v>
      </c>
      <c r="E2162" t="s">
        <v>72</v>
      </c>
      <c r="F2162" t="s">
        <v>79</v>
      </c>
    </row>
    <row r="2163" spans="1:6" x14ac:dyDescent="0.45">
      <c r="A2163">
        <v>0</v>
      </c>
      <c r="B2163">
        <v>13</v>
      </c>
      <c r="C2163">
        <v>13500</v>
      </c>
      <c r="D2163" t="s">
        <v>71</v>
      </c>
      <c r="E2163" t="s">
        <v>72</v>
      </c>
      <c r="F2163" t="s">
        <v>79</v>
      </c>
    </row>
    <row r="2164" spans="1:6" x14ac:dyDescent="0.45">
      <c r="A2164">
        <v>50</v>
      </c>
      <c r="B2164">
        <v>13</v>
      </c>
      <c r="C2164">
        <v>13500</v>
      </c>
      <c r="D2164" t="s">
        <v>71</v>
      </c>
      <c r="E2164" t="s">
        <v>72</v>
      </c>
      <c r="F2164" t="s">
        <v>79</v>
      </c>
    </row>
    <row r="2165" spans="1:6" x14ac:dyDescent="0.45">
      <c r="A2165">
        <v>40</v>
      </c>
      <c r="B2165">
        <v>13</v>
      </c>
      <c r="C2165">
        <v>13500</v>
      </c>
      <c r="D2165" t="s">
        <v>71</v>
      </c>
      <c r="E2165" t="s">
        <v>74</v>
      </c>
      <c r="F2165" t="s">
        <v>79</v>
      </c>
    </row>
    <row r="2166" spans="1:6" x14ac:dyDescent="0.45">
      <c r="A2166">
        <v>40</v>
      </c>
      <c r="B2166">
        <v>13</v>
      </c>
      <c r="C2166">
        <v>13500</v>
      </c>
      <c r="D2166" t="s">
        <v>71</v>
      </c>
      <c r="E2166" t="s">
        <v>74</v>
      </c>
      <c r="F2166" t="s">
        <v>79</v>
      </c>
    </row>
    <row r="2167" spans="1:6" x14ac:dyDescent="0.45">
      <c r="A2167">
        <v>40</v>
      </c>
      <c r="B2167">
        <v>13</v>
      </c>
      <c r="C2167">
        <v>13520</v>
      </c>
      <c r="D2167" t="s">
        <v>76</v>
      </c>
      <c r="E2167" t="s">
        <v>72</v>
      </c>
      <c r="F2167" t="s">
        <v>79</v>
      </c>
    </row>
    <row r="2168" spans="1:6" x14ac:dyDescent="0.45">
      <c r="A2168">
        <v>40</v>
      </c>
      <c r="B2168">
        <v>13</v>
      </c>
      <c r="C2168">
        <v>13780</v>
      </c>
      <c r="D2168" t="s">
        <v>71</v>
      </c>
      <c r="E2168" t="s">
        <v>72</v>
      </c>
      <c r="F2168" t="s">
        <v>79</v>
      </c>
    </row>
    <row r="2169" spans="1:6" x14ac:dyDescent="0.45">
      <c r="A2169">
        <v>35</v>
      </c>
      <c r="B2169">
        <v>13</v>
      </c>
      <c r="C2169">
        <v>14000</v>
      </c>
      <c r="D2169" t="s">
        <v>71</v>
      </c>
      <c r="E2169" t="s">
        <v>72</v>
      </c>
      <c r="F2169" t="s">
        <v>79</v>
      </c>
    </row>
    <row r="2170" spans="1:6" x14ac:dyDescent="0.45">
      <c r="A2170">
        <v>40</v>
      </c>
      <c r="B2170">
        <v>13</v>
      </c>
      <c r="C2170">
        <v>14000</v>
      </c>
      <c r="D2170" t="s">
        <v>76</v>
      </c>
      <c r="E2170" t="s">
        <v>72</v>
      </c>
      <c r="F2170" t="s">
        <v>79</v>
      </c>
    </row>
    <row r="2171" spans="1:6" x14ac:dyDescent="0.45">
      <c r="A2171">
        <v>40</v>
      </c>
      <c r="B2171">
        <v>13</v>
      </c>
      <c r="C2171">
        <v>14000</v>
      </c>
      <c r="D2171" t="s">
        <v>71</v>
      </c>
      <c r="E2171" t="s">
        <v>72</v>
      </c>
      <c r="F2171" t="s">
        <v>79</v>
      </c>
    </row>
    <row r="2172" spans="1:6" x14ac:dyDescent="0.45">
      <c r="A2172">
        <v>40</v>
      </c>
      <c r="B2172">
        <v>13</v>
      </c>
      <c r="C2172">
        <v>14000</v>
      </c>
      <c r="D2172" t="s">
        <v>71</v>
      </c>
      <c r="E2172" t="s">
        <v>72</v>
      </c>
      <c r="F2172" t="s">
        <v>79</v>
      </c>
    </row>
    <row r="2173" spans="1:6" x14ac:dyDescent="0.45">
      <c r="A2173">
        <v>40</v>
      </c>
      <c r="B2173">
        <v>13</v>
      </c>
      <c r="C2173">
        <v>14000</v>
      </c>
      <c r="D2173" t="s">
        <v>71</v>
      </c>
      <c r="E2173" t="s">
        <v>72</v>
      </c>
      <c r="F2173" t="s">
        <v>79</v>
      </c>
    </row>
    <row r="2174" spans="1:6" x14ac:dyDescent="0.45">
      <c r="A2174">
        <v>45</v>
      </c>
      <c r="B2174">
        <v>13</v>
      </c>
      <c r="C2174">
        <v>14000</v>
      </c>
      <c r="D2174" t="s">
        <v>71</v>
      </c>
      <c r="E2174" t="s">
        <v>74</v>
      </c>
      <c r="F2174" t="s">
        <v>79</v>
      </c>
    </row>
    <row r="2175" spans="1:6" x14ac:dyDescent="0.45">
      <c r="A2175">
        <v>45</v>
      </c>
      <c r="B2175">
        <v>13</v>
      </c>
      <c r="C2175">
        <v>14000</v>
      </c>
      <c r="D2175" t="s">
        <v>71</v>
      </c>
      <c r="E2175" t="s">
        <v>74</v>
      </c>
      <c r="F2175" t="s">
        <v>79</v>
      </c>
    </row>
    <row r="2176" spans="1:6" x14ac:dyDescent="0.45">
      <c r="A2176">
        <v>40</v>
      </c>
      <c r="B2176">
        <v>13</v>
      </c>
      <c r="C2176">
        <v>14000</v>
      </c>
      <c r="D2176" t="s">
        <v>76</v>
      </c>
      <c r="E2176" t="s">
        <v>74</v>
      </c>
      <c r="F2176" t="s">
        <v>79</v>
      </c>
    </row>
    <row r="2177" spans="1:6" x14ac:dyDescent="0.45">
      <c r="A2177">
        <v>35</v>
      </c>
      <c r="B2177">
        <v>13</v>
      </c>
      <c r="C2177">
        <v>14000</v>
      </c>
      <c r="D2177" t="s">
        <v>76</v>
      </c>
      <c r="E2177" t="s">
        <v>72</v>
      </c>
      <c r="F2177" t="s">
        <v>79</v>
      </c>
    </row>
    <row r="2178" spans="1:6" x14ac:dyDescent="0.45">
      <c r="A2178">
        <v>40</v>
      </c>
      <c r="B2178">
        <v>13</v>
      </c>
      <c r="C2178">
        <v>14000</v>
      </c>
      <c r="D2178" t="s">
        <v>71</v>
      </c>
      <c r="E2178" t="s">
        <v>72</v>
      </c>
      <c r="F2178" t="s">
        <v>79</v>
      </c>
    </row>
    <row r="2179" spans="1:6" x14ac:dyDescent="0.45">
      <c r="A2179">
        <v>40</v>
      </c>
      <c r="B2179">
        <v>13</v>
      </c>
      <c r="C2179">
        <v>14000</v>
      </c>
      <c r="D2179" t="s">
        <v>71</v>
      </c>
      <c r="E2179" t="s">
        <v>72</v>
      </c>
      <c r="F2179" t="s">
        <v>79</v>
      </c>
    </row>
    <row r="2180" spans="1:6" x14ac:dyDescent="0.45">
      <c r="A2180">
        <v>40</v>
      </c>
      <c r="B2180">
        <v>13</v>
      </c>
      <c r="C2180">
        <v>14240</v>
      </c>
      <c r="D2180" t="s">
        <v>71</v>
      </c>
      <c r="E2180" t="s">
        <v>72</v>
      </c>
      <c r="F2180" t="s">
        <v>79</v>
      </c>
    </row>
    <row r="2181" spans="1:6" x14ac:dyDescent="0.45">
      <c r="A2181">
        <v>40</v>
      </c>
      <c r="B2181">
        <v>13</v>
      </c>
      <c r="C2181">
        <v>14400</v>
      </c>
      <c r="D2181" t="s">
        <v>76</v>
      </c>
      <c r="E2181" t="s">
        <v>72</v>
      </c>
      <c r="F2181" t="s">
        <v>79</v>
      </c>
    </row>
    <row r="2182" spans="1:6" x14ac:dyDescent="0.45">
      <c r="A2182">
        <v>40</v>
      </c>
      <c r="B2182">
        <v>13</v>
      </c>
      <c r="C2182">
        <v>14560</v>
      </c>
      <c r="D2182" t="s">
        <v>76</v>
      </c>
      <c r="E2182" t="s">
        <v>74</v>
      </c>
      <c r="F2182" t="s">
        <v>79</v>
      </c>
    </row>
    <row r="2183" spans="1:6" x14ac:dyDescent="0.45">
      <c r="A2183">
        <v>40</v>
      </c>
      <c r="B2183">
        <v>13</v>
      </c>
      <c r="C2183">
        <v>14750</v>
      </c>
      <c r="D2183" t="s">
        <v>71</v>
      </c>
      <c r="E2183" t="s">
        <v>74</v>
      </c>
      <c r="F2183" t="s">
        <v>79</v>
      </c>
    </row>
    <row r="2184" spans="1:6" x14ac:dyDescent="0.45">
      <c r="A2184">
        <v>40</v>
      </c>
      <c r="B2184">
        <v>13</v>
      </c>
      <c r="C2184">
        <v>15000</v>
      </c>
      <c r="D2184" t="s">
        <v>71</v>
      </c>
      <c r="E2184" t="s">
        <v>74</v>
      </c>
      <c r="F2184" t="s">
        <v>79</v>
      </c>
    </row>
    <row r="2185" spans="1:6" x14ac:dyDescent="0.45">
      <c r="A2185">
        <v>40</v>
      </c>
      <c r="B2185">
        <v>13</v>
      </c>
      <c r="C2185">
        <v>15000</v>
      </c>
      <c r="D2185" t="s">
        <v>71</v>
      </c>
      <c r="E2185" t="s">
        <v>74</v>
      </c>
      <c r="F2185" t="s">
        <v>79</v>
      </c>
    </row>
    <row r="2186" spans="1:6" x14ac:dyDescent="0.45">
      <c r="A2186">
        <v>40</v>
      </c>
      <c r="B2186">
        <v>13</v>
      </c>
      <c r="C2186">
        <v>15000</v>
      </c>
      <c r="D2186" t="s">
        <v>71</v>
      </c>
      <c r="E2186" t="s">
        <v>72</v>
      </c>
      <c r="F2186" t="s">
        <v>79</v>
      </c>
    </row>
    <row r="2187" spans="1:6" x14ac:dyDescent="0.45">
      <c r="A2187">
        <v>40</v>
      </c>
      <c r="B2187">
        <v>13</v>
      </c>
      <c r="C2187">
        <v>15000</v>
      </c>
      <c r="D2187" t="s">
        <v>76</v>
      </c>
      <c r="E2187" t="s">
        <v>72</v>
      </c>
      <c r="F2187" t="s">
        <v>79</v>
      </c>
    </row>
    <row r="2188" spans="1:6" x14ac:dyDescent="0.45">
      <c r="A2188">
        <v>38</v>
      </c>
      <c r="B2188">
        <v>13</v>
      </c>
      <c r="C2188">
        <v>15000</v>
      </c>
      <c r="D2188" t="s">
        <v>71</v>
      </c>
      <c r="E2188" t="s">
        <v>72</v>
      </c>
      <c r="F2188" t="s">
        <v>79</v>
      </c>
    </row>
    <row r="2189" spans="1:6" x14ac:dyDescent="0.45">
      <c r="A2189">
        <v>39</v>
      </c>
      <c r="B2189">
        <v>13</v>
      </c>
      <c r="C2189">
        <v>15000</v>
      </c>
      <c r="D2189" t="s">
        <v>71</v>
      </c>
      <c r="E2189" t="s">
        <v>72</v>
      </c>
      <c r="F2189" t="s">
        <v>79</v>
      </c>
    </row>
    <row r="2190" spans="1:6" x14ac:dyDescent="0.45">
      <c r="A2190">
        <v>40</v>
      </c>
      <c r="B2190">
        <v>13</v>
      </c>
      <c r="C2190">
        <v>15000</v>
      </c>
      <c r="D2190" t="s">
        <v>71</v>
      </c>
      <c r="E2190" t="s">
        <v>72</v>
      </c>
      <c r="F2190" t="s">
        <v>79</v>
      </c>
    </row>
    <row r="2191" spans="1:6" x14ac:dyDescent="0.45">
      <c r="A2191">
        <v>40</v>
      </c>
      <c r="B2191">
        <v>13</v>
      </c>
      <c r="C2191">
        <v>15000</v>
      </c>
      <c r="D2191" t="s">
        <v>76</v>
      </c>
      <c r="E2191" t="s">
        <v>72</v>
      </c>
      <c r="F2191" t="s">
        <v>79</v>
      </c>
    </row>
    <row r="2192" spans="1:6" x14ac:dyDescent="0.45">
      <c r="A2192">
        <v>35</v>
      </c>
      <c r="B2192">
        <v>13</v>
      </c>
      <c r="C2192">
        <v>15000</v>
      </c>
      <c r="D2192" t="s">
        <v>75</v>
      </c>
      <c r="E2192" t="s">
        <v>74</v>
      </c>
      <c r="F2192" t="s">
        <v>79</v>
      </c>
    </row>
    <row r="2193" spans="1:6" x14ac:dyDescent="0.45">
      <c r="A2193">
        <v>40</v>
      </c>
      <c r="B2193">
        <v>13</v>
      </c>
      <c r="C2193">
        <v>15000</v>
      </c>
      <c r="D2193" t="s">
        <v>71</v>
      </c>
      <c r="E2193" t="s">
        <v>72</v>
      </c>
      <c r="F2193" t="s">
        <v>79</v>
      </c>
    </row>
    <row r="2194" spans="1:6" x14ac:dyDescent="0.45">
      <c r="A2194">
        <v>40</v>
      </c>
      <c r="B2194">
        <v>13</v>
      </c>
      <c r="C2194">
        <v>15000</v>
      </c>
      <c r="D2194" t="s">
        <v>71</v>
      </c>
      <c r="E2194" t="s">
        <v>72</v>
      </c>
      <c r="F2194" t="s">
        <v>79</v>
      </c>
    </row>
    <row r="2195" spans="1:6" x14ac:dyDescent="0.45">
      <c r="A2195">
        <v>40</v>
      </c>
      <c r="B2195">
        <v>13</v>
      </c>
      <c r="C2195">
        <v>15000</v>
      </c>
      <c r="D2195" t="s">
        <v>76</v>
      </c>
      <c r="E2195" t="s">
        <v>72</v>
      </c>
      <c r="F2195" t="s">
        <v>79</v>
      </c>
    </row>
    <row r="2196" spans="1:6" x14ac:dyDescent="0.45">
      <c r="A2196">
        <v>45</v>
      </c>
      <c r="B2196">
        <v>13</v>
      </c>
      <c r="C2196">
        <v>15000</v>
      </c>
      <c r="D2196" t="s">
        <v>71</v>
      </c>
      <c r="E2196" t="s">
        <v>72</v>
      </c>
      <c r="F2196" t="s">
        <v>79</v>
      </c>
    </row>
    <row r="2197" spans="1:6" x14ac:dyDescent="0.45">
      <c r="A2197">
        <v>65</v>
      </c>
      <c r="B2197">
        <v>13</v>
      </c>
      <c r="C2197">
        <v>15000</v>
      </c>
      <c r="D2197" t="s">
        <v>71</v>
      </c>
      <c r="E2197" t="s">
        <v>72</v>
      </c>
      <c r="F2197" t="s">
        <v>79</v>
      </c>
    </row>
    <row r="2198" spans="1:6" x14ac:dyDescent="0.45">
      <c r="A2198">
        <v>40</v>
      </c>
      <c r="B2198">
        <v>13</v>
      </c>
      <c r="C2198">
        <v>15000</v>
      </c>
      <c r="D2198" t="s">
        <v>71</v>
      </c>
      <c r="E2198" t="s">
        <v>74</v>
      </c>
      <c r="F2198" t="s">
        <v>79</v>
      </c>
    </row>
    <row r="2199" spans="1:6" x14ac:dyDescent="0.45">
      <c r="A2199">
        <v>72</v>
      </c>
      <c r="B2199">
        <v>13</v>
      </c>
      <c r="C2199">
        <v>15000</v>
      </c>
      <c r="D2199" t="s">
        <v>71</v>
      </c>
      <c r="E2199" t="s">
        <v>74</v>
      </c>
      <c r="F2199" t="s">
        <v>79</v>
      </c>
    </row>
    <row r="2200" spans="1:6" x14ac:dyDescent="0.45">
      <c r="A2200">
        <v>45</v>
      </c>
      <c r="B2200">
        <v>13</v>
      </c>
      <c r="C2200">
        <v>15000</v>
      </c>
      <c r="D2200" t="s">
        <v>71</v>
      </c>
      <c r="E2200" t="s">
        <v>72</v>
      </c>
      <c r="F2200" t="s">
        <v>79</v>
      </c>
    </row>
    <row r="2201" spans="1:6" x14ac:dyDescent="0.45">
      <c r="A2201">
        <v>40</v>
      </c>
      <c r="B2201">
        <v>13</v>
      </c>
      <c r="C2201">
        <v>15000</v>
      </c>
      <c r="D2201" t="s">
        <v>71</v>
      </c>
      <c r="E2201" t="s">
        <v>74</v>
      </c>
      <c r="F2201" t="s">
        <v>79</v>
      </c>
    </row>
    <row r="2202" spans="1:6" x14ac:dyDescent="0.45">
      <c r="A2202">
        <v>40</v>
      </c>
      <c r="B2202">
        <v>13</v>
      </c>
      <c r="C2202">
        <v>15000</v>
      </c>
      <c r="D2202" t="s">
        <v>71</v>
      </c>
      <c r="E2202" t="s">
        <v>74</v>
      </c>
      <c r="F2202" t="s">
        <v>79</v>
      </c>
    </row>
    <row r="2203" spans="1:6" x14ac:dyDescent="0.45">
      <c r="A2203">
        <v>75</v>
      </c>
      <c r="B2203">
        <v>13</v>
      </c>
      <c r="C2203">
        <v>15000</v>
      </c>
      <c r="D2203" t="s">
        <v>71</v>
      </c>
      <c r="E2203" t="s">
        <v>74</v>
      </c>
      <c r="F2203" t="s">
        <v>79</v>
      </c>
    </row>
    <row r="2204" spans="1:6" x14ac:dyDescent="0.45">
      <c r="A2204">
        <v>40</v>
      </c>
      <c r="B2204">
        <v>13</v>
      </c>
      <c r="C2204">
        <v>15048</v>
      </c>
      <c r="D2204" t="s">
        <v>76</v>
      </c>
      <c r="E2204" t="s">
        <v>72</v>
      </c>
      <c r="F2204" t="s">
        <v>79</v>
      </c>
    </row>
    <row r="2205" spans="1:6" x14ac:dyDescent="0.45">
      <c r="A2205">
        <v>40</v>
      </c>
      <c r="B2205">
        <v>13</v>
      </c>
      <c r="C2205">
        <v>15125</v>
      </c>
      <c r="D2205" t="s">
        <v>75</v>
      </c>
      <c r="E2205" t="s">
        <v>74</v>
      </c>
      <c r="F2205" t="s">
        <v>79</v>
      </c>
    </row>
    <row r="2206" spans="1:6" x14ac:dyDescent="0.45">
      <c r="A2206">
        <v>40</v>
      </c>
      <c r="B2206">
        <v>13</v>
      </c>
      <c r="C2206">
        <v>15360</v>
      </c>
      <c r="D2206" t="s">
        <v>71</v>
      </c>
      <c r="E2206" t="s">
        <v>72</v>
      </c>
      <c r="F2206" t="s">
        <v>79</v>
      </c>
    </row>
    <row r="2207" spans="1:6" x14ac:dyDescent="0.45">
      <c r="A2207">
        <v>35</v>
      </c>
      <c r="B2207">
        <v>13</v>
      </c>
      <c r="C2207">
        <v>15400</v>
      </c>
      <c r="D2207" t="s">
        <v>71</v>
      </c>
      <c r="E2207" t="s">
        <v>72</v>
      </c>
      <c r="F2207" t="s">
        <v>79</v>
      </c>
    </row>
    <row r="2208" spans="1:6" x14ac:dyDescent="0.45">
      <c r="A2208">
        <v>35</v>
      </c>
      <c r="B2208">
        <v>13</v>
      </c>
      <c r="C2208">
        <v>15400</v>
      </c>
      <c r="D2208" t="s">
        <v>76</v>
      </c>
      <c r="E2208" t="s">
        <v>72</v>
      </c>
      <c r="F2208" t="s">
        <v>79</v>
      </c>
    </row>
    <row r="2209" spans="1:6" x14ac:dyDescent="0.45">
      <c r="A2209">
        <v>40</v>
      </c>
      <c r="B2209">
        <v>13</v>
      </c>
      <c r="C2209">
        <v>15400</v>
      </c>
      <c r="D2209" t="s">
        <v>76</v>
      </c>
      <c r="E2209" t="s">
        <v>72</v>
      </c>
      <c r="F2209" t="s">
        <v>79</v>
      </c>
    </row>
    <row r="2210" spans="1:6" x14ac:dyDescent="0.45">
      <c r="A2210">
        <v>40</v>
      </c>
      <c r="B2210">
        <v>13</v>
      </c>
      <c r="C2210">
        <v>15500</v>
      </c>
      <c r="D2210" t="s">
        <v>71</v>
      </c>
      <c r="E2210" t="s">
        <v>72</v>
      </c>
      <c r="F2210" t="s">
        <v>79</v>
      </c>
    </row>
    <row r="2211" spans="1:6" x14ac:dyDescent="0.45">
      <c r="A2211">
        <v>40</v>
      </c>
      <c r="B2211">
        <v>13</v>
      </c>
      <c r="C2211">
        <v>15525</v>
      </c>
      <c r="D2211" t="s">
        <v>71</v>
      </c>
      <c r="E2211" t="s">
        <v>74</v>
      </c>
      <c r="F2211" t="s">
        <v>79</v>
      </c>
    </row>
    <row r="2212" spans="1:6" x14ac:dyDescent="0.45">
      <c r="A2212">
        <v>40</v>
      </c>
      <c r="B2212">
        <v>13</v>
      </c>
      <c r="C2212">
        <v>15600</v>
      </c>
      <c r="D2212" t="s">
        <v>71</v>
      </c>
      <c r="E2212" t="s">
        <v>72</v>
      </c>
      <c r="F2212" t="s">
        <v>79</v>
      </c>
    </row>
    <row r="2213" spans="1:6" x14ac:dyDescent="0.45">
      <c r="A2213">
        <v>0</v>
      </c>
      <c r="B2213">
        <v>13</v>
      </c>
      <c r="C2213">
        <v>15600</v>
      </c>
      <c r="D2213" t="s">
        <v>76</v>
      </c>
      <c r="E2213" t="s">
        <v>72</v>
      </c>
      <c r="F2213" t="s">
        <v>79</v>
      </c>
    </row>
    <row r="2214" spans="1:6" x14ac:dyDescent="0.45">
      <c r="A2214">
        <v>40</v>
      </c>
      <c r="B2214">
        <v>13</v>
      </c>
      <c r="C2214">
        <v>15641</v>
      </c>
      <c r="D2214" t="s">
        <v>71</v>
      </c>
      <c r="E2214" t="s">
        <v>74</v>
      </c>
      <c r="F2214" t="s">
        <v>79</v>
      </c>
    </row>
    <row r="2215" spans="1:6" x14ac:dyDescent="0.45">
      <c r="A2215">
        <v>40</v>
      </c>
      <c r="B2215">
        <v>13</v>
      </c>
      <c r="C2215">
        <v>15700</v>
      </c>
      <c r="D2215" t="s">
        <v>71</v>
      </c>
      <c r="E2215" t="s">
        <v>74</v>
      </c>
      <c r="F2215" t="s">
        <v>79</v>
      </c>
    </row>
    <row r="2216" spans="1:6" x14ac:dyDescent="0.45">
      <c r="A2216">
        <v>40</v>
      </c>
      <c r="B2216">
        <v>13</v>
      </c>
      <c r="C2216">
        <v>15726</v>
      </c>
      <c r="D2216" t="s">
        <v>75</v>
      </c>
      <c r="E2216" t="s">
        <v>74</v>
      </c>
      <c r="F2216" t="s">
        <v>79</v>
      </c>
    </row>
    <row r="2217" spans="1:6" x14ac:dyDescent="0.45">
      <c r="A2217">
        <v>40</v>
      </c>
      <c r="B2217">
        <v>13</v>
      </c>
      <c r="C2217">
        <v>15726</v>
      </c>
      <c r="D2217" t="s">
        <v>71</v>
      </c>
      <c r="E2217" t="s">
        <v>74</v>
      </c>
      <c r="F2217" t="s">
        <v>79</v>
      </c>
    </row>
    <row r="2218" spans="1:6" x14ac:dyDescent="0.45">
      <c r="A2218">
        <v>40</v>
      </c>
      <c r="B2218">
        <v>13</v>
      </c>
      <c r="C2218">
        <v>15779</v>
      </c>
      <c r="D2218" t="s">
        <v>71</v>
      </c>
      <c r="E2218" t="s">
        <v>72</v>
      </c>
      <c r="F2218" t="s">
        <v>79</v>
      </c>
    </row>
    <row r="2219" spans="1:6" x14ac:dyDescent="0.45">
      <c r="A2219">
        <v>40</v>
      </c>
      <c r="B2219">
        <v>13</v>
      </c>
      <c r="C2219">
        <v>15800</v>
      </c>
      <c r="D2219" t="s">
        <v>77</v>
      </c>
      <c r="E2219" t="s">
        <v>72</v>
      </c>
      <c r="F2219" t="s">
        <v>79</v>
      </c>
    </row>
    <row r="2220" spans="1:6" x14ac:dyDescent="0.45">
      <c r="A2220">
        <v>52</v>
      </c>
      <c r="B2220">
        <v>13</v>
      </c>
      <c r="C2220">
        <v>15882</v>
      </c>
      <c r="D2220" t="s">
        <v>71</v>
      </c>
      <c r="E2220" t="s">
        <v>72</v>
      </c>
      <c r="F2220" t="s">
        <v>79</v>
      </c>
    </row>
    <row r="2221" spans="1:6" x14ac:dyDescent="0.45">
      <c r="A2221">
        <v>40</v>
      </c>
      <c r="B2221">
        <v>13</v>
      </c>
      <c r="C2221">
        <v>15950</v>
      </c>
      <c r="D2221" t="s">
        <v>71</v>
      </c>
      <c r="E2221" t="s">
        <v>72</v>
      </c>
      <c r="F2221" t="s">
        <v>79</v>
      </c>
    </row>
    <row r="2222" spans="1:6" x14ac:dyDescent="0.45">
      <c r="A2222">
        <v>38</v>
      </c>
      <c r="B2222">
        <v>13</v>
      </c>
      <c r="C2222">
        <v>16000</v>
      </c>
      <c r="D2222" t="s">
        <v>76</v>
      </c>
      <c r="E2222" t="s">
        <v>72</v>
      </c>
      <c r="F2222" t="s">
        <v>79</v>
      </c>
    </row>
    <row r="2223" spans="1:6" x14ac:dyDescent="0.45">
      <c r="A2223">
        <v>40</v>
      </c>
      <c r="B2223">
        <v>13</v>
      </c>
      <c r="C2223">
        <v>16000</v>
      </c>
      <c r="D2223" t="s">
        <v>71</v>
      </c>
      <c r="E2223" t="s">
        <v>74</v>
      </c>
      <c r="F2223" t="s">
        <v>79</v>
      </c>
    </row>
    <row r="2224" spans="1:6" x14ac:dyDescent="0.45">
      <c r="A2224">
        <v>40</v>
      </c>
      <c r="B2224">
        <v>13</v>
      </c>
      <c r="C2224">
        <v>16000</v>
      </c>
      <c r="D2224" t="s">
        <v>71</v>
      </c>
      <c r="E2224" t="s">
        <v>72</v>
      </c>
      <c r="F2224" t="s">
        <v>79</v>
      </c>
    </row>
    <row r="2225" spans="1:6" x14ac:dyDescent="0.45">
      <c r="A2225">
        <v>40</v>
      </c>
      <c r="B2225">
        <v>13</v>
      </c>
      <c r="C2225">
        <v>16000</v>
      </c>
      <c r="D2225" t="s">
        <v>71</v>
      </c>
      <c r="E2225" t="s">
        <v>74</v>
      </c>
      <c r="F2225" t="s">
        <v>79</v>
      </c>
    </row>
    <row r="2226" spans="1:6" x14ac:dyDescent="0.45">
      <c r="A2226">
        <v>50</v>
      </c>
      <c r="B2226">
        <v>13</v>
      </c>
      <c r="C2226">
        <v>16000</v>
      </c>
      <c r="D2226" t="s">
        <v>71</v>
      </c>
      <c r="E2226" t="s">
        <v>74</v>
      </c>
      <c r="F2226" t="s">
        <v>79</v>
      </c>
    </row>
    <row r="2227" spans="1:6" x14ac:dyDescent="0.45">
      <c r="A2227">
        <v>40</v>
      </c>
      <c r="B2227">
        <v>13</v>
      </c>
      <c r="C2227">
        <v>16000</v>
      </c>
      <c r="D2227" t="s">
        <v>71</v>
      </c>
      <c r="E2227" t="s">
        <v>72</v>
      </c>
      <c r="F2227" t="s">
        <v>79</v>
      </c>
    </row>
    <row r="2228" spans="1:6" x14ac:dyDescent="0.45">
      <c r="A2228">
        <v>40</v>
      </c>
      <c r="B2228">
        <v>13</v>
      </c>
      <c r="C2228">
        <v>16000</v>
      </c>
      <c r="D2228" t="s">
        <v>71</v>
      </c>
      <c r="E2228" t="s">
        <v>72</v>
      </c>
      <c r="F2228" t="s">
        <v>79</v>
      </c>
    </row>
    <row r="2229" spans="1:6" x14ac:dyDescent="0.45">
      <c r="A2229">
        <v>40</v>
      </c>
      <c r="B2229">
        <v>13</v>
      </c>
      <c r="C2229">
        <v>16000</v>
      </c>
      <c r="D2229" t="s">
        <v>71</v>
      </c>
      <c r="E2229" t="s">
        <v>72</v>
      </c>
      <c r="F2229" t="s">
        <v>79</v>
      </c>
    </row>
    <row r="2230" spans="1:6" x14ac:dyDescent="0.45">
      <c r="A2230">
        <v>50</v>
      </c>
      <c r="B2230">
        <v>13</v>
      </c>
      <c r="C2230">
        <v>16000</v>
      </c>
      <c r="D2230" t="s">
        <v>71</v>
      </c>
      <c r="E2230" t="s">
        <v>72</v>
      </c>
      <c r="F2230" t="s">
        <v>79</v>
      </c>
    </row>
    <row r="2231" spans="1:6" x14ac:dyDescent="0.45">
      <c r="A2231">
        <v>40</v>
      </c>
      <c r="B2231">
        <v>13</v>
      </c>
      <c r="C2231">
        <v>16000</v>
      </c>
      <c r="D2231" t="s">
        <v>76</v>
      </c>
      <c r="E2231" t="s">
        <v>72</v>
      </c>
      <c r="F2231" t="s">
        <v>79</v>
      </c>
    </row>
    <row r="2232" spans="1:6" x14ac:dyDescent="0.45">
      <c r="A2232">
        <v>40</v>
      </c>
      <c r="B2232">
        <v>13</v>
      </c>
      <c r="C2232">
        <v>16120</v>
      </c>
      <c r="D2232" t="s">
        <v>71</v>
      </c>
      <c r="E2232" t="s">
        <v>72</v>
      </c>
      <c r="F2232" t="s">
        <v>79</v>
      </c>
    </row>
    <row r="2233" spans="1:6" x14ac:dyDescent="0.45">
      <c r="A2233">
        <v>40</v>
      </c>
      <c r="B2233">
        <v>13</v>
      </c>
      <c r="C2233">
        <v>16281</v>
      </c>
      <c r="D2233" t="s">
        <v>71</v>
      </c>
      <c r="E2233" t="s">
        <v>72</v>
      </c>
      <c r="F2233" t="s">
        <v>79</v>
      </c>
    </row>
    <row r="2234" spans="1:6" x14ac:dyDescent="0.45">
      <c r="A2234">
        <v>35</v>
      </c>
      <c r="B2234">
        <v>13</v>
      </c>
      <c r="C2234">
        <v>16400</v>
      </c>
      <c r="D2234" t="s">
        <v>71</v>
      </c>
      <c r="E2234" t="s">
        <v>72</v>
      </c>
      <c r="F2234" t="s">
        <v>79</v>
      </c>
    </row>
    <row r="2235" spans="1:6" x14ac:dyDescent="0.45">
      <c r="A2235">
        <v>55</v>
      </c>
      <c r="B2235">
        <v>13</v>
      </c>
      <c r="C2235">
        <v>16400</v>
      </c>
      <c r="D2235" t="s">
        <v>71</v>
      </c>
      <c r="E2235" t="s">
        <v>74</v>
      </c>
      <c r="F2235" t="s">
        <v>79</v>
      </c>
    </row>
    <row r="2236" spans="1:6" x14ac:dyDescent="0.45">
      <c r="A2236">
        <v>40</v>
      </c>
      <c r="B2236">
        <v>13</v>
      </c>
      <c r="C2236">
        <v>16500</v>
      </c>
      <c r="D2236" t="s">
        <v>71</v>
      </c>
      <c r="E2236" t="s">
        <v>72</v>
      </c>
      <c r="F2236" t="s">
        <v>79</v>
      </c>
    </row>
    <row r="2237" spans="1:6" x14ac:dyDescent="0.45">
      <c r="A2237">
        <v>40</v>
      </c>
      <c r="B2237">
        <v>13</v>
      </c>
      <c r="C2237">
        <v>16598</v>
      </c>
      <c r="D2237" t="s">
        <v>76</v>
      </c>
      <c r="E2237" t="s">
        <v>74</v>
      </c>
      <c r="F2237" t="s">
        <v>79</v>
      </c>
    </row>
    <row r="2238" spans="1:6" x14ac:dyDescent="0.45">
      <c r="A2238">
        <v>40</v>
      </c>
      <c r="B2238">
        <v>13</v>
      </c>
      <c r="C2238">
        <v>16640</v>
      </c>
      <c r="D2238" t="s">
        <v>71</v>
      </c>
      <c r="E2238" t="s">
        <v>72</v>
      </c>
      <c r="F2238" t="s">
        <v>79</v>
      </c>
    </row>
    <row r="2239" spans="1:6" x14ac:dyDescent="0.45">
      <c r="A2239">
        <v>40</v>
      </c>
      <c r="B2239">
        <v>13</v>
      </c>
      <c r="C2239">
        <v>16804</v>
      </c>
      <c r="D2239" t="s">
        <v>71</v>
      </c>
      <c r="E2239" t="s">
        <v>72</v>
      </c>
      <c r="F2239" t="s">
        <v>79</v>
      </c>
    </row>
    <row r="2240" spans="1:6" x14ac:dyDescent="0.45">
      <c r="A2240">
        <v>40</v>
      </c>
      <c r="B2240">
        <v>13</v>
      </c>
      <c r="C2240">
        <v>16850</v>
      </c>
      <c r="D2240" t="s">
        <v>71</v>
      </c>
      <c r="E2240" t="s">
        <v>72</v>
      </c>
      <c r="F2240" t="s">
        <v>79</v>
      </c>
    </row>
    <row r="2241" spans="1:6" x14ac:dyDescent="0.45">
      <c r="A2241">
        <v>40</v>
      </c>
      <c r="B2241">
        <v>13</v>
      </c>
      <c r="C2241">
        <v>16900</v>
      </c>
      <c r="D2241" t="s">
        <v>71</v>
      </c>
      <c r="E2241" t="s">
        <v>74</v>
      </c>
      <c r="F2241" t="s">
        <v>79</v>
      </c>
    </row>
    <row r="2242" spans="1:6" x14ac:dyDescent="0.45">
      <c r="A2242">
        <v>40</v>
      </c>
      <c r="B2242">
        <v>13</v>
      </c>
      <c r="C2242">
        <v>17000</v>
      </c>
      <c r="D2242" t="s">
        <v>71</v>
      </c>
      <c r="E2242" t="s">
        <v>72</v>
      </c>
      <c r="F2242" t="s">
        <v>79</v>
      </c>
    </row>
    <row r="2243" spans="1:6" x14ac:dyDescent="0.45">
      <c r="A2243">
        <v>40</v>
      </c>
      <c r="B2243">
        <v>13</v>
      </c>
      <c r="C2243">
        <v>17000</v>
      </c>
      <c r="D2243" t="s">
        <v>71</v>
      </c>
      <c r="E2243" t="s">
        <v>72</v>
      </c>
      <c r="F2243" t="s">
        <v>79</v>
      </c>
    </row>
    <row r="2244" spans="1:6" x14ac:dyDescent="0.45">
      <c r="A2244">
        <v>50</v>
      </c>
      <c r="B2244">
        <v>13</v>
      </c>
      <c r="C2244">
        <v>17000</v>
      </c>
      <c r="D2244" t="s">
        <v>71</v>
      </c>
      <c r="E2244" t="s">
        <v>74</v>
      </c>
      <c r="F2244" t="s">
        <v>79</v>
      </c>
    </row>
    <row r="2245" spans="1:6" x14ac:dyDescent="0.45">
      <c r="A2245">
        <v>40</v>
      </c>
      <c r="B2245">
        <v>13</v>
      </c>
      <c r="C2245">
        <v>17000</v>
      </c>
      <c r="D2245" t="s">
        <v>71</v>
      </c>
      <c r="E2245" t="s">
        <v>72</v>
      </c>
      <c r="F2245" t="s">
        <v>79</v>
      </c>
    </row>
    <row r="2246" spans="1:6" x14ac:dyDescent="0.45">
      <c r="A2246">
        <v>45</v>
      </c>
      <c r="B2246">
        <v>13</v>
      </c>
      <c r="C2246">
        <v>17000</v>
      </c>
      <c r="D2246" t="s">
        <v>71</v>
      </c>
      <c r="E2246" t="s">
        <v>74</v>
      </c>
      <c r="F2246" t="s">
        <v>79</v>
      </c>
    </row>
    <row r="2247" spans="1:6" x14ac:dyDescent="0.45">
      <c r="A2247">
        <v>55</v>
      </c>
      <c r="B2247">
        <v>13</v>
      </c>
      <c r="C2247">
        <v>17000</v>
      </c>
      <c r="D2247" t="s">
        <v>71</v>
      </c>
      <c r="E2247" t="s">
        <v>72</v>
      </c>
      <c r="F2247" t="s">
        <v>79</v>
      </c>
    </row>
    <row r="2248" spans="1:6" x14ac:dyDescent="0.45">
      <c r="A2248">
        <v>40</v>
      </c>
      <c r="B2248">
        <v>13</v>
      </c>
      <c r="C2248">
        <v>17000</v>
      </c>
      <c r="D2248" t="s">
        <v>71</v>
      </c>
      <c r="E2248" t="s">
        <v>72</v>
      </c>
      <c r="F2248" t="s">
        <v>79</v>
      </c>
    </row>
    <row r="2249" spans="1:6" x14ac:dyDescent="0.45">
      <c r="A2249">
        <v>35</v>
      </c>
      <c r="B2249">
        <v>13</v>
      </c>
      <c r="C2249">
        <v>17000</v>
      </c>
      <c r="D2249" t="s">
        <v>71</v>
      </c>
      <c r="E2249" t="s">
        <v>72</v>
      </c>
      <c r="F2249" t="s">
        <v>79</v>
      </c>
    </row>
    <row r="2250" spans="1:6" x14ac:dyDescent="0.45">
      <c r="A2250">
        <v>0</v>
      </c>
      <c r="B2250">
        <v>13</v>
      </c>
      <c r="C2250">
        <v>17000</v>
      </c>
      <c r="D2250" t="s">
        <v>71</v>
      </c>
      <c r="E2250" t="s">
        <v>74</v>
      </c>
      <c r="F2250" t="s">
        <v>79</v>
      </c>
    </row>
    <row r="2251" spans="1:6" x14ac:dyDescent="0.45">
      <c r="A2251">
        <v>40</v>
      </c>
      <c r="B2251">
        <v>13</v>
      </c>
      <c r="C2251">
        <v>17000</v>
      </c>
      <c r="D2251" t="s">
        <v>71</v>
      </c>
      <c r="E2251" t="s">
        <v>72</v>
      </c>
      <c r="F2251" t="s">
        <v>79</v>
      </c>
    </row>
    <row r="2252" spans="1:6" x14ac:dyDescent="0.45">
      <c r="A2252">
        <v>40</v>
      </c>
      <c r="B2252">
        <v>13</v>
      </c>
      <c r="C2252">
        <v>17000</v>
      </c>
      <c r="D2252" t="s">
        <v>71</v>
      </c>
      <c r="E2252" t="s">
        <v>72</v>
      </c>
      <c r="F2252" t="s">
        <v>79</v>
      </c>
    </row>
    <row r="2253" spans="1:6" x14ac:dyDescent="0.45">
      <c r="A2253">
        <v>37</v>
      </c>
      <c r="B2253">
        <v>13</v>
      </c>
      <c r="C2253">
        <v>17000</v>
      </c>
      <c r="D2253" t="s">
        <v>76</v>
      </c>
      <c r="E2253" t="s">
        <v>72</v>
      </c>
      <c r="F2253" t="s">
        <v>79</v>
      </c>
    </row>
    <row r="2254" spans="1:6" x14ac:dyDescent="0.45">
      <c r="A2254">
        <v>40</v>
      </c>
      <c r="B2254">
        <v>13</v>
      </c>
      <c r="C2254">
        <v>17000</v>
      </c>
      <c r="D2254" t="s">
        <v>71</v>
      </c>
      <c r="E2254" t="s">
        <v>74</v>
      </c>
      <c r="F2254" t="s">
        <v>79</v>
      </c>
    </row>
    <row r="2255" spans="1:6" x14ac:dyDescent="0.45">
      <c r="A2255">
        <v>40</v>
      </c>
      <c r="B2255">
        <v>13</v>
      </c>
      <c r="C2255">
        <v>17000</v>
      </c>
      <c r="D2255" t="s">
        <v>71</v>
      </c>
      <c r="E2255" t="s">
        <v>74</v>
      </c>
      <c r="F2255" t="s">
        <v>79</v>
      </c>
    </row>
    <row r="2256" spans="1:6" x14ac:dyDescent="0.45">
      <c r="A2256">
        <v>40</v>
      </c>
      <c r="B2256">
        <v>13</v>
      </c>
      <c r="C2256">
        <v>17000</v>
      </c>
      <c r="D2256" t="s">
        <v>76</v>
      </c>
      <c r="E2256" t="s">
        <v>74</v>
      </c>
      <c r="F2256" t="s">
        <v>79</v>
      </c>
    </row>
    <row r="2257" spans="1:6" x14ac:dyDescent="0.45">
      <c r="A2257">
        <v>40</v>
      </c>
      <c r="B2257">
        <v>13</v>
      </c>
      <c r="C2257">
        <v>17000</v>
      </c>
      <c r="D2257" t="s">
        <v>71</v>
      </c>
      <c r="E2257" t="s">
        <v>72</v>
      </c>
      <c r="F2257" t="s">
        <v>79</v>
      </c>
    </row>
    <row r="2258" spans="1:6" x14ac:dyDescent="0.45">
      <c r="A2258">
        <v>40</v>
      </c>
      <c r="B2258">
        <v>13</v>
      </c>
      <c r="C2258">
        <v>17000</v>
      </c>
      <c r="D2258" t="s">
        <v>71</v>
      </c>
      <c r="E2258" t="s">
        <v>72</v>
      </c>
      <c r="F2258" t="s">
        <v>79</v>
      </c>
    </row>
    <row r="2259" spans="1:6" x14ac:dyDescent="0.45">
      <c r="A2259">
        <v>42</v>
      </c>
      <c r="B2259">
        <v>13</v>
      </c>
      <c r="C2259">
        <v>17000</v>
      </c>
      <c r="D2259" t="s">
        <v>71</v>
      </c>
      <c r="E2259" t="s">
        <v>74</v>
      </c>
      <c r="F2259" t="s">
        <v>79</v>
      </c>
    </row>
    <row r="2260" spans="1:6" x14ac:dyDescent="0.45">
      <c r="A2260">
        <v>42</v>
      </c>
      <c r="B2260">
        <v>13</v>
      </c>
      <c r="C2260">
        <v>17000</v>
      </c>
      <c r="D2260" t="s">
        <v>71</v>
      </c>
      <c r="E2260" t="s">
        <v>72</v>
      </c>
      <c r="F2260" t="s">
        <v>79</v>
      </c>
    </row>
    <row r="2261" spans="1:6" x14ac:dyDescent="0.45">
      <c r="A2261">
        <v>40</v>
      </c>
      <c r="B2261">
        <v>13</v>
      </c>
      <c r="C2261">
        <v>17000</v>
      </c>
      <c r="D2261" t="s">
        <v>71</v>
      </c>
      <c r="E2261" t="s">
        <v>72</v>
      </c>
      <c r="F2261" t="s">
        <v>79</v>
      </c>
    </row>
    <row r="2262" spans="1:6" x14ac:dyDescent="0.45">
      <c r="A2262">
        <v>40</v>
      </c>
      <c r="B2262">
        <v>13</v>
      </c>
      <c r="C2262">
        <v>17000</v>
      </c>
      <c r="D2262" t="s">
        <v>76</v>
      </c>
      <c r="E2262" t="s">
        <v>74</v>
      </c>
      <c r="F2262" t="s">
        <v>79</v>
      </c>
    </row>
    <row r="2263" spans="1:6" x14ac:dyDescent="0.45">
      <c r="A2263">
        <v>40</v>
      </c>
      <c r="B2263">
        <v>13</v>
      </c>
      <c r="C2263">
        <v>17000</v>
      </c>
      <c r="D2263" t="s">
        <v>76</v>
      </c>
      <c r="E2263" t="s">
        <v>74</v>
      </c>
      <c r="F2263" t="s">
        <v>79</v>
      </c>
    </row>
    <row r="2264" spans="1:6" x14ac:dyDescent="0.45">
      <c r="A2264">
        <v>49</v>
      </c>
      <c r="B2264">
        <v>13</v>
      </c>
      <c r="C2264">
        <v>17100</v>
      </c>
      <c r="D2264" t="s">
        <v>71</v>
      </c>
      <c r="E2264" t="s">
        <v>72</v>
      </c>
      <c r="F2264" t="s">
        <v>79</v>
      </c>
    </row>
    <row r="2265" spans="1:6" x14ac:dyDescent="0.45">
      <c r="A2265">
        <v>40</v>
      </c>
      <c r="B2265">
        <v>13</v>
      </c>
      <c r="C2265">
        <v>17500</v>
      </c>
      <c r="D2265" t="s">
        <v>71</v>
      </c>
      <c r="E2265" t="s">
        <v>72</v>
      </c>
      <c r="F2265" t="s">
        <v>79</v>
      </c>
    </row>
    <row r="2266" spans="1:6" x14ac:dyDescent="0.45">
      <c r="A2266">
        <v>50</v>
      </c>
      <c r="B2266">
        <v>13</v>
      </c>
      <c r="C2266">
        <v>17500</v>
      </c>
      <c r="D2266" t="s">
        <v>71</v>
      </c>
      <c r="E2266" t="s">
        <v>74</v>
      </c>
      <c r="F2266" t="s">
        <v>79</v>
      </c>
    </row>
    <row r="2267" spans="1:6" x14ac:dyDescent="0.45">
      <c r="A2267">
        <v>40</v>
      </c>
      <c r="B2267">
        <v>13</v>
      </c>
      <c r="C2267">
        <v>17506</v>
      </c>
      <c r="D2267" t="s">
        <v>71</v>
      </c>
      <c r="E2267" t="s">
        <v>72</v>
      </c>
      <c r="F2267" t="s">
        <v>79</v>
      </c>
    </row>
    <row r="2268" spans="1:6" x14ac:dyDescent="0.45">
      <c r="A2268">
        <v>40</v>
      </c>
      <c r="B2268">
        <v>13</v>
      </c>
      <c r="C2268">
        <v>17601</v>
      </c>
      <c r="D2268" t="s">
        <v>71</v>
      </c>
      <c r="E2268" t="s">
        <v>74</v>
      </c>
      <c r="F2268" t="s">
        <v>79</v>
      </c>
    </row>
    <row r="2269" spans="1:6" x14ac:dyDescent="0.45">
      <c r="A2269">
        <v>40</v>
      </c>
      <c r="B2269">
        <v>13</v>
      </c>
      <c r="C2269">
        <v>17738</v>
      </c>
      <c r="D2269" t="s">
        <v>71</v>
      </c>
      <c r="E2269" t="s">
        <v>72</v>
      </c>
      <c r="F2269" t="s">
        <v>79</v>
      </c>
    </row>
    <row r="2270" spans="1:6" x14ac:dyDescent="0.45">
      <c r="A2270">
        <v>45</v>
      </c>
      <c r="B2270">
        <v>13</v>
      </c>
      <c r="C2270">
        <v>17888</v>
      </c>
      <c r="D2270" t="s">
        <v>71</v>
      </c>
      <c r="E2270" t="s">
        <v>74</v>
      </c>
      <c r="F2270" t="s">
        <v>79</v>
      </c>
    </row>
    <row r="2271" spans="1:6" x14ac:dyDescent="0.45">
      <c r="A2271">
        <v>40</v>
      </c>
      <c r="B2271">
        <v>13</v>
      </c>
      <c r="C2271">
        <v>17920</v>
      </c>
      <c r="D2271" t="s">
        <v>71</v>
      </c>
      <c r="E2271" t="s">
        <v>74</v>
      </c>
      <c r="F2271" t="s">
        <v>79</v>
      </c>
    </row>
    <row r="2272" spans="1:6" x14ac:dyDescent="0.45">
      <c r="A2272">
        <v>45</v>
      </c>
      <c r="B2272">
        <v>13</v>
      </c>
      <c r="C2272">
        <v>18000</v>
      </c>
      <c r="D2272" t="s">
        <v>71</v>
      </c>
      <c r="E2272" t="s">
        <v>72</v>
      </c>
      <c r="F2272" t="s">
        <v>79</v>
      </c>
    </row>
    <row r="2273" spans="1:6" x14ac:dyDescent="0.45">
      <c r="A2273">
        <v>40</v>
      </c>
      <c r="B2273">
        <v>13</v>
      </c>
      <c r="C2273">
        <v>18000</v>
      </c>
      <c r="D2273" t="s">
        <v>76</v>
      </c>
      <c r="E2273" t="s">
        <v>72</v>
      </c>
      <c r="F2273" t="s">
        <v>79</v>
      </c>
    </row>
    <row r="2274" spans="1:6" x14ac:dyDescent="0.45">
      <c r="A2274">
        <v>40</v>
      </c>
      <c r="B2274">
        <v>13</v>
      </c>
      <c r="C2274">
        <v>18000</v>
      </c>
      <c r="D2274" t="s">
        <v>71</v>
      </c>
      <c r="E2274" t="s">
        <v>72</v>
      </c>
      <c r="F2274" t="s">
        <v>79</v>
      </c>
    </row>
    <row r="2275" spans="1:6" x14ac:dyDescent="0.45">
      <c r="A2275">
        <v>80</v>
      </c>
      <c r="B2275">
        <v>13</v>
      </c>
      <c r="C2275">
        <v>18000</v>
      </c>
      <c r="D2275" t="s">
        <v>71</v>
      </c>
      <c r="E2275" t="s">
        <v>74</v>
      </c>
      <c r="F2275" t="s">
        <v>79</v>
      </c>
    </row>
    <row r="2276" spans="1:6" x14ac:dyDescent="0.45">
      <c r="A2276">
        <v>40</v>
      </c>
      <c r="B2276">
        <v>13</v>
      </c>
      <c r="C2276">
        <v>18000</v>
      </c>
      <c r="D2276" t="s">
        <v>71</v>
      </c>
      <c r="E2276" t="s">
        <v>74</v>
      </c>
      <c r="F2276" t="s">
        <v>79</v>
      </c>
    </row>
    <row r="2277" spans="1:6" x14ac:dyDescent="0.45">
      <c r="A2277">
        <v>38</v>
      </c>
      <c r="B2277">
        <v>13</v>
      </c>
      <c r="C2277">
        <v>18000</v>
      </c>
      <c r="D2277" t="s">
        <v>71</v>
      </c>
      <c r="E2277" t="s">
        <v>72</v>
      </c>
      <c r="F2277" t="s">
        <v>79</v>
      </c>
    </row>
    <row r="2278" spans="1:6" x14ac:dyDescent="0.45">
      <c r="A2278">
        <v>41</v>
      </c>
      <c r="B2278">
        <v>13</v>
      </c>
      <c r="C2278">
        <v>18000</v>
      </c>
      <c r="D2278" t="s">
        <v>71</v>
      </c>
      <c r="E2278" t="s">
        <v>74</v>
      </c>
      <c r="F2278" t="s">
        <v>79</v>
      </c>
    </row>
    <row r="2279" spans="1:6" x14ac:dyDescent="0.45">
      <c r="A2279">
        <v>40</v>
      </c>
      <c r="B2279">
        <v>13</v>
      </c>
      <c r="C2279">
        <v>18000</v>
      </c>
      <c r="D2279" t="s">
        <v>71</v>
      </c>
      <c r="E2279" t="s">
        <v>72</v>
      </c>
      <c r="F2279" t="s">
        <v>79</v>
      </c>
    </row>
    <row r="2280" spans="1:6" x14ac:dyDescent="0.45">
      <c r="A2280">
        <v>40</v>
      </c>
      <c r="B2280">
        <v>13</v>
      </c>
      <c r="C2280">
        <v>18000</v>
      </c>
      <c r="D2280" t="s">
        <v>71</v>
      </c>
      <c r="E2280" t="s">
        <v>74</v>
      </c>
      <c r="F2280" t="s">
        <v>79</v>
      </c>
    </row>
    <row r="2281" spans="1:6" x14ac:dyDescent="0.45">
      <c r="A2281">
        <v>60</v>
      </c>
      <c r="B2281">
        <v>13</v>
      </c>
      <c r="C2281">
        <v>18000</v>
      </c>
      <c r="D2281" t="s">
        <v>71</v>
      </c>
      <c r="E2281" t="s">
        <v>74</v>
      </c>
      <c r="F2281" t="s">
        <v>79</v>
      </c>
    </row>
    <row r="2282" spans="1:6" x14ac:dyDescent="0.45">
      <c r="A2282">
        <v>40</v>
      </c>
      <c r="B2282">
        <v>13</v>
      </c>
      <c r="C2282">
        <v>18000</v>
      </c>
      <c r="D2282" t="s">
        <v>71</v>
      </c>
      <c r="E2282" t="s">
        <v>74</v>
      </c>
      <c r="F2282" t="s">
        <v>79</v>
      </c>
    </row>
    <row r="2283" spans="1:6" x14ac:dyDescent="0.45">
      <c r="A2283">
        <v>40</v>
      </c>
      <c r="B2283">
        <v>13</v>
      </c>
      <c r="C2283">
        <v>18000</v>
      </c>
      <c r="D2283" t="s">
        <v>71</v>
      </c>
      <c r="E2283" t="s">
        <v>74</v>
      </c>
      <c r="F2283" t="s">
        <v>79</v>
      </c>
    </row>
    <row r="2284" spans="1:6" x14ac:dyDescent="0.45">
      <c r="A2284">
        <v>35</v>
      </c>
      <c r="B2284">
        <v>13</v>
      </c>
      <c r="C2284">
        <v>18000</v>
      </c>
      <c r="D2284" t="s">
        <v>71</v>
      </c>
      <c r="E2284" t="s">
        <v>72</v>
      </c>
      <c r="F2284" t="s">
        <v>79</v>
      </c>
    </row>
    <row r="2285" spans="1:6" x14ac:dyDescent="0.45">
      <c r="A2285">
        <v>60</v>
      </c>
      <c r="B2285">
        <v>13</v>
      </c>
      <c r="C2285">
        <v>18000</v>
      </c>
      <c r="D2285" t="s">
        <v>71</v>
      </c>
      <c r="E2285" t="s">
        <v>72</v>
      </c>
      <c r="F2285" t="s">
        <v>79</v>
      </c>
    </row>
    <row r="2286" spans="1:6" x14ac:dyDescent="0.45">
      <c r="A2286">
        <v>40</v>
      </c>
      <c r="B2286">
        <v>13</v>
      </c>
      <c r="C2286">
        <v>18000</v>
      </c>
      <c r="D2286" t="s">
        <v>71</v>
      </c>
      <c r="E2286" t="s">
        <v>74</v>
      </c>
      <c r="F2286" t="s">
        <v>79</v>
      </c>
    </row>
    <row r="2287" spans="1:6" x14ac:dyDescent="0.45">
      <c r="A2287">
        <v>0</v>
      </c>
      <c r="B2287">
        <v>13</v>
      </c>
      <c r="C2287">
        <v>18000</v>
      </c>
      <c r="D2287" t="s">
        <v>71</v>
      </c>
      <c r="E2287" t="s">
        <v>74</v>
      </c>
      <c r="F2287" t="s">
        <v>79</v>
      </c>
    </row>
    <row r="2288" spans="1:6" x14ac:dyDescent="0.45">
      <c r="A2288">
        <v>35</v>
      </c>
      <c r="B2288">
        <v>13</v>
      </c>
      <c r="C2288">
        <v>18000</v>
      </c>
      <c r="D2288" t="s">
        <v>71</v>
      </c>
      <c r="E2288" t="s">
        <v>72</v>
      </c>
      <c r="F2288" t="s">
        <v>79</v>
      </c>
    </row>
    <row r="2289" spans="1:6" x14ac:dyDescent="0.45">
      <c r="A2289">
        <v>48</v>
      </c>
      <c r="B2289">
        <v>13</v>
      </c>
      <c r="C2289">
        <v>18000</v>
      </c>
      <c r="D2289" t="s">
        <v>71</v>
      </c>
      <c r="E2289" t="s">
        <v>74</v>
      </c>
      <c r="F2289" t="s">
        <v>79</v>
      </c>
    </row>
    <row r="2290" spans="1:6" x14ac:dyDescent="0.45">
      <c r="A2290">
        <v>40</v>
      </c>
      <c r="B2290">
        <v>13</v>
      </c>
      <c r="C2290">
        <v>18000</v>
      </c>
      <c r="D2290" t="s">
        <v>76</v>
      </c>
      <c r="E2290" t="s">
        <v>74</v>
      </c>
      <c r="F2290" t="s">
        <v>79</v>
      </c>
    </row>
    <row r="2291" spans="1:6" x14ac:dyDescent="0.45">
      <c r="A2291">
        <v>40</v>
      </c>
      <c r="B2291">
        <v>13</v>
      </c>
      <c r="C2291">
        <v>18000</v>
      </c>
      <c r="D2291" t="s">
        <v>71</v>
      </c>
      <c r="E2291" t="s">
        <v>74</v>
      </c>
      <c r="F2291" t="s">
        <v>79</v>
      </c>
    </row>
    <row r="2292" spans="1:6" x14ac:dyDescent="0.45">
      <c r="A2292">
        <v>45</v>
      </c>
      <c r="B2292">
        <v>13</v>
      </c>
      <c r="C2292">
        <v>18000</v>
      </c>
      <c r="D2292" t="s">
        <v>76</v>
      </c>
      <c r="E2292" t="s">
        <v>72</v>
      </c>
      <c r="F2292" t="s">
        <v>79</v>
      </c>
    </row>
    <row r="2293" spans="1:6" x14ac:dyDescent="0.45">
      <c r="A2293">
        <v>0</v>
      </c>
      <c r="B2293">
        <v>13</v>
      </c>
      <c r="C2293">
        <v>18000</v>
      </c>
      <c r="D2293" t="s">
        <v>77</v>
      </c>
      <c r="E2293" t="s">
        <v>74</v>
      </c>
      <c r="F2293" t="s">
        <v>79</v>
      </c>
    </row>
    <row r="2294" spans="1:6" x14ac:dyDescent="0.45">
      <c r="A2294">
        <v>40</v>
      </c>
      <c r="B2294">
        <v>13</v>
      </c>
      <c r="C2294">
        <v>18000</v>
      </c>
      <c r="D2294" t="s">
        <v>71</v>
      </c>
      <c r="E2294" t="s">
        <v>74</v>
      </c>
      <c r="F2294" t="s">
        <v>79</v>
      </c>
    </row>
    <row r="2295" spans="1:6" x14ac:dyDescent="0.45">
      <c r="A2295">
        <v>40</v>
      </c>
      <c r="B2295">
        <v>13</v>
      </c>
      <c r="C2295">
        <v>18000</v>
      </c>
      <c r="D2295" t="s">
        <v>71</v>
      </c>
      <c r="E2295" t="s">
        <v>74</v>
      </c>
      <c r="F2295" t="s">
        <v>79</v>
      </c>
    </row>
    <row r="2296" spans="1:6" x14ac:dyDescent="0.45">
      <c r="A2296">
        <v>40</v>
      </c>
      <c r="B2296">
        <v>13</v>
      </c>
      <c r="C2296">
        <v>18000</v>
      </c>
      <c r="D2296" t="s">
        <v>71</v>
      </c>
      <c r="E2296" t="s">
        <v>72</v>
      </c>
      <c r="F2296" t="s">
        <v>79</v>
      </c>
    </row>
    <row r="2297" spans="1:6" x14ac:dyDescent="0.45">
      <c r="A2297">
        <v>51</v>
      </c>
      <c r="B2297">
        <v>13</v>
      </c>
      <c r="C2297">
        <v>18024</v>
      </c>
      <c r="D2297" t="s">
        <v>71</v>
      </c>
      <c r="E2297" t="s">
        <v>72</v>
      </c>
      <c r="F2297" t="s">
        <v>79</v>
      </c>
    </row>
    <row r="2298" spans="1:6" x14ac:dyDescent="0.45">
      <c r="A2298">
        <v>60</v>
      </c>
      <c r="B2298">
        <v>13</v>
      </c>
      <c r="C2298">
        <v>18200</v>
      </c>
      <c r="D2298" t="s">
        <v>71</v>
      </c>
      <c r="E2298" t="s">
        <v>74</v>
      </c>
      <c r="F2298" t="s">
        <v>79</v>
      </c>
    </row>
    <row r="2299" spans="1:6" x14ac:dyDescent="0.45">
      <c r="A2299">
        <v>35</v>
      </c>
      <c r="B2299">
        <v>13</v>
      </c>
      <c r="C2299">
        <v>18200</v>
      </c>
      <c r="D2299" t="s">
        <v>71</v>
      </c>
      <c r="E2299" t="s">
        <v>74</v>
      </c>
      <c r="F2299" t="s">
        <v>79</v>
      </c>
    </row>
    <row r="2300" spans="1:6" x14ac:dyDescent="0.45">
      <c r="A2300">
        <v>40</v>
      </c>
      <c r="B2300">
        <v>13</v>
      </c>
      <c r="C2300">
        <v>18200</v>
      </c>
      <c r="D2300" t="s">
        <v>71</v>
      </c>
      <c r="E2300" t="s">
        <v>72</v>
      </c>
      <c r="F2300" t="s">
        <v>79</v>
      </c>
    </row>
    <row r="2301" spans="1:6" x14ac:dyDescent="0.45">
      <c r="A2301">
        <v>60</v>
      </c>
      <c r="B2301">
        <v>13</v>
      </c>
      <c r="C2301">
        <v>18200</v>
      </c>
      <c r="D2301" t="s">
        <v>71</v>
      </c>
      <c r="E2301" t="s">
        <v>74</v>
      </c>
      <c r="F2301" t="s">
        <v>79</v>
      </c>
    </row>
    <row r="2302" spans="1:6" x14ac:dyDescent="0.45">
      <c r="A2302">
        <v>0</v>
      </c>
      <c r="B2302">
        <v>13</v>
      </c>
      <c r="C2302">
        <v>18200</v>
      </c>
      <c r="D2302" t="s">
        <v>77</v>
      </c>
      <c r="E2302" t="s">
        <v>72</v>
      </c>
      <c r="F2302" t="s">
        <v>79</v>
      </c>
    </row>
    <row r="2303" spans="1:6" x14ac:dyDescent="0.45">
      <c r="A2303">
        <v>40</v>
      </c>
      <c r="B2303">
        <v>13</v>
      </c>
      <c r="C2303">
        <v>18240</v>
      </c>
      <c r="D2303" t="s">
        <v>71</v>
      </c>
      <c r="E2303" t="s">
        <v>74</v>
      </c>
      <c r="F2303" t="s">
        <v>79</v>
      </c>
    </row>
    <row r="2304" spans="1:6" x14ac:dyDescent="0.45">
      <c r="A2304">
        <v>40</v>
      </c>
      <c r="B2304">
        <v>13</v>
      </c>
      <c r="C2304">
        <v>18396</v>
      </c>
      <c r="D2304" t="s">
        <v>71</v>
      </c>
      <c r="E2304" t="s">
        <v>72</v>
      </c>
      <c r="F2304" t="s">
        <v>79</v>
      </c>
    </row>
    <row r="2305" spans="1:6" x14ac:dyDescent="0.45">
      <c r="A2305">
        <v>40</v>
      </c>
      <c r="B2305">
        <v>13</v>
      </c>
      <c r="C2305">
        <v>18500</v>
      </c>
      <c r="D2305" t="s">
        <v>76</v>
      </c>
      <c r="E2305" t="s">
        <v>72</v>
      </c>
      <c r="F2305" t="s">
        <v>79</v>
      </c>
    </row>
    <row r="2306" spans="1:6" x14ac:dyDescent="0.45">
      <c r="A2306">
        <v>55</v>
      </c>
      <c r="B2306">
        <v>13</v>
      </c>
      <c r="C2306">
        <v>18500</v>
      </c>
      <c r="D2306" t="s">
        <v>76</v>
      </c>
      <c r="E2306" t="s">
        <v>74</v>
      </c>
      <c r="F2306" t="s">
        <v>79</v>
      </c>
    </row>
    <row r="2307" spans="1:6" x14ac:dyDescent="0.45">
      <c r="A2307">
        <v>40</v>
      </c>
      <c r="B2307">
        <v>13</v>
      </c>
      <c r="C2307">
        <v>18500</v>
      </c>
      <c r="D2307" t="s">
        <v>76</v>
      </c>
      <c r="E2307" t="s">
        <v>72</v>
      </c>
      <c r="F2307" t="s">
        <v>79</v>
      </c>
    </row>
    <row r="2308" spans="1:6" x14ac:dyDescent="0.45">
      <c r="A2308">
        <v>0</v>
      </c>
      <c r="B2308">
        <v>13</v>
      </c>
      <c r="C2308">
        <v>18560</v>
      </c>
      <c r="D2308" t="s">
        <v>71</v>
      </c>
      <c r="E2308" t="s">
        <v>72</v>
      </c>
      <c r="F2308" t="s">
        <v>79</v>
      </c>
    </row>
    <row r="2309" spans="1:6" x14ac:dyDescent="0.45">
      <c r="A2309">
        <v>40</v>
      </c>
      <c r="B2309">
        <v>13</v>
      </c>
      <c r="C2309">
        <v>18630</v>
      </c>
      <c r="D2309" t="s">
        <v>71</v>
      </c>
      <c r="E2309" t="s">
        <v>72</v>
      </c>
      <c r="F2309" t="s">
        <v>79</v>
      </c>
    </row>
    <row r="2310" spans="1:6" x14ac:dyDescent="0.45">
      <c r="A2310">
        <v>40</v>
      </c>
      <c r="B2310">
        <v>13</v>
      </c>
      <c r="C2310">
        <v>18720</v>
      </c>
      <c r="D2310" t="s">
        <v>71</v>
      </c>
      <c r="E2310" t="s">
        <v>72</v>
      </c>
      <c r="F2310" t="s">
        <v>79</v>
      </c>
    </row>
    <row r="2311" spans="1:6" x14ac:dyDescent="0.45">
      <c r="A2311">
        <v>40</v>
      </c>
      <c r="B2311">
        <v>13</v>
      </c>
      <c r="C2311">
        <v>18720</v>
      </c>
      <c r="D2311" t="s">
        <v>71</v>
      </c>
      <c r="E2311" t="s">
        <v>74</v>
      </c>
      <c r="F2311" t="s">
        <v>79</v>
      </c>
    </row>
    <row r="2312" spans="1:6" x14ac:dyDescent="0.45">
      <c r="A2312">
        <v>40</v>
      </c>
      <c r="B2312">
        <v>13</v>
      </c>
      <c r="C2312">
        <v>18765</v>
      </c>
      <c r="D2312" t="s">
        <v>71</v>
      </c>
      <c r="E2312" t="s">
        <v>72</v>
      </c>
      <c r="F2312" t="s">
        <v>79</v>
      </c>
    </row>
    <row r="2313" spans="1:6" x14ac:dyDescent="0.45">
      <c r="A2313">
        <v>40</v>
      </c>
      <c r="B2313">
        <v>13</v>
      </c>
      <c r="C2313">
        <v>18800</v>
      </c>
      <c r="D2313" t="s">
        <v>71</v>
      </c>
      <c r="E2313" t="s">
        <v>72</v>
      </c>
      <c r="F2313" t="s">
        <v>79</v>
      </c>
    </row>
    <row r="2314" spans="1:6" x14ac:dyDescent="0.45">
      <c r="A2314">
        <v>40</v>
      </c>
      <c r="B2314">
        <v>13</v>
      </c>
      <c r="C2314">
        <v>18867</v>
      </c>
      <c r="D2314" t="s">
        <v>71</v>
      </c>
      <c r="E2314" t="s">
        <v>72</v>
      </c>
      <c r="F2314" t="s">
        <v>79</v>
      </c>
    </row>
    <row r="2315" spans="1:6" x14ac:dyDescent="0.45">
      <c r="A2315">
        <v>37</v>
      </c>
      <c r="B2315">
        <v>13</v>
      </c>
      <c r="C2315">
        <v>18888</v>
      </c>
      <c r="D2315" t="s">
        <v>71</v>
      </c>
      <c r="E2315" t="s">
        <v>72</v>
      </c>
      <c r="F2315" t="s">
        <v>79</v>
      </c>
    </row>
    <row r="2316" spans="1:6" x14ac:dyDescent="0.45">
      <c r="A2316">
        <v>40</v>
      </c>
      <c r="B2316">
        <v>13</v>
      </c>
      <c r="C2316">
        <v>19000</v>
      </c>
      <c r="D2316" t="s">
        <v>71</v>
      </c>
      <c r="E2316" t="s">
        <v>72</v>
      </c>
      <c r="F2316" t="s">
        <v>79</v>
      </c>
    </row>
    <row r="2317" spans="1:6" x14ac:dyDescent="0.45">
      <c r="A2317">
        <v>40</v>
      </c>
      <c r="B2317">
        <v>13</v>
      </c>
      <c r="C2317">
        <v>19000</v>
      </c>
      <c r="D2317" t="s">
        <v>71</v>
      </c>
      <c r="E2317" t="s">
        <v>74</v>
      </c>
      <c r="F2317" t="s">
        <v>79</v>
      </c>
    </row>
    <row r="2318" spans="1:6" x14ac:dyDescent="0.45">
      <c r="A2318">
        <v>40</v>
      </c>
      <c r="B2318">
        <v>13</v>
      </c>
      <c r="C2318">
        <v>19000</v>
      </c>
      <c r="D2318" t="s">
        <v>71</v>
      </c>
      <c r="E2318" t="s">
        <v>72</v>
      </c>
      <c r="F2318" t="s">
        <v>79</v>
      </c>
    </row>
    <row r="2319" spans="1:6" x14ac:dyDescent="0.45">
      <c r="A2319">
        <v>40</v>
      </c>
      <c r="B2319">
        <v>13</v>
      </c>
      <c r="C2319">
        <v>19000</v>
      </c>
      <c r="D2319" t="s">
        <v>71</v>
      </c>
      <c r="E2319" t="s">
        <v>72</v>
      </c>
      <c r="F2319" t="s">
        <v>79</v>
      </c>
    </row>
    <row r="2320" spans="1:6" x14ac:dyDescent="0.45">
      <c r="A2320">
        <v>40</v>
      </c>
      <c r="B2320">
        <v>13</v>
      </c>
      <c r="C2320">
        <v>19000</v>
      </c>
      <c r="D2320" t="s">
        <v>71</v>
      </c>
      <c r="E2320" t="s">
        <v>72</v>
      </c>
      <c r="F2320" t="s">
        <v>79</v>
      </c>
    </row>
    <row r="2321" spans="1:6" x14ac:dyDescent="0.45">
      <c r="A2321">
        <v>40</v>
      </c>
      <c r="B2321">
        <v>13</v>
      </c>
      <c r="C2321">
        <v>19000</v>
      </c>
      <c r="D2321" t="s">
        <v>71</v>
      </c>
      <c r="E2321" t="s">
        <v>72</v>
      </c>
      <c r="F2321" t="s">
        <v>79</v>
      </c>
    </row>
    <row r="2322" spans="1:6" x14ac:dyDescent="0.45">
      <c r="A2322">
        <v>40</v>
      </c>
      <c r="B2322">
        <v>13</v>
      </c>
      <c r="C2322">
        <v>19000</v>
      </c>
      <c r="D2322" t="s">
        <v>71</v>
      </c>
      <c r="E2322" t="s">
        <v>72</v>
      </c>
      <c r="F2322" t="s">
        <v>79</v>
      </c>
    </row>
    <row r="2323" spans="1:6" x14ac:dyDescent="0.45">
      <c r="A2323">
        <v>40</v>
      </c>
      <c r="B2323">
        <v>13</v>
      </c>
      <c r="C2323">
        <v>19000</v>
      </c>
      <c r="D2323" t="s">
        <v>71</v>
      </c>
      <c r="E2323" t="s">
        <v>74</v>
      </c>
      <c r="F2323" t="s">
        <v>79</v>
      </c>
    </row>
    <row r="2324" spans="1:6" x14ac:dyDescent="0.45">
      <c r="A2324">
        <v>40</v>
      </c>
      <c r="B2324">
        <v>13</v>
      </c>
      <c r="C2324">
        <v>19000</v>
      </c>
      <c r="D2324" t="s">
        <v>71</v>
      </c>
      <c r="E2324" t="s">
        <v>72</v>
      </c>
      <c r="F2324" t="s">
        <v>79</v>
      </c>
    </row>
    <row r="2325" spans="1:6" x14ac:dyDescent="0.45">
      <c r="A2325">
        <v>40</v>
      </c>
      <c r="B2325">
        <v>13</v>
      </c>
      <c r="C2325">
        <v>19000</v>
      </c>
      <c r="D2325" t="s">
        <v>71</v>
      </c>
      <c r="E2325" t="s">
        <v>72</v>
      </c>
      <c r="F2325" t="s">
        <v>79</v>
      </c>
    </row>
    <row r="2326" spans="1:6" x14ac:dyDescent="0.45">
      <c r="A2326">
        <v>40</v>
      </c>
      <c r="B2326">
        <v>13</v>
      </c>
      <c r="C2326">
        <v>19000</v>
      </c>
      <c r="D2326" t="s">
        <v>76</v>
      </c>
      <c r="E2326" t="s">
        <v>72</v>
      </c>
      <c r="F2326" t="s">
        <v>79</v>
      </c>
    </row>
    <row r="2327" spans="1:6" x14ac:dyDescent="0.45">
      <c r="A2327">
        <v>40</v>
      </c>
      <c r="B2327">
        <v>13</v>
      </c>
      <c r="C2327">
        <v>19000</v>
      </c>
      <c r="D2327" t="s">
        <v>71</v>
      </c>
      <c r="E2327" t="s">
        <v>74</v>
      </c>
      <c r="F2327" t="s">
        <v>79</v>
      </c>
    </row>
    <row r="2328" spans="1:6" x14ac:dyDescent="0.45">
      <c r="A2328">
        <v>50</v>
      </c>
      <c r="B2328">
        <v>13</v>
      </c>
      <c r="C2328">
        <v>19000</v>
      </c>
      <c r="D2328" t="s">
        <v>71</v>
      </c>
      <c r="E2328" t="s">
        <v>72</v>
      </c>
      <c r="F2328" t="s">
        <v>79</v>
      </c>
    </row>
    <row r="2329" spans="1:6" x14ac:dyDescent="0.45">
      <c r="A2329">
        <v>40</v>
      </c>
      <c r="B2329">
        <v>13</v>
      </c>
      <c r="C2329">
        <v>19136</v>
      </c>
      <c r="D2329" t="s">
        <v>71</v>
      </c>
      <c r="E2329" t="s">
        <v>72</v>
      </c>
      <c r="F2329" t="s">
        <v>79</v>
      </c>
    </row>
    <row r="2330" spans="1:6" x14ac:dyDescent="0.45">
      <c r="A2330">
        <v>40</v>
      </c>
      <c r="B2330">
        <v>13</v>
      </c>
      <c r="C2330">
        <v>19200</v>
      </c>
      <c r="D2330" t="s">
        <v>71</v>
      </c>
      <c r="E2330" t="s">
        <v>74</v>
      </c>
      <c r="F2330" t="s">
        <v>79</v>
      </c>
    </row>
    <row r="2331" spans="1:6" x14ac:dyDescent="0.45">
      <c r="A2331">
        <v>40</v>
      </c>
      <c r="B2331">
        <v>13</v>
      </c>
      <c r="C2331">
        <v>19240</v>
      </c>
      <c r="D2331" t="s">
        <v>76</v>
      </c>
      <c r="E2331" t="s">
        <v>72</v>
      </c>
      <c r="F2331" t="s">
        <v>79</v>
      </c>
    </row>
    <row r="2332" spans="1:6" x14ac:dyDescent="0.45">
      <c r="A2332">
        <v>40</v>
      </c>
      <c r="B2332">
        <v>13</v>
      </c>
      <c r="C2332">
        <v>19260</v>
      </c>
      <c r="D2332" t="s">
        <v>71</v>
      </c>
      <c r="E2332" t="s">
        <v>72</v>
      </c>
      <c r="F2332" t="s">
        <v>79</v>
      </c>
    </row>
    <row r="2333" spans="1:6" x14ac:dyDescent="0.45">
      <c r="A2333">
        <v>35</v>
      </c>
      <c r="B2333">
        <v>13</v>
      </c>
      <c r="C2333">
        <v>19294</v>
      </c>
      <c r="D2333" t="s">
        <v>71</v>
      </c>
      <c r="E2333" t="s">
        <v>74</v>
      </c>
      <c r="F2333" t="s">
        <v>79</v>
      </c>
    </row>
    <row r="2334" spans="1:6" x14ac:dyDescent="0.45">
      <c r="A2334">
        <v>45</v>
      </c>
      <c r="B2334">
        <v>13</v>
      </c>
      <c r="C2334">
        <v>19350</v>
      </c>
      <c r="D2334" t="s">
        <v>71</v>
      </c>
      <c r="E2334" t="s">
        <v>72</v>
      </c>
      <c r="F2334" t="s">
        <v>79</v>
      </c>
    </row>
    <row r="2335" spans="1:6" x14ac:dyDescent="0.45">
      <c r="A2335">
        <v>40</v>
      </c>
      <c r="B2335">
        <v>13</v>
      </c>
      <c r="C2335">
        <v>19500</v>
      </c>
      <c r="D2335" t="s">
        <v>71</v>
      </c>
      <c r="E2335" t="s">
        <v>74</v>
      </c>
      <c r="F2335" t="s">
        <v>79</v>
      </c>
    </row>
    <row r="2336" spans="1:6" x14ac:dyDescent="0.45">
      <c r="A2336">
        <v>45</v>
      </c>
      <c r="B2336">
        <v>13</v>
      </c>
      <c r="C2336">
        <v>19500</v>
      </c>
      <c r="D2336" t="s">
        <v>71</v>
      </c>
      <c r="E2336" t="s">
        <v>74</v>
      </c>
      <c r="F2336" t="s">
        <v>79</v>
      </c>
    </row>
    <row r="2337" spans="1:6" x14ac:dyDescent="0.45">
      <c r="A2337">
        <v>40</v>
      </c>
      <c r="B2337">
        <v>13</v>
      </c>
      <c r="C2337">
        <v>19698</v>
      </c>
      <c r="D2337" t="s">
        <v>71</v>
      </c>
      <c r="E2337" t="s">
        <v>72</v>
      </c>
      <c r="F2337" t="s">
        <v>79</v>
      </c>
    </row>
    <row r="2338" spans="1:6" x14ac:dyDescent="0.45">
      <c r="A2338">
        <v>40</v>
      </c>
      <c r="B2338">
        <v>13</v>
      </c>
      <c r="C2338">
        <v>19708</v>
      </c>
      <c r="D2338" t="s">
        <v>76</v>
      </c>
      <c r="E2338" t="s">
        <v>72</v>
      </c>
      <c r="F2338" t="s">
        <v>79</v>
      </c>
    </row>
    <row r="2339" spans="1:6" x14ac:dyDescent="0.45">
      <c r="A2339">
        <v>40</v>
      </c>
      <c r="B2339">
        <v>13</v>
      </c>
      <c r="C2339">
        <v>19760</v>
      </c>
      <c r="D2339" t="s">
        <v>76</v>
      </c>
      <c r="E2339" t="s">
        <v>74</v>
      </c>
      <c r="F2339" t="s">
        <v>79</v>
      </c>
    </row>
    <row r="2340" spans="1:6" x14ac:dyDescent="0.45">
      <c r="A2340">
        <v>40</v>
      </c>
      <c r="B2340">
        <v>13</v>
      </c>
      <c r="C2340">
        <v>19760</v>
      </c>
      <c r="D2340" t="s">
        <v>76</v>
      </c>
      <c r="E2340" t="s">
        <v>72</v>
      </c>
      <c r="F2340" t="s">
        <v>79</v>
      </c>
    </row>
    <row r="2341" spans="1:6" x14ac:dyDescent="0.45">
      <c r="A2341">
        <v>50</v>
      </c>
      <c r="B2341">
        <v>13</v>
      </c>
      <c r="C2341">
        <v>19800</v>
      </c>
      <c r="D2341" t="s">
        <v>71</v>
      </c>
      <c r="E2341" t="s">
        <v>74</v>
      </c>
      <c r="F2341" t="s">
        <v>79</v>
      </c>
    </row>
    <row r="2342" spans="1:6" x14ac:dyDescent="0.45">
      <c r="A2342">
        <v>0</v>
      </c>
      <c r="B2342">
        <v>13</v>
      </c>
      <c r="C2342">
        <v>19900</v>
      </c>
      <c r="D2342" t="s">
        <v>71</v>
      </c>
      <c r="E2342" t="s">
        <v>72</v>
      </c>
      <c r="F2342" t="s">
        <v>79</v>
      </c>
    </row>
    <row r="2343" spans="1:6" x14ac:dyDescent="0.45">
      <c r="A2343">
        <v>48</v>
      </c>
      <c r="B2343">
        <v>13</v>
      </c>
      <c r="C2343">
        <v>20000</v>
      </c>
      <c r="D2343" t="s">
        <v>71</v>
      </c>
      <c r="E2343" t="s">
        <v>72</v>
      </c>
      <c r="F2343" t="s">
        <v>79</v>
      </c>
    </row>
    <row r="2344" spans="1:6" x14ac:dyDescent="0.45">
      <c r="A2344">
        <v>40</v>
      </c>
      <c r="B2344">
        <v>13</v>
      </c>
      <c r="C2344">
        <v>20000</v>
      </c>
      <c r="D2344" t="s">
        <v>71</v>
      </c>
      <c r="E2344" t="s">
        <v>74</v>
      </c>
      <c r="F2344" t="s">
        <v>79</v>
      </c>
    </row>
    <row r="2345" spans="1:6" x14ac:dyDescent="0.45">
      <c r="A2345">
        <v>40</v>
      </c>
      <c r="B2345">
        <v>13</v>
      </c>
      <c r="C2345">
        <v>20000</v>
      </c>
      <c r="D2345" t="s">
        <v>71</v>
      </c>
      <c r="E2345" t="s">
        <v>72</v>
      </c>
      <c r="F2345" t="s">
        <v>79</v>
      </c>
    </row>
    <row r="2346" spans="1:6" x14ac:dyDescent="0.45">
      <c r="A2346">
        <v>0</v>
      </c>
      <c r="B2346">
        <v>13</v>
      </c>
      <c r="C2346">
        <v>20000</v>
      </c>
      <c r="D2346" t="s">
        <v>71</v>
      </c>
      <c r="E2346" t="s">
        <v>72</v>
      </c>
      <c r="F2346" t="s">
        <v>79</v>
      </c>
    </row>
    <row r="2347" spans="1:6" x14ac:dyDescent="0.45">
      <c r="A2347">
        <v>40</v>
      </c>
      <c r="B2347">
        <v>13</v>
      </c>
      <c r="C2347">
        <v>20000</v>
      </c>
      <c r="D2347" t="s">
        <v>71</v>
      </c>
      <c r="E2347" t="s">
        <v>74</v>
      </c>
      <c r="F2347" t="s">
        <v>79</v>
      </c>
    </row>
    <row r="2348" spans="1:6" x14ac:dyDescent="0.45">
      <c r="A2348">
        <v>0</v>
      </c>
      <c r="B2348">
        <v>13</v>
      </c>
      <c r="C2348">
        <v>20000</v>
      </c>
      <c r="D2348" t="s">
        <v>71</v>
      </c>
      <c r="E2348" t="s">
        <v>72</v>
      </c>
      <c r="F2348" t="s">
        <v>79</v>
      </c>
    </row>
    <row r="2349" spans="1:6" x14ac:dyDescent="0.45">
      <c r="A2349">
        <v>40</v>
      </c>
      <c r="B2349">
        <v>13</v>
      </c>
      <c r="C2349">
        <v>20000</v>
      </c>
      <c r="D2349" t="s">
        <v>71</v>
      </c>
      <c r="E2349" t="s">
        <v>74</v>
      </c>
      <c r="F2349" t="s">
        <v>79</v>
      </c>
    </row>
    <row r="2350" spans="1:6" x14ac:dyDescent="0.45">
      <c r="A2350">
        <v>40</v>
      </c>
      <c r="B2350">
        <v>13</v>
      </c>
      <c r="C2350">
        <v>20000</v>
      </c>
      <c r="D2350" t="s">
        <v>71</v>
      </c>
      <c r="E2350" t="s">
        <v>74</v>
      </c>
      <c r="F2350" t="s">
        <v>79</v>
      </c>
    </row>
    <row r="2351" spans="1:6" x14ac:dyDescent="0.45">
      <c r="A2351">
        <v>40</v>
      </c>
      <c r="B2351">
        <v>13</v>
      </c>
      <c r="C2351">
        <v>20000</v>
      </c>
      <c r="D2351" t="s">
        <v>71</v>
      </c>
      <c r="E2351" t="s">
        <v>74</v>
      </c>
      <c r="F2351" t="s">
        <v>79</v>
      </c>
    </row>
    <row r="2352" spans="1:6" x14ac:dyDescent="0.45">
      <c r="A2352">
        <v>40</v>
      </c>
      <c r="B2352">
        <v>13</v>
      </c>
      <c r="C2352">
        <v>20000</v>
      </c>
      <c r="D2352" t="s">
        <v>71</v>
      </c>
      <c r="E2352" t="s">
        <v>72</v>
      </c>
      <c r="F2352" t="s">
        <v>79</v>
      </c>
    </row>
    <row r="2353" spans="1:6" x14ac:dyDescent="0.45">
      <c r="A2353">
        <v>40</v>
      </c>
      <c r="B2353">
        <v>13</v>
      </c>
      <c r="C2353">
        <v>20000</v>
      </c>
      <c r="D2353" t="s">
        <v>71</v>
      </c>
      <c r="E2353" t="s">
        <v>74</v>
      </c>
      <c r="F2353" t="s">
        <v>79</v>
      </c>
    </row>
    <row r="2354" spans="1:6" x14ac:dyDescent="0.45">
      <c r="A2354">
        <v>40</v>
      </c>
      <c r="B2354">
        <v>13</v>
      </c>
      <c r="C2354">
        <v>20000</v>
      </c>
      <c r="D2354" t="s">
        <v>71</v>
      </c>
      <c r="E2354" t="s">
        <v>72</v>
      </c>
      <c r="F2354" t="s">
        <v>79</v>
      </c>
    </row>
    <row r="2355" spans="1:6" x14ac:dyDescent="0.45">
      <c r="A2355">
        <v>40</v>
      </c>
      <c r="B2355">
        <v>13</v>
      </c>
      <c r="C2355">
        <v>20000</v>
      </c>
      <c r="D2355" t="s">
        <v>71</v>
      </c>
      <c r="E2355" t="s">
        <v>72</v>
      </c>
      <c r="F2355" t="s">
        <v>79</v>
      </c>
    </row>
    <row r="2356" spans="1:6" x14ac:dyDescent="0.45">
      <c r="A2356">
        <v>42</v>
      </c>
      <c r="B2356">
        <v>13</v>
      </c>
      <c r="C2356">
        <v>20000</v>
      </c>
      <c r="D2356" t="s">
        <v>71</v>
      </c>
      <c r="E2356" t="s">
        <v>74</v>
      </c>
      <c r="F2356" t="s">
        <v>79</v>
      </c>
    </row>
    <row r="2357" spans="1:6" x14ac:dyDescent="0.45">
      <c r="A2357">
        <v>40</v>
      </c>
      <c r="B2357">
        <v>13</v>
      </c>
      <c r="C2357">
        <v>20000</v>
      </c>
      <c r="D2357" t="s">
        <v>71</v>
      </c>
      <c r="E2357" t="s">
        <v>72</v>
      </c>
      <c r="F2357" t="s">
        <v>79</v>
      </c>
    </row>
    <row r="2358" spans="1:6" x14ac:dyDescent="0.45">
      <c r="A2358">
        <v>55</v>
      </c>
      <c r="B2358">
        <v>13</v>
      </c>
      <c r="C2358">
        <v>20000</v>
      </c>
      <c r="D2358" t="s">
        <v>71</v>
      </c>
      <c r="E2358" t="s">
        <v>74</v>
      </c>
      <c r="F2358" t="s">
        <v>79</v>
      </c>
    </row>
    <row r="2359" spans="1:6" x14ac:dyDescent="0.45">
      <c r="A2359">
        <v>40</v>
      </c>
      <c r="B2359">
        <v>13</v>
      </c>
      <c r="C2359">
        <v>20000</v>
      </c>
      <c r="D2359" t="s">
        <v>71</v>
      </c>
      <c r="E2359" t="s">
        <v>72</v>
      </c>
      <c r="F2359" t="s">
        <v>79</v>
      </c>
    </row>
    <row r="2360" spans="1:6" x14ac:dyDescent="0.45">
      <c r="A2360">
        <v>45</v>
      </c>
      <c r="B2360">
        <v>13</v>
      </c>
      <c r="C2360">
        <v>20000</v>
      </c>
      <c r="D2360" t="s">
        <v>76</v>
      </c>
      <c r="E2360" t="s">
        <v>74</v>
      </c>
      <c r="F2360" t="s">
        <v>79</v>
      </c>
    </row>
    <row r="2361" spans="1:6" x14ac:dyDescent="0.45">
      <c r="A2361">
        <v>40</v>
      </c>
      <c r="B2361">
        <v>13</v>
      </c>
      <c r="C2361">
        <v>20000</v>
      </c>
      <c r="D2361" t="s">
        <v>76</v>
      </c>
      <c r="E2361" t="s">
        <v>72</v>
      </c>
      <c r="F2361" t="s">
        <v>79</v>
      </c>
    </row>
    <row r="2362" spans="1:6" x14ac:dyDescent="0.45">
      <c r="A2362">
        <v>50</v>
      </c>
      <c r="B2362">
        <v>13</v>
      </c>
      <c r="C2362">
        <v>20000</v>
      </c>
      <c r="D2362" t="s">
        <v>71</v>
      </c>
      <c r="E2362" t="s">
        <v>74</v>
      </c>
      <c r="F2362" t="s">
        <v>79</v>
      </c>
    </row>
    <row r="2363" spans="1:6" x14ac:dyDescent="0.45">
      <c r="A2363">
        <v>40</v>
      </c>
      <c r="B2363">
        <v>13</v>
      </c>
      <c r="C2363">
        <v>20000</v>
      </c>
      <c r="D2363" t="s">
        <v>71</v>
      </c>
      <c r="E2363" t="s">
        <v>74</v>
      </c>
      <c r="F2363" t="s">
        <v>79</v>
      </c>
    </row>
    <row r="2364" spans="1:6" x14ac:dyDescent="0.45">
      <c r="A2364">
        <v>40</v>
      </c>
      <c r="B2364">
        <v>13</v>
      </c>
      <c r="C2364">
        <v>20000</v>
      </c>
      <c r="D2364" t="s">
        <v>71</v>
      </c>
      <c r="E2364" t="s">
        <v>74</v>
      </c>
      <c r="F2364" t="s">
        <v>79</v>
      </c>
    </row>
    <row r="2365" spans="1:6" x14ac:dyDescent="0.45">
      <c r="A2365">
        <v>40</v>
      </c>
      <c r="B2365">
        <v>13</v>
      </c>
      <c r="C2365">
        <v>20000</v>
      </c>
      <c r="D2365" t="s">
        <v>76</v>
      </c>
      <c r="E2365" t="s">
        <v>72</v>
      </c>
      <c r="F2365" t="s">
        <v>79</v>
      </c>
    </row>
    <row r="2366" spans="1:6" x14ac:dyDescent="0.45">
      <c r="A2366">
        <v>40</v>
      </c>
      <c r="B2366">
        <v>13</v>
      </c>
      <c r="C2366">
        <v>20000</v>
      </c>
      <c r="D2366" t="s">
        <v>71</v>
      </c>
      <c r="E2366" t="s">
        <v>72</v>
      </c>
      <c r="F2366" t="s">
        <v>79</v>
      </c>
    </row>
    <row r="2367" spans="1:6" x14ac:dyDescent="0.45">
      <c r="A2367">
        <v>40</v>
      </c>
      <c r="B2367">
        <v>13</v>
      </c>
      <c r="C2367">
        <v>20000</v>
      </c>
      <c r="D2367" t="s">
        <v>75</v>
      </c>
      <c r="E2367" t="s">
        <v>74</v>
      </c>
      <c r="F2367" t="s">
        <v>79</v>
      </c>
    </row>
    <row r="2368" spans="1:6" x14ac:dyDescent="0.45">
      <c r="A2368">
        <v>0</v>
      </c>
      <c r="B2368">
        <v>13</v>
      </c>
      <c r="C2368">
        <v>20000</v>
      </c>
      <c r="D2368" t="s">
        <v>71</v>
      </c>
      <c r="E2368" t="s">
        <v>74</v>
      </c>
      <c r="F2368" t="s">
        <v>79</v>
      </c>
    </row>
    <row r="2369" spans="1:6" x14ac:dyDescent="0.45">
      <c r="A2369">
        <v>35</v>
      </c>
      <c r="B2369">
        <v>13</v>
      </c>
      <c r="C2369">
        <v>20000</v>
      </c>
      <c r="D2369" t="s">
        <v>71</v>
      </c>
      <c r="E2369" t="s">
        <v>72</v>
      </c>
      <c r="F2369" t="s">
        <v>79</v>
      </c>
    </row>
    <row r="2370" spans="1:6" x14ac:dyDescent="0.45">
      <c r="A2370">
        <v>65</v>
      </c>
      <c r="B2370">
        <v>13</v>
      </c>
      <c r="C2370">
        <v>20000</v>
      </c>
      <c r="D2370" t="s">
        <v>76</v>
      </c>
      <c r="E2370" t="s">
        <v>74</v>
      </c>
      <c r="F2370" t="s">
        <v>79</v>
      </c>
    </row>
    <row r="2371" spans="1:6" x14ac:dyDescent="0.45">
      <c r="A2371">
        <v>40</v>
      </c>
      <c r="B2371">
        <v>13</v>
      </c>
      <c r="C2371">
        <v>20000</v>
      </c>
      <c r="D2371" t="s">
        <v>71</v>
      </c>
      <c r="E2371" t="s">
        <v>72</v>
      </c>
      <c r="F2371" t="s">
        <v>79</v>
      </c>
    </row>
    <row r="2372" spans="1:6" x14ac:dyDescent="0.45">
      <c r="A2372">
        <v>40</v>
      </c>
      <c r="B2372">
        <v>13</v>
      </c>
      <c r="C2372">
        <v>20000</v>
      </c>
      <c r="D2372" t="s">
        <v>71</v>
      </c>
      <c r="E2372" t="s">
        <v>72</v>
      </c>
      <c r="F2372" t="s">
        <v>79</v>
      </c>
    </row>
    <row r="2373" spans="1:6" x14ac:dyDescent="0.45">
      <c r="A2373">
        <v>50</v>
      </c>
      <c r="B2373">
        <v>13</v>
      </c>
      <c r="C2373">
        <v>20000</v>
      </c>
      <c r="D2373" t="s">
        <v>71</v>
      </c>
      <c r="E2373" t="s">
        <v>74</v>
      </c>
      <c r="F2373" t="s">
        <v>79</v>
      </c>
    </row>
    <row r="2374" spans="1:6" x14ac:dyDescent="0.45">
      <c r="A2374">
        <v>40</v>
      </c>
      <c r="B2374">
        <v>13</v>
      </c>
      <c r="C2374">
        <v>20000</v>
      </c>
      <c r="D2374" t="s">
        <v>71</v>
      </c>
      <c r="E2374" t="s">
        <v>72</v>
      </c>
      <c r="F2374" t="s">
        <v>79</v>
      </c>
    </row>
    <row r="2375" spans="1:6" x14ac:dyDescent="0.45">
      <c r="A2375">
        <v>40</v>
      </c>
      <c r="B2375">
        <v>13</v>
      </c>
      <c r="C2375">
        <v>20000</v>
      </c>
      <c r="D2375" t="s">
        <v>71</v>
      </c>
      <c r="E2375" t="s">
        <v>72</v>
      </c>
      <c r="F2375" t="s">
        <v>79</v>
      </c>
    </row>
    <row r="2376" spans="1:6" x14ac:dyDescent="0.45">
      <c r="A2376">
        <v>40</v>
      </c>
      <c r="B2376">
        <v>13</v>
      </c>
      <c r="C2376">
        <v>20000</v>
      </c>
      <c r="D2376" t="s">
        <v>71</v>
      </c>
      <c r="E2376" t="s">
        <v>74</v>
      </c>
      <c r="F2376" t="s">
        <v>79</v>
      </c>
    </row>
    <row r="2377" spans="1:6" x14ac:dyDescent="0.45">
      <c r="A2377">
        <v>40</v>
      </c>
      <c r="B2377">
        <v>13</v>
      </c>
      <c r="C2377">
        <v>20000</v>
      </c>
      <c r="D2377" t="s">
        <v>71</v>
      </c>
      <c r="E2377" t="s">
        <v>74</v>
      </c>
      <c r="F2377" t="s">
        <v>79</v>
      </c>
    </row>
    <row r="2378" spans="1:6" x14ac:dyDescent="0.45">
      <c r="A2378">
        <v>40</v>
      </c>
      <c r="B2378">
        <v>13</v>
      </c>
      <c r="C2378">
        <v>20000</v>
      </c>
      <c r="D2378" t="s">
        <v>76</v>
      </c>
      <c r="E2378" t="s">
        <v>72</v>
      </c>
      <c r="F2378" t="s">
        <v>79</v>
      </c>
    </row>
    <row r="2379" spans="1:6" x14ac:dyDescent="0.45">
      <c r="A2379">
        <v>45</v>
      </c>
      <c r="B2379">
        <v>13</v>
      </c>
      <c r="C2379">
        <v>20000</v>
      </c>
      <c r="D2379" t="s">
        <v>71</v>
      </c>
      <c r="E2379" t="s">
        <v>72</v>
      </c>
      <c r="F2379" t="s">
        <v>79</v>
      </c>
    </row>
    <row r="2380" spans="1:6" x14ac:dyDescent="0.45">
      <c r="A2380">
        <v>37</v>
      </c>
      <c r="B2380">
        <v>13</v>
      </c>
      <c r="C2380">
        <v>20000</v>
      </c>
      <c r="D2380" t="s">
        <v>71</v>
      </c>
      <c r="E2380" t="s">
        <v>72</v>
      </c>
      <c r="F2380" t="s">
        <v>79</v>
      </c>
    </row>
    <row r="2381" spans="1:6" x14ac:dyDescent="0.45">
      <c r="A2381">
        <v>50</v>
      </c>
      <c r="B2381">
        <v>13</v>
      </c>
      <c r="C2381">
        <v>20000</v>
      </c>
      <c r="D2381" t="s">
        <v>71</v>
      </c>
      <c r="E2381" t="s">
        <v>74</v>
      </c>
      <c r="F2381" t="s">
        <v>79</v>
      </c>
    </row>
    <row r="2382" spans="1:6" x14ac:dyDescent="0.45">
      <c r="A2382">
        <v>54</v>
      </c>
      <c r="B2382">
        <v>13</v>
      </c>
      <c r="C2382">
        <v>20000</v>
      </c>
      <c r="D2382" t="s">
        <v>71</v>
      </c>
      <c r="E2382" t="s">
        <v>72</v>
      </c>
      <c r="F2382" t="s">
        <v>79</v>
      </c>
    </row>
    <row r="2383" spans="1:6" x14ac:dyDescent="0.45">
      <c r="A2383">
        <v>40</v>
      </c>
      <c r="B2383">
        <v>13</v>
      </c>
      <c r="C2383">
        <v>20000</v>
      </c>
      <c r="D2383" t="s">
        <v>71</v>
      </c>
      <c r="E2383" t="s">
        <v>74</v>
      </c>
      <c r="F2383" t="s">
        <v>79</v>
      </c>
    </row>
    <row r="2384" spans="1:6" x14ac:dyDescent="0.45">
      <c r="A2384">
        <v>40</v>
      </c>
      <c r="B2384">
        <v>13</v>
      </c>
      <c r="C2384">
        <v>20000</v>
      </c>
      <c r="D2384" t="s">
        <v>71</v>
      </c>
      <c r="E2384" t="s">
        <v>72</v>
      </c>
      <c r="F2384" t="s">
        <v>79</v>
      </c>
    </row>
    <row r="2385" spans="1:6" x14ac:dyDescent="0.45">
      <c r="A2385">
        <v>40</v>
      </c>
      <c r="B2385">
        <v>13</v>
      </c>
      <c r="C2385">
        <v>20000</v>
      </c>
      <c r="D2385" t="s">
        <v>71</v>
      </c>
      <c r="E2385" t="s">
        <v>72</v>
      </c>
      <c r="F2385" t="s">
        <v>79</v>
      </c>
    </row>
    <row r="2386" spans="1:6" x14ac:dyDescent="0.45">
      <c r="A2386">
        <v>40</v>
      </c>
      <c r="B2386">
        <v>13</v>
      </c>
      <c r="C2386">
        <v>20000</v>
      </c>
      <c r="D2386" t="s">
        <v>71</v>
      </c>
      <c r="E2386" t="s">
        <v>72</v>
      </c>
      <c r="F2386" t="s">
        <v>79</v>
      </c>
    </row>
    <row r="2387" spans="1:6" x14ac:dyDescent="0.45">
      <c r="A2387">
        <v>40</v>
      </c>
      <c r="B2387">
        <v>13</v>
      </c>
      <c r="C2387">
        <v>20000</v>
      </c>
      <c r="D2387" t="s">
        <v>71</v>
      </c>
      <c r="E2387" t="s">
        <v>74</v>
      </c>
      <c r="F2387" t="s">
        <v>79</v>
      </c>
    </row>
    <row r="2388" spans="1:6" x14ac:dyDescent="0.45">
      <c r="A2388">
        <v>40</v>
      </c>
      <c r="B2388">
        <v>13</v>
      </c>
      <c r="C2388">
        <v>20000</v>
      </c>
      <c r="D2388" t="s">
        <v>71</v>
      </c>
      <c r="E2388" t="s">
        <v>72</v>
      </c>
      <c r="F2388" t="s">
        <v>79</v>
      </c>
    </row>
    <row r="2389" spans="1:6" x14ac:dyDescent="0.45">
      <c r="A2389">
        <v>48</v>
      </c>
      <c r="B2389">
        <v>13</v>
      </c>
      <c r="C2389">
        <v>20052</v>
      </c>
      <c r="D2389" t="s">
        <v>71</v>
      </c>
      <c r="E2389" t="s">
        <v>72</v>
      </c>
      <c r="F2389" t="s">
        <v>79</v>
      </c>
    </row>
    <row r="2390" spans="1:6" x14ac:dyDescent="0.45">
      <c r="A2390">
        <v>52</v>
      </c>
      <c r="B2390">
        <v>13</v>
      </c>
      <c r="C2390">
        <v>20155</v>
      </c>
      <c r="D2390" t="s">
        <v>71</v>
      </c>
      <c r="E2390" t="s">
        <v>72</v>
      </c>
      <c r="F2390" t="s">
        <v>79</v>
      </c>
    </row>
    <row r="2391" spans="1:6" x14ac:dyDescent="0.45">
      <c r="A2391">
        <v>35</v>
      </c>
      <c r="B2391">
        <v>13</v>
      </c>
      <c r="C2391">
        <v>20400</v>
      </c>
      <c r="D2391" t="s">
        <v>76</v>
      </c>
      <c r="E2391" t="s">
        <v>74</v>
      </c>
      <c r="F2391" t="s">
        <v>79</v>
      </c>
    </row>
    <row r="2392" spans="1:6" x14ac:dyDescent="0.45">
      <c r="A2392">
        <v>0</v>
      </c>
      <c r="B2392">
        <v>13</v>
      </c>
      <c r="C2392">
        <v>20500</v>
      </c>
      <c r="D2392" t="s">
        <v>71</v>
      </c>
      <c r="E2392" t="s">
        <v>72</v>
      </c>
      <c r="F2392" t="s">
        <v>79</v>
      </c>
    </row>
    <row r="2393" spans="1:6" x14ac:dyDescent="0.45">
      <c r="A2393">
        <v>40</v>
      </c>
      <c r="B2393">
        <v>13</v>
      </c>
      <c r="C2393">
        <v>20600</v>
      </c>
      <c r="D2393" t="s">
        <v>76</v>
      </c>
      <c r="E2393" t="s">
        <v>74</v>
      </c>
      <c r="F2393" t="s">
        <v>79</v>
      </c>
    </row>
    <row r="2394" spans="1:6" x14ac:dyDescent="0.45">
      <c r="A2394">
        <v>40</v>
      </c>
      <c r="B2394">
        <v>13</v>
      </c>
      <c r="C2394">
        <v>20600</v>
      </c>
      <c r="D2394" t="s">
        <v>71</v>
      </c>
      <c r="E2394" t="s">
        <v>74</v>
      </c>
      <c r="F2394" t="s">
        <v>79</v>
      </c>
    </row>
    <row r="2395" spans="1:6" x14ac:dyDescent="0.45">
      <c r="A2395">
        <v>49</v>
      </c>
      <c r="B2395">
        <v>13</v>
      </c>
      <c r="C2395">
        <v>20616</v>
      </c>
      <c r="D2395" t="s">
        <v>71</v>
      </c>
      <c r="E2395" t="s">
        <v>72</v>
      </c>
      <c r="F2395" t="s">
        <v>79</v>
      </c>
    </row>
    <row r="2396" spans="1:6" x14ac:dyDescent="0.45">
      <c r="A2396">
        <v>40</v>
      </c>
      <c r="B2396">
        <v>13</v>
      </c>
      <c r="C2396">
        <v>20722</v>
      </c>
      <c r="D2396" t="s">
        <v>71</v>
      </c>
      <c r="E2396" t="s">
        <v>72</v>
      </c>
      <c r="F2396" t="s">
        <v>79</v>
      </c>
    </row>
    <row r="2397" spans="1:6" x14ac:dyDescent="0.45">
      <c r="A2397">
        <v>39</v>
      </c>
      <c r="B2397">
        <v>13</v>
      </c>
      <c r="C2397">
        <v>20722</v>
      </c>
      <c r="D2397" t="s">
        <v>71</v>
      </c>
      <c r="E2397" t="s">
        <v>72</v>
      </c>
      <c r="F2397" t="s">
        <v>79</v>
      </c>
    </row>
    <row r="2398" spans="1:6" x14ac:dyDescent="0.45">
      <c r="A2398">
        <v>60</v>
      </c>
      <c r="B2398">
        <v>13</v>
      </c>
      <c r="C2398">
        <v>20733</v>
      </c>
      <c r="D2398" t="s">
        <v>76</v>
      </c>
      <c r="E2398" t="s">
        <v>72</v>
      </c>
      <c r="F2398" t="s">
        <v>79</v>
      </c>
    </row>
    <row r="2399" spans="1:6" x14ac:dyDescent="0.45">
      <c r="A2399">
        <v>40</v>
      </c>
      <c r="B2399">
        <v>13</v>
      </c>
      <c r="C2399">
        <v>20800</v>
      </c>
      <c r="D2399" t="s">
        <v>71</v>
      </c>
      <c r="E2399" t="s">
        <v>72</v>
      </c>
      <c r="F2399" t="s">
        <v>79</v>
      </c>
    </row>
    <row r="2400" spans="1:6" x14ac:dyDescent="0.45">
      <c r="A2400">
        <v>40</v>
      </c>
      <c r="B2400">
        <v>13</v>
      </c>
      <c r="C2400">
        <v>21000</v>
      </c>
      <c r="D2400" t="s">
        <v>71</v>
      </c>
      <c r="E2400" t="s">
        <v>74</v>
      </c>
      <c r="F2400" t="s">
        <v>79</v>
      </c>
    </row>
    <row r="2401" spans="1:6" x14ac:dyDescent="0.45">
      <c r="A2401">
        <v>40</v>
      </c>
      <c r="B2401">
        <v>13</v>
      </c>
      <c r="C2401">
        <v>21000</v>
      </c>
      <c r="D2401" t="s">
        <v>76</v>
      </c>
      <c r="E2401" t="s">
        <v>72</v>
      </c>
      <c r="F2401" t="s">
        <v>79</v>
      </c>
    </row>
    <row r="2402" spans="1:6" x14ac:dyDescent="0.45">
      <c r="A2402">
        <v>40</v>
      </c>
      <c r="B2402">
        <v>13</v>
      </c>
      <c r="C2402">
        <v>21000</v>
      </c>
      <c r="D2402" t="s">
        <v>76</v>
      </c>
      <c r="E2402" t="s">
        <v>74</v>
      </c>
      <c r="F2402" t="s">
        <v>79</v>
      </c>
    </row>
    <row r="2403" spans="1:6" x14ac:dyDescent="0.45">
      <c r="A2403">
        <v>40</v>
      </c>
      <c r="B2403">
        <v>13</v>
      </c>
      <c r="C2403">
        <v>21000</v>
      </c>
      <c r="D2403" t="s">
        <v>71</v>
      </c>
      <c r="E2403" t="s">
        <v>72</v>
      </c>
      <c r="F2403" t="s">
        <v>79</v>
      </c>
    </row>
    <row r="2404" spans="1:6" x14ac:dyDescent="0.45">
      <c r="A2404">
        <v>45</v>
      </c>
      <c r="B2404">
        <v>13</v>
      </c>
      <c r="C2404">
        <v>21000</v>
      </c>
      <c r="D2404" t="s">
        <v>71</v>
      </c>
      <c r="E2404" t="s">
        <v>72</v>
      </c>
      <c r="F2404" t="s">
        <v>79</v>
      </c>
    </row>
    <row r="2405" spans="1:6" x14ac:dyDescent="0.45">
      <c r="A2405">
        <v>40</v>
      </c>
      <c r="B2405">
        <v>13</v>
      </c>
      <c r="C2405">
        <v>21000</v>
      </c>
      <c r="D2405" t="s">
        <v>71</v>
      </c>
      <c r="E2405" t="s">
        <v>74</v>
      </c>
      <c r="F2405" t="s">
        <v>79</v>
      </c>
    </row>
    <row r="2406" spans="1:6" x14ac:dyDescent="0.45">
      <c r="A2406">
        <v>40</v>
      </c>
      <c r="B2406">
        <v>13</v>
      </c>
      <c r="C2406">
        <v>21000</v>
      </c>
      <c r="D2406" t="s">
        <v>71</v>
      </c>
      <c r="E2406" t="s">
        <v>72</v>
      </c>
      <c r="F2406" t="s">
        <v>79</v>
      </c>
    </row>
    <row r="2407" spans="1:6" x14ac:dyDescent="0.45">
      <c r="A2407">
        <v>40</v>
      </c>
      <c r="B2407">
        <v>13</v>
      </c>
      <c r="C2407">
        <v>21000</v>
      </c>
      <c r="D2407" t="s">
        <v>71</v>
      </c>
      <c r="E2407" t="s">
        <v>74</v>
      </c>
      <c r="F2407" t="s">
        <v>79</v>
      </c>
    </row>
    <row r="2408" spans="1:6" x14ac:dyDescent="0.45">
      <c r="A2408">
        <v>40</v>
      </c>
      <c r="B2408">
        <v>13</v>
      </c>
      <c r="C2408">
        <v>21000</v>
      </c>
      <c r="D2408" t="s">
        <v>71</v>
      </c>
      <c r="E2408" t="s">
        <v>72</v>
      </c>
      <c r="F2408" t="s">
        <v>79</v>
      </c>
    </row>
    <row r="2409" spans="1:6" x14ac:dyDescent="0.45">
      <c r="A2409">
        <v>40</v>
      </c>
      <c r="B2409">
        <v>13</v>
      </c>
      <c r="C2409">
        <v>21000</v>
      </c>
      <c r="D2409" t="s">
        <v>76</v>
      </c>
      <c r="E2409" t="s">
        <v>72</v>
      </c>
      <c r="F2409" t="s">
        <v>79</v>
      </c>
    </row>
    <row r="2410" spans="1:6" x14ac:dyDescent="0.45">
      <c r="A2410">
        <v>40</v>
      </c>
      <c r="B2410">
        <v>13</v>
      </c>
      <c r="C2410">
        <v>21000</v>
      </c>
      <c r="D2410" t="s">
        <v>71</v>
      </c>
      <c r="E2410" t="s">
        <v>72</v>
      </c>
      <c r="F2410" t="s">
        <v>79</v>
      </c>
    </row>
    <row r="2411" spans="1:6" x14ac:dyDescent="0.45">
      <c r="A2411">
        <v>60</v>
      </c>
      <c r="B2411">
        <v>13</v>
      </c>
      <c r="C2411">
        <v>21000</v>
      </c>
      <c r="D2411" t="s">
        <v>71</v>
      </c>
      <c r="E2411" t="s">
        <v>74</v>
      </c>
      <c r="F2411" t="s">
        <v>79</v>
      </c>
    </row>
    <row r="2412" spans="1:6" x14ac:dyDescent="0.45">
      <c r="A2412">
        <v>40</v>
      </c>
      <c r="B2412">
        <v>13</v>
      </c>
      <c r="C2412">
        <v>21000</v>
      </c>
      <c r="D2412" t="s">
        <v>71</v>
      </c>
      <c r="E2412" t="s">
        <v>72</v>
      </c>
      <c r="F2412" t="s">
        <v>79</v>
      </c>
    </row>
    <row r="2413" spans="1:6" x14ac:dyDescent="0.45">
      <c r="A2413">
        <v>40</v>
      </c>
      <c r="B2413">
        <v>13</v>
      </c>
      <c r="C2413">
        <v>21000</v>
      </c>
      <c r="D2413" t="s">
        <v>71</v>
      </c>
      <c r="E2413" t="s">
        <v>72</v>
      </c>
      <c r="F2413" t="s">
        <v>79</v>
      </c>
    </row>
    <row r="2414" spans="1:6" x14ac:dyDescent="0.45">
      <c r="A2414">
        <v>40</v>
      </c>
      <c r="B2414">
        <v>13</v>
      </c>
      <c r="C2414">
        <v>21000</v>
      </c>
      <c r="D2414" t="s">
        <v>71</v>
      </c>
      <c r="E2414" t="s">
        <v>72</v>
      </c>
      <c r="F2414" t="s">
        <v>79</v>
      </c>
    </row>
    <row r="2415" spans="1:6" x14ac:dyDescent="0.45">
      <c r="A2415">
        <v>40</v>
      </c>
      <c r="B2415">
        <v>13</v>
      </c>
      <c r="C2415">
        <v>21375</v>
      </c>
      <c r="D2415" t="s">
        <v>76</v>
      </c>
      <c r="E2415" t="s">
        <v>74</v>
      </c>
      <c r="F2415" t="s">
        <v>79</v>
      </c>
    </row>
    <row r="2416" spans="1:6" x14ac:dyDescent="0.45">
      <c r="A2416">
        <v>60</v>
      </c>
      <c r="B2416">
        <v>13</v>
      </c>
      <c r="C2416">
        <v>21526</v>
      </c>
      <c r="D2416" t="s">
        <v>71</v>
      </c>
      <c r="E2416" t="s">
        <v>72</v>
      </c>
      <c r="F2416" t="s">
        <v>79</v>
      </c>
    </row>
    <row r="2417" spans="1:6" x14ac:dyDescent="0.45">
      <c r="A2417">
        <v>40</v>
      </c>
      <c r="B2417">
        <v>13</v>
      </c>
      <c r="C2417">
        <v>21700</v>
      </c>
      <c r="D2417" t="s">
        <v>71</v>
      </c>
      <c r="E2417" t="s">
        <v>72</v>
      </c>
      <c r="F2417" t="s">
        <v>79</v>
      </c>
    </row>
    <row r="2418" spans="1:6" x14ac:dyDescent="0.45">
      <c r="A2418">
        <v>36</v>
      </c>
      <c r="B2418">
        <v>13</v>
      </c>
      <c r="C2418">
        <v>21800</v>
      </c>
      <c r="D2418" t="s">
        <v>71</v>
      </c>
      <c r="E2418" t="s">
        <v>72</v>
      </c>
      <c r="F2418" t="s">
        <v>79</v>
      </c>
    </row>
    <row r="2419" spans="1:6" x14ac:dyDescent="0.45">
      <c r="A2419">
        <v>40</v>
      </c>
      <c r="B2419">
        <v>13</v>
      </c>
      <c r="C2419">
        <v>21840</v>
      </c>
      <c r="D2419" t="s">
        <v>71</v>
      </c>
      <c r="E2419" t="s">
        <v>74</v>
      </c>
      <c r="F2419" t="s">
        <v>79</v>
      </c>
    </row>
    <row r="2420" spans="1:6" x14ac:dyDescent="0.45">
      <c r="A2420">
        <v>45</v>
      </c>
      <c r="B2420">
        <v>13</v>
      </c>
      <c r="C2420">
        <v>22000</v>
      </c>
      <c r="D2420" t="s">
        <v>76</v>
      </c>
      <c r="E2420" t="s">
        <v>74</v>
      </c>
      <c r="F2420" t="s">
        <v>79</v>
      </c>
    </row>
    <row r="2421" spans="1:6" x14ac:dyDescent="0.45">
      <c r="A2421">
        <v>43</v>
      </c>
      <c r="B2421">
        <v>13</v>
      </c>
      <c r="C2421">
        <v>22000</v>
      </c>
      <c r="D2421" t="s">
        <v>71</v>
      </c>
      <c r="E2421" t="s">
        <v>74</v>
      </c>
      <c r="F2421" t="s">
        <v>79</v>
      </c>
    </row>
    <row r="2422" spans="1:6" x14ac:dyDescent="0.45">
      <c r="A2422">
        <v>40</v>
      </c>
      <c r="B2422">
        <v>13</v>
      </c>
      <c r="C2422">
        <v>22000</v>
      </c>
      <c r="D2422" t="s">
        <v>71</v>
      </c>
      <c r="E2422" t="s">
        <v>74</v>
      </c>
      <c r="F2422" t="s">
        <v>79</v>
      </c>
    </row>
    <row r="2423" spans="1:6" x14ac:dyDescent="0.45">
      <c r="A2423">
        <v>40</v>
      </c>
      <c r="B2423">
        <v>13</v>
      </c>
      <c r="C2423">
        <v>22000</v>
      </c>
      <c r="D2423" t="s">
        <v>71</v>
      </c>
      <c r="E2423" t="s">
        <v>72</v>
      </c>
      <c r="F2423" t="s">
        <v>79</v>
      </c>
    </row>
    <row r="2424" spans="1:6" x14ac:dyDescent="0.45">
      <c r="A2424">
        <v>0</v>
      </c>
      <c r="B2424">
        <v>13</v>
      </c>
      <c r="C2424">
        <v>22000</v>
      </c>
      <c r="D2424" t="s">
        <v>71</v>
      </c>
      <c r="E2424" t="s">
        <v>74</v>
      </c>
      <c r="F2424" t="s">
        <v>79</v>
      </c>
    </row>
    <row r="2425" spans="1:6" x14ac:dyDescent="0.45">
      <c r="A2425">
        <v>65</v>
      </c>
      <c r="B2425">
        <v>13</v>
      </c>
      <c r="C2425">
        <v>22000</v>
      </c>
      <c r="D2425" t="s">
        <v>71</v>
      </c>
      <c r="E2425" t="s">
        <v>72</v>
      </c>
      <c r="F2425" t="s">
        <v>79</v>
      </c>
    </row>
    <row r="2426" spans="1:6" x14ac:dyDescent="0.45">
      <c r="A2426">
        <v>40</v>
      </c>
      <c r="B2426">
        <v>13</v>
      </c>
      <c r="C2426">
        <v>22000</v>
      </c>
      <c r="D2426" t="s">
        <v>77</v>
      </c>
      <c r="E2426" t="s">
        <v>74</v>
      </c>
      <c r="F2426" t="s">
        <v>79</v>
      </c>
    </row>
    <row r="2427" spans="1:6" x14ac:dyDescent="0.45">
      <c r="A2427">
        <v>40</v>
      </c>
      <c r="B2427">
        <v>13</v>
      </c>
      <c r="C2427">
        <v>22000</v>
      </c>
      <c r="D2427" t="s">
        <v>71</v>
      </c>
      <c r="E2427" t="s">
        <v>74</v>
      </c>
      <c r="F2427" t="s">
        <v>79</v>
      </c>
    </row>
    <row r="2428" spans="1:6" x14ac:dyDescent="0.45">
      <c r="A2428">
        <v>40</v>
      </c>
      <c r="B2428">
        <v>13</v>
      </c>
      <c r="C2428">
        <v>22000</v>
      </c>
      <c r="D2428" t="s">
        <v>71</v>
      </c>
      <c r="E2428" t="s">
        <v>72</v>
      </c>
      <c r="F2428" t="s">
        <v>79</v>
      </c>
    </row>
    <row r="2429" spans="1:6" x14ac:dyDescent="0.45">
      <c r="A2429">
        <v>40</v>
      </c>
      <c r="B2429">
        <v>13</v>
      </c>
      <c r="C2429">
        <v>22000</v>
      </c>
      <c r="D2429" t="s">
        <v>76</v>
      </c>
      <c r="E2429" t="s">
        <v>72</v>
      </c>
      <c r="F2429" t="s">
        <v>79</v>
      </c>
    </row>
    <row r="2430" spans="1:6" x14ac:dyDescent="0.45">
      <c r="A2430">
        <v>50</v>
      </c>
      <c r="B2430">
        <v>13</v>
      </c>
      <c r="C2430">
        <v>22000</v>
      </c>
      <c r="D2430" t="s">
        <v>71</v>
      </c>
      <c r="E2430" t="s">
        <v>72</v>
      </c>
      <c r="F2430" t="s">
        <v>79</v>
      </c>
    </row>
    <row r="2431" spans="1:6" x14ac:dyDescent="0.45">
      <c r="A2431">
        <v>40</v>
      </c>
      <c r="B2431">
        <v>13</v>
      </c>
      <c r="C2431">
        <v>22000</v>
      </c>
      <c r="D2431" t="s">
        <v>71</v>
      </c>
      <c r="E2431" t="s">
        <v>72</v>
      </c>
      <c r="F2431" t="s">
        <v>79</v>
      </c>
    </row>
    <row r="2432" spans="1:6" x14ac:dyDescent="0.45">
      <c r="A2432">
        <v>45</v>
      </c>
      <c r="B2432">
        <v>13</v>
      </c>
      <c r="C2432">
        <v>22000</v>
      </c>
      <c r="D2432" t="s">
        <v>76</v>
      </c>
      <c r="E2432" t="s">
        <v>74</v>
      </c>
      <c r="F2432" t="s">
        <v>79</v>
      </c>
    </row>
    <row r="2433" spans="1:6" x14ac:dyDescent="0.45">
      <c r="A2433">
        <v>40</v>
      </c>
      <c r="B2433">
        <v>13</v>
      </c>
      <c r="C2433">
        <v>22000</v>
      </c>
      <c r="D2433" t="s">
        <v>71</v>
      </c>
      <c r="E2433" t="s">
        <v>72</v>
      </c>
      <c r="F2433" t="s">
        <v>79</v>
      </c>
    </row>
    <row r="2434" spans="1:6" x14ac:dyDescent="0.45">
      <c r="A2434">
        <v>40</v>
      </c>
      <c r="B2434">
        <v>13</v>
      </c>
      <c r="C2434">
        <v>22000</v>
      </c>
      <c r="D2434" t="s">
        <v>71</v>
      </c>
      <c r="E2434" t="s">
        <v>72</v>
      </c>
      <c r="F2434" t="s">
        <v>79</v>
      </c>
    </row>
    <row r="2435" spans="1:6" x14ac:dyDescent="0.45">
      <c r="A2435">
        <v>40</v>
      </c>
      <c r="B2435">
        <v>13</v>
      </c>
      <c r="C2435">
        <v>22000</v>
      </c>
      <c r="D2435" t="s">
        <v>71</v>
      </c>
      <c r="E2435" t="s">
        <v>72</v>
      </c>
      <c r="F2435" t="s">
        <v>79</v>
      </c>
    </row>
    <row r="2436" spans="1:6" x14ac:dyDescent="0.45">
      <c r="A2436">
        <v>57</v>
      </c>
      <c r="B2436">
        <v>13</v>
      </c>
      <c r="C2436">
        <v>22000</v>
      </c>
      <c r="D2436" t="s">
        <v>71</v>
      </c>
      <c r="E2436" t="s">
        <v>72</v>
      </c>
      <c r="F2436" t="s">
        <v>79</v>
      </c>
    </row>
    <row r="2437" spans="1:6" x14ac:dyDescent="0.45">
      <c r="A2437">
        <v>40</v>
      </c>
      <c r="B2437">
        <v>13</v>
      </c>
      <c r="C2437">
        <v>22000</v>
      </c>
      <c r="D2437" t="s">
        <v>71</v>
      </c>
      <c r="E2437" t="s">
        <v>74</v>
      </c>
      <c r="F2437" t="s">
        <v>79</v>
      </c>
    </row>
    <row r="2438" spans="1:6" x14ac:dyDescent="0.45">
      <c r="A2438">
        <v>40</v>
      </c>
      <c r="B2438">
        <v>13</v>
      </c>
      <c r="C2438">
        <v>22000</v>
      </c>
      <c r="D2438" t="s">
        <v>71</v>
      </c>
      <c r="E2438" t="s">
        <v>74</v>
      </c>
      <c r="F2438" t="s">
        <v>79</v>
      </c>
    </row>
    <row r="2439" spans="1:6" x14ac:dyDescent="0.45">
      <c r="A2439">
        <v>40</v>
      </c>
      <c r="B2439">
        <v>13</v>
      </c>
      <c r="C2439">
        <v>22000</v>
      </c>
      <c r="D2439" t="s">
        <v>71</v>
      </c>
      <c r="E2439" t="s">
        <v>72</v>
      </c>
      <c r="F2439" t="s">
        <v>79</v>
      </c>
    </row>
    <row r="2440" spans="1:6" x14ac:dyDescent="0.45">
      <c r="A2440">
        <v>40</v>
      </c>
      <c r="B2440">
        <v>13</v>
      </c>
      <c r="C2440">
        <v>22000</v>
      </c>
      <c r="D2440" t="s">
        <v>71</v>
      </c>
      <c r="E2440" t="s">
        <v>72</v>
      </c>
      <c r="F2440" t="s">
        <v>79</v>
      </c>
    </row>
    <row r="2441" spans="1:6" x14ac:dyDescent="0.45">
      <c r="A2441">
        <v>40</v>
      </c>
      <c r="B2441">
        <v>13</v>
      </c>
      <c r="C2441">
        <v>22000</v>
      </c>
      <c r="D2441" t="s">
        <v>71</v>
      </c>
      <c r="E2441" t="s">
        <v>74</v>
      </c>
      <c r="F2441" t="s">
        <v>79</v>
      </c>
    </row>
    <row r="2442" spans="1:6" x14ac:dyDescent="0.45">
      <c r="A2442">
        <v>40</v>
      </c>
      <c r="B2442">
        <v>13</v>
      </c>
      <c r="C2442">
        <v>22000</v>
      </c>
      <c r="D2442" t="s">
        <v>71</v>
      </c>
      <c r="E2442" t="s">
        <v>74</v>
      </c>
      <c r="F2442" t="s">
        <v>79</v>
      </c>
    </row>
    <row r="2443" spans="1:6" x14ac:dyDescent="0.45">
      <c r="A2443">
        <v>40</v>
      </c>
      <c r="B2443">
        <v>13</v>
      </c>
      <c r="C2443">
        <v>22000</v>
      </c>
      <c r="D2443" t="s">
        <v>71</v>
      </c>
      <c r="E2443" t="s">
        <v>72</v>
      </c>
      <c r="F2443" t="s">
        <v>79</v>
      </c>
    </row>
    <row r="2444" spans="1:6" x14ac:dyDescent="0.45">
      <c r="A2444">
        <v>40</v>
      </c>
      <c r="B2444">
        <v>13</v>
      </c>
      <c r="C2444">
        <v>22000</v>
      </c>
      <c r="D2444" t="s">
        <v>71</v>
      </c>
      <c r="E2444" t="s">
        <v>74</v>
      </c>
      <c r="F2444" t="s">
        <v>79</v>
      </c>
    </row>
    <row r="2445" spans="1:6" x14ac:dyDescent="0.45">
      <c r="A2445">
        <v>40</v>
      </c>
      <c r="B2445">
        <v>13</v>
      </c>
      <c r="C2445">
        <v>22000</v>
      </c>
      <c r="D2445" t="s">
        <v>71</v>
      </c>
      <c r="E2445" t="s">
        <v>72</v>
      </c>
      <c r="F2445" t="s">
        <v>79</v>
      </c>
    </row>
    <row r="2446" spans="1:6" x14ac:dyDescent="0.45">
      <c r="A2446">
        <v>38</v>
      </c>
      <c r="B2446">
        <v>13</v>
      </c>
      <c r="C2446">
        <v>22000</v>
      </c>
      <c r="D2446" t="s">
        <v>75</v>
      </c>
      <c r="E2446" t="s">
        <v>74</v>
      </c>
      <c r="F2446" t="s">
        <v>79</v>
      </c>
    </row>
    <row r="2447" spans="1:6" x14ac:dyDescent="0.45">
      <c r="A2447">
        <v>40</v>
      </c>
      <c r="B2447">
        <v>13</v>
      </c>
      <c r="C2447">
        <v>22000</v>
      </c>
      <c r="D2447" t="s">
        <v>71</v>
      </c>
      <c r="E2447" t="s">
        <v>72</v>
      </c>
      <c r="F2447" t="s">
        <v>79</v>
      </c>
    </row>
    <row r="2448" spans="1:6" x14ac:dyDescent="0.45">
      <c r="A2448">
        <v>60</v>
      </c>
      <c r="B2448">
        <v>13</v>
      </c>
      <c r="C2448">
        <v>22080</v>
      </c>
      <c r="D2448" t="s">
        <v>71</v>
      </c>
      <c r="E2448" t="s">
        <v>72</v>
      </c>
      <c r="F2448" t="s">
        <v>79</v>
      </c>
    </row>
    <row r="2449" spans="1:6" x14ac:dyDescent="0.45">
      <c r="A2449">
        <v>40</v>
      </c>
      <c r="B2449">
        <v>13</v>
      </c>
      <c r="C2449">
        <v>22100</v>
      </c>
      <c r="D2449" t="s">
        <v>76</v>
      </c>
      <c r="E2449" t="s">
        <v>72</v>
      </c>
      <c r="F2449" t="s">
        <v>79</v>
      </c>
    </row>
    <row r="2450" spans="1:6" x14ac:dyDescent="0.45">
      <c r="A2450">
        <v>0</v>
      </c>
      <c r="B2450">
        <v>13</v>
      </c>
      <c r="C2450">
        <v>22200</v>
      </c>
      <c r="D2450" t="s">
        <v>71</v>
      </c>
      <c r="E2450" t="s">
        <v>74</v>
      </c>
      <c r="F2450" t="s">
        <v>79</v>
      </c>
    </row>
    <row r="2451" spans="1:6" x14ac:dyDescent="0.45">
      <c r="A2451">
        <v>42</v>
      </c>
      <c r="B2451">
        <v>13</v>
      </c>
      <c r="C2451">
        <v>22500</v>
      </c>
      <c r="D2451" t="s">
        <v>71</v>
      </c>
      <c r="E2451" t="s">
        <v>72</v>
      </c>
      <c r="F2451" t="s">
        <v>79</v>
      </c>
    </row>
    <row r="2452" spans="1:6" x14ac:dyDescent="0.45">
      <c r="A2452">
        <v>40</v>
      </c>
      <c r="B2452">
        <v>13</v>
      </c>
      <c r="C2452">
        <v>22500</v>
      </c>
      <c r="D2452" t="s">
        <v>71</v>
      </c>
      <c r="E2452" t="s">
        <v>72</v>
      </c>
      <c r="F2452" t="s">
        <v>79</v>
      </c>
    </row>
    <row r="2453" spans="1:6" x14ac:dyDescent="0.45">
      <c r="A2453">
        <v>0</v>
      </c>
      <c r="B2453">
        <v>13</v>
      </c>
      <c r="C2453">
        <v>22750</v>
      </c>
      <c r="D2453" t="s">
        <v>71</v>
      </c>
      <c r="E2453" t="s">
        <v>72</v>
      </c>
      <c r="F2453" t="s">
        <v>79</v>
      </c>
    </row>
    <row r="2454" spans="1:6" x14ac:dyDescent="0.45">
      <c r="A2454">
        <v>44</v>
      </c>
      <c r="B2454">
        <v>13</v>
      </c>
      <c r="C2454">
        <v>22900</v>
      </c>
      <c r="D2454" t="s">
        <v>71</v>
      </c>
      <c r="E2454" t="s">
        <v>72</v>
      </c>
      <c r="F2454" t="s">
        <v>79</v>
      </c>
    </row>
    <row r="2455" spans="1:6" x14ac:dyDescent="0.45">
      <c r="A2455">
        <v>45</v>
      </c>
      <c r="B2455">
        <v>13</v>
      </c>
      <c r="C2455">
        <v>22999</v>
      </c>
      <c r="D2455" t="s">
        <v>71</v>
      </c>
      <c r="E2455" t="s">
        <v>72</v>
      </c>
      <c r="F2455" t="s">
        <v>79</v>
      </c>
    </row>
    <row r="2456" spans="1:6" x14ac:dyDescent="0.45">
      <c r="A2456">
        <v>40</v>
      </c>
      <c r="B2456">
        <v>13</v>
      </c>
      <c r="C2456">
        <v>23000</v>
      </c>
      <c r="D2456" t="s">
        <v>71</v>
      </c>
      <c r="E2456" t="s">
        <v>72</v>
      </c>
      <c r="F2456" t="s">
        <v>79</v>
      </c>
    </row>
    <row r="2457" spans="1:6" x14ac:dyDescent="0.45">
      <c r="A2457">
        <v>55</v>
      </c>
      <c r="B2457">
        <v>13</v>
      </c>
      <c r="C2457">
        <v>23000</v>
      </c>
      <c r="D2457" t="s">
        <v>71</v>
      </c>
      <c r="E2457" t="s">
        <v>74</v>
      </c>
      <c r="F2457" t="s">
        <v>79</v>
      </c>
    </row>
    <row r="2458" spans="1:6" x14ac:dyDescent="0.45">
      <c r="A2458">
        <v>50</v>
      </c>
      <c r="B2458">
        <v>13</v>
      </c>
      <c r="C2458">
        <v>23000</v>
      </c>
      <c r="D2458" t="s">
        <v>71</v>
      </c>
      <c r="E2458" t="s">
        <v>72</v>
      </c>
      <c r="F2458" t="s">
        <v>79</v>
      </c>
    </row>
    <row r="2459" spans="1:6" x14ac:dyDescent="0.45">
      <c r="A2459">
        <v>40</v>
      </c>
      <c r="B2459">
        <v>13</v>
      </c>
      <c r="C2459">
        <v>23000</v>
      </c>
      <c r="D2459" t="s">
        <v>71</v>
      </c>
      <c r="E2459" t="s">
        <v>72</v>
      </c>
      <c r="F2459" t="s">
        <v>79</v>
      </c>
    </row>
    <row r="2460" spans="1:6" x14ac:dyDescent="0.45">
      <c r="A2460">
        <v>38</v>
      </c>
      <c r="B2460">
        <v>13</v>
      </c>
      <c r="C2460">
        <v>23000</v>
      </c>
      <c r="D2460" t="s">
        <v>76</v>
      </c>
      <c r="E2460" t="s">
        <v>72</v>
      </c>
      <c r="F2460" t="s">
        <v>79</v>
      </c>
    </row>
    <row r="2461" spans="1:6" x14ac:dyDescent="0.45">
      <c r="A2461">
        <v>45</v>
      </c>
      <c r="B2461">
        <v>13</v>
      </c>
      <c r="C2461">
        <v>23000</v>
      </c>
      <c r="D2461" t="s">
        <v>71</v>
      </c>
      <c r="E2461" t="s">
        <v>74</v>
      </c>
      <c r="F2461" t="s">
        <v>79</v>
      </c>
    </row>
    <row r="2462" spans="1:6" x14ac:dyDescent="0.45">
      <c r="A2462">
        <v>40</v>
      </c>
      <c r="B2462">
        <v>13</v>
      </c>
      <c r="C2462">
        <v>23000</v>
      </c>
      <c r="D2462" t="s">
        <v>71</v>
      </c>
      <c r="E2462" t="s">
        <v>72</v>
      </c>
      <c r="F2462" t="s">
        <v>79</v>
      </c>
    </row>
    <row r="2463" spans="1:6" x14ac:dyDescent="0.45">
      <c r="A2463">
        <v>40</v>
      </c>
      <c r="B2463">
        <v>13</v>
      </c>
      <c r="C2463">
        <v>23000</v>
      </c>
      <c r="D2463" t="s">
        <v>71</v>
      </c>
      <c r="E2463" t="s">
        <v>72</v>
      </c>
      <c r="F2463" t="s">
        <v>79</v>
      </c>
    </row>
    <row r="2464" spans="1:6" x14ac:dyDescent="0.45">
      <c r="A2464">
        <v>40</v>
      </c>
      <c r="B2464">
        <v>13</v>
      </c>
      <c r="C2464">
        <v>23000</v>
      </c>
      <c r="D2464" t="s">
        <v>71</v>
      </c>
      <c r="E2464" t="s">
        <v>74</v>
      </c>
      <c r="F2464" t="s">
        <v>79</v>
      </c>
    </row>
    <row r="2465" spans="1:6" x14ac:dyDescent="0.45">
      <c r="A2465">
        <v>40</v>
      </c>
      <c r="B2465">
        <v>13</v>
      </c>
      <c r="C2465">
        <v>23000</v>
      </c>
      <c r="D2465" t="s">
        <v>71</v>
      </c>
      <c r="E2465" t="s">
        <v>74</v>
      </c>
      <c r="F2465" t="s">
        <v>79</v>
      </c>
    </row>
    <row r="2466" spans="1:6" x14ac:dyDescent="0.45">
      <c r="A2466">
        <v>40</v>
      </c>
      <c r="B2466">
        <v>13</v>
      </c>
      <c r="C2466">
        <v>23000</v>
      </c>
      <c r="D2466" t="s">
        <v>76</v>
      </c>
      <c r="E2466" t="s">
        <v>72</v>
      </c>
      <c r="F2466" t="s">
        <v>79</v>
      </c>
    </row>
    <row r="2467" spans="1:6" x14ac:dyDescent="0.45">
      <c r="A2467">
        <v>40</v>
      </c>
      <c r="B2467">
        <v>13</v>
      </c>
      <c r="C2467">
        <v>23000</v>
      </c>
      <c r="D2467" t="s">
        <v>71</v>
      </c>
      <c r="E2467" t="s">
        <v>72</v>
      </c>
      <c r="F2467" t="s">
        <v>79</v>
      </c>
    </row>
    <row r="2468" spans="1:6" x14ac:dyDescent="0.45">
      <c r="A2468">
        <v>36</v>
      </c>
      <c r="B2468">
        <v>13</v>
      </c>
      <c r="C2468">
        <v>23000</v>
      </c>
      <c r="D2468" t="s">
        <v>71</v>
      </c>
      <c r="E2468" t="s">
        <v>74</v>
      </c>
      <c r="F2468" t="s">
        <v>79</v>
      </c>
    </row>
    <row r="2469" spans="1:6" x14ac:dyDescent="0.45">
      <c r="A2469">
        <v>40</v>
      </c>
      <c r="B2469">
        <v>13</v>
      </c>
      <c r="C2469">
        <v>23000</v>
      </c>
      <c r="D2469" t="s">
        <v>71</v>
      </c>
      <c r="E2469" t="s">
        <v>72</v>
      </c>
      <c r="F2469" t="s">
        <v>79</v>
      </c>
    </row>
    <row r="2470" spans="1:6" x14ac:dyDescent="0.45">
      <c r="A2470">
        <v>40</v>
      </c>
      <c r="B2470">
        <v>13</v>
      </c>
      <c r="C2470">
        <v>23000</v>
      </c>
      <c r="D2470" t="s">
        <v>71</v>
      </c>
      <c r="E2470" t="s">
        <v>72</v>
      </c>
      <c r="F2470" t="s">
        <v>79</v>
      </c>
    </row>
    <row r="2471" spans="1:6" x14ac:dyDescent="0.45">
      <c r="A2471">
        <v>40</v>
      </c>
      <c r="B2471">
        <v>13</v>
      </c>
      <c r="C2471">
        <v>23000</v>
      </c>
      <c r="D2471" t="s">
        <v>71</v>
      </c>
      <c r="E2471" t="s">
        <v>72</v>
      </c>
      <c r="F2471" t="s">
        <v>79</v>
      </c>
    </row>
    <row r="2472" spans="1:6" x14ac:dyDescent="0.45">
      <c r="A2472">
        <v>40</v>
      </c>
      <c r="B2472">
        <v>13</v>
      </c>
      <c r="C2472">
        <v>23000</v>
      </c>
      <c r="D2472" t="s">
        <v>71</v>
      </c>
      <c r="E2472" t="s">
        <v>74</v>
      </c>
      <c r="F2472" t="s">
        <v>79</v>
      </c>
    </row>
    <row r="2473" spans="1:6" x14ac:dyDescent="0.45">
      <c r="A2473">
        <v>40</v>
      </c>
      <c r="B2473">
        <v>13</v>
      </c>
      <c r="C2473">
        <v>23000</v>
      </c>
      <c r="D2473" t="s">
        <v>71</v>
      </c>
      <c r="E2473" t="s">
        <v>72</v>
      </c>
      <c r="F2473" t="s">
        <v>79</v>
      </c>
    </row>
    <row r="2474" spans="1:6" x14ac:dyDescent="0.45">
      <c r="A2474">
        <v>40</v>
      </c>
      <c r="B2474">
        <v>13</v>
      </c>
      <c r="C2474">
        <v>23000</v>
      </c>
      <c r="D2474" t="s">
        <v>76</v>
      </c>
      <c r="E2474" t="s">
        <v>72</v>
      </c>
      <c r="F2474" t="s">
        <v>79</v>
      </c>
    </row>
    <row r="2475" spans="1:6" x14ac:dyDescent="0.45">
      <c r="A2475">
        <v>40</v>
      </c>
      <c r="B2475">
        <v>13</v>
      </c>
      <c r="C2475">
        <v>23000</v>
      </c>
      <c r="D2475" t="s">
        <v>71</v>
      </c>
      <c r="E2475" t="s">
        <v>74</v>
      </c>
      <c r="F2475" t="s">
        <v>79</v>
      </c>
    </row>
    <row r="2476" spans="1:6" x14ac:dyDescent="0.45">
      <c r="A2476">
        <v>40</v>
      </c>
      <c r="B2476">
        <v>13</v>
      </c>
      <c r="C2476">
        <v>23000</v>
      </c>
      <c r="D2476" t="s">
        <v>71</v>
      </c>
      <c r="E2476" t="s">
        <v>74</v>
      </c>
      <c r="F2476" t="s">
        <v>79</v>
      </c>
    </row>
    <row r="2477" spans="1:6" x14ac:dyDescent="0.45">
      <c r="A2477">
        <v>40</v>
      </c>
      <c r="B2477">
        <v>13</v>
      </c>
      <c r="C2477">
        <v>23000</v>
      </c>
      <c r="D2477" t="s">
        <v>71</v>
      </c>
      <c r="E2477" t="s">
        <v>74</v>
      </c>
      <c r="F2477" t="s">
        <v>79</v>
      </c>
    </row>
    <row r="2478" spans="1:6" x14ac:dyDescent="0.45">
      <c r="A2478">
        <v>42</v>
      </c>
      <c r="B2478">
        <v>13</v>
      </c>
      <c r="C2478">
        <v>23147</v>
      </c>
      <c r="D2478" t="s">
        <v>71</v>
      </c>
      <c r="E2478" t="s">
        <v>72</v>
      </c>
      <c r="F2478" t="s">
        <v>79</v>
      </c>
    </row>
    <row r="2479" spans="1:6" x14ac:dyDescent="0.45">
      <c r="A2479">
        <v>40</v>
      </c>
      <c r="B2479">
        <v>13</v>
      </c>
      <c r="C2479">
        <v>23300</v>
      </c>
      <c r="D2479" t="s">
        <v>76</v>
      </c>
      <c r="E2479" t="s">
        <v>74</v>
      </c>
      <c r="F2479" t="s">
        <v>79</v>
      </c>
    </row>
    <row r="2480" spans="1:6" x14ac:dyDescent="0.45">
      <c r="A2480">
        <v>60</v>
      </c>
      <c r="B2480">
        <v>13</v>
      </c>
      <c r="C2480">
        <v>23400</v>
      </c>
      <c r="D2480" t="s">
        <v>71</v>
      </c>
      <c r="E2480" t="s">
        <v>74</v>
      </c>
      <c r="F2480" t="s">
        <v>79</v>
      </c>
    </row>
    <row r="2481" spans="1:6" x14ac:dyDescent="0.45">
      <c r="A2481">
        <v>55</v>
      </c>
      <c r="B2481">
        <v>13</v>
      </c>
      <c r="C2481">
        <v>23500</v>
      </c>
      <c r="D2481" t="s">
        <v>71</v>
      </c>
      <c r="E2481" t="s">
        <v>74</v>
      </c>
      <c r="F2481" t="s">
        <v>79</v>
      </c>
    </row>
    <row r="2482" spans="1:6" x14ac:dyDescent="0.45">
      <c r="A2482">
        <v>40</v>
      </c>
      <c r="B2482">
        <v>13</v>
      </c>
      <c r="C2482">
        <v>23500</v>
      </c>
      <c r="D2482" t="s">
        <v>71</v>
      </c>
      <c r="E2482" t="s">
        <v>72</v>
      </c>
      <c r="F2482" t="s">
        <v>79</v>
      </c>
    </row>
    <row r="2483" spans="1:6" x14ac:dyDescent="0.45">
      <c r="A2483">
        <v>40</v>
      </c>
      <c r="B2483">
        <v>13</v>
      </c>
      <c r="C2483">
        <v>23500</v>
      </c>
      <c r="D2483" t="s">
        <v>71</v>
      </c>
      <c r="E2483" t="s">
        <v>72</v>
      </c>
      <c r="F2483" t="s">
        <v>79</v>
      </c>
    </row>
    <row r="2484" spans="1:6" x14ac:dyDescent="0.45">
      <c r="A2484">
        <v>0</v>
      </c>
      <c r="B2484">
        <v>13</v>
      </c>
      <c r="C2484">
        <v>23600</v>
      </c>
      <c r="D2484" t="s">
        <v>71</v>
      </c>
      <c r="E2484" t="s">
        <v>74</v>
      </c>
      <c r="F2484" t="s">
        <v>79</v>
      </c>
    </row>
    <row r="2485" spans="1:6" x14ac:dyDescent="0.45">
      <c r="A2485">
        <v>48</v>
      </c>
      <c r="B2485">
        <v>13</v>
      </c>
      <c r="C2485">
        <v>23637</v>
      </c>
      <c r="D2485" t="s">
        <v>71</v>
      </c>
      <c r="E2485" t="s">
        <v>74</v>
      </c>
      <c r="F2485" t="s">
        <v>79</v>
      </c>
    </row>
    <row r="2486" spans="1:6" x14ac:dyDescent="0.45">
      <c r="A2486">
        <v>40</v>
      </c>
      <c r="B2486">
        <v>13</v>
      </c>
      <c r="C2486">
        <v>23800</v>
      </c>
      <c r="D2486" t="s">
        <v>76</v>
      </c>
      <c r="E2486" t="s">
        <v>72</v>
      </c>
      <c r="F2486" t="s">
        <v>79</v>
      </c>
    </row>
    <row r="2487" spans="1:6" x14ac:dyDescent="0.45">
      <c r="A2487">
        <v>49</v>
      </c>
      <c r="B2487">
        <v>13</v>
      </c>
      <c r="C2487">
        <v>23900</v>
      </c>
      <c r="D2487" t="s">
        <v>71</v>
      </c>
      <c r="E2487" t="s">
        <v>72</v>
      </c>
      <c r="F2487" t="s">
        <v>79</v>
      </c>
    </row>
    <row r="2488" spans="1:6" x14ac:dyDescent="0.45">
      <c r="A2488">
        <v>40</v>
      </c>
      <c r="B2488">
        <v>13</v>
      </c>
      <c r="C2488">
        <v>23933</v>
      </c>
      <c r="D2488" t="s">
        <v>71</v>
      </c>
      <c r="E2488" t="s">
        <v>72</v>
      </c>
      <c r="F2488" t="s">
        <v>79</v>
      </c>
    </row>
    <row r="2489" spans="1:6" x14ac:dyDescent="0.45">
      <c r="A2489">
        <v>40</v>
      </c>
      <c r="B2489">
        <v>13</v>
      </c>
      <c r="C2489">
        <v>24000</v>
      </c>
      <c r="D2489" t="s">
        <v>71</v>
      </c>
      <c r="E2489" t="s">
        <v>74</v>
      </c>
      <c r="F2489" t="s">
        <v>79</v>
      </c>
    </row>
    <row r="2490" spans="1:6" x14ac:dyDescent="0.45">
      <c r="A2490">
        <v>40</v>
      </c>
      <c r="B2490">
        <v>13</v>
      </c>
      <c r="C2490">
        <v>24000</v>
      </c>
      <c r="D2490" t="s">
        <v>76</v>
      </c>
      <c r="E2490" t="s">
        <v>72</v>
      </c>
      <c r="F2490" t="s">
        <v>79</v>
      </c>
    </row>
    <row r="2491" spans="1:6" x14ac:dyDescent="0.45">
      <c r="A2491">
        <v>55</v>
      </c>
      <c r="B2491">
        <v>13</v>
      </c>
      <c r="C2491">
        <v>24000</v>
      </c>
      <c r="D2491" t="s">
        <v>71</v>
      </c>
      <c r="E2491" t="s">
        <v>74</v>
      </c>
      <c r="F2491" t="s">
        <v>79</v>
      </c>
    </row>
    <row r="2492" spans="1:6" x14ac:dyDescent="0.45">
      <c r="A2492">
        <v>40</v>
      </c>
      <c r="B2492">
        <v>13</v>
      </c>
      <c r="C2492">
        <v>24000</v>
      </c>
      <c r="D2492" t="s">
        <v>71</v>
      </c>
      <c r="E2492" t="s">
        <v>72</v>
      </c>
      <c r="F2492" t="s">
        <v>79</v>
      </c>
    </row>
    <row r="2493" spans="1:6" x14ac:dyDescent="0.45">
      <c r="A2493">
        <v>56</v>
      </c>
      <c r="B2493">
        <v>13</v>
      </c>
      <c r="C2493">
        <v>24000</v>
      </c>
      <c r="D2493" t="s">
        <v>71</v>
      </c>
      <c r="E2493" t="s">
        <v>74</v>
      </c>
      <c r="F2493" t="s">
        <v>79</v>
      </c>
    </row>
    <row r="2494" spans="1:6" x14ac:dyDescent="0.45">
      <c r="A2494">
        <v>0</v>
      </c>
      <c r="B2494">
        <v>13</v>
      </c>
      <c r="C2494">
        <v>24000</v>
      </c>
      <c r="D2494" t="s">
        <v>71</v>
      </c>
      <c r="E2494" t="s">
        <v>74</v>
      </c>
      <c r="F2494" t="s">
        <v>79</v>
      </c>
    </row>
    <row r="2495" spans="1:6" x14ac:dyDescent="0.45">
      <c r="A2495">
        <v>43</v>
      </c>
      <c r="B2495">
        <v>13</v>
      </c>
      <c r="C2495">
        <v>24000</v>
      </c>
      <c r="D2495" t="s">
        <v>71</v>
      </c>
      <c r="E2495" t="s">
        <v>72</v>
      </c>
      <c r="F2495" t="s">
        <v>79</v>
      </c>
    </row>
    <row r="2496" spans="1:6" x14ac:dyDescent="0.45">
      <c r="A2496">
        <v>48</v>
      </c>
      <c r="B2496">
        <v>13</v>
      </c>
      <c r="C2496">
        <v>24000</v>
      </c>
      <c r="D2496" t="s">
        <v>71</v>
      </c>
      <c r="E2496" t="s">
        <v>72</v>
      </c>
      <c r="F2496" t="s">
        <v>79</v>
      </c>
    </row>
    <row r="2497" spans="1:6" x14ac:dyDescent="0.45">
      <c r="A2497">
        <v>40</v>
      </c>
      <c r="B2497">
        <v>13</v>
      </c>
      <c r="C2497">
        <v>24000</v>
      </c>
      <c r="D2497" t="s">
        <v>71</v>
      </c>
      <c r="E2497" t="s">
        <v>74</v>
      </c>
      <c r="F2497" t="s">
        <v>79</v>
      </c>
    </row>
    <row r="2498" spans="1:6" x14ac:dyDescent="0.45">
      <c r="A2498">
        <v>37</v>
      </c>
      <c r="B2498">
        <v>13</v>
      </c>
      <c r="C2498">
        <v>24000</v>
      </c>
      <c r="D2498" t="s">
        <v>76</v>
      </c>
      <c r="E2498" t="s">
        <v>72</v>
      </c>
      <c r="F2498" t="s">
        <v>79</v>
      </c>
    </row>
    <row r="2499" spans="1:6" x14ac:dyDescent="0.45">
      <c r="A2499">
        <v>40</v>
      </c>
      <c r="B2499">
        <v>13</v>
      </c>
      <c r="C2499">
        <v>24000</v>
      </c>
      <c r="D2499" t="s">
        <v>71</v>
      </c>
      <c r="E2499" t="s">
        <v>74</v>
      </c>
      <c r="F2499" t="s">
        <v>79</v>
      </c>
    </row>
    <row r="2500" spans="1:6" x14ac:dyDescent="0.45">
      <c r="A2500">
        <v>40</v>
      </c>
      <c r="B2500">
        <v>13</v>
      </c>
      <c r="C2500">
        <v>24000</v>
      </c>
      <c r="D2500" t="s">
        <v>71</v>
      </c>
      <c r="E2500" t="s">
        <v>72</v>
      </c>
      <c r="F2500" t="s">
        <v>79</v>
      </c>
    </row>
    <row r="2501" spans="1:6" x14ac:dyDescent="0.45">
      <c r="A2501">
        <v>40</v>
      </c>
      <c r="B2501">
        <v>13</v>
      </c>
      <c r="C2501">
        <v>24000</v>
      </c>
      <c r="D2501" t="s">
        <v>71</v>
      </c>
      <c r="E2501" t="s">
        <v>72</v>
      </c>
      <c r="F2501" t="s">
        <v>79</v>
      </c>
    </row>
    <row r="2502" spans="1:6" x14ac:dyDescent="0.45">
      <c r="A2502">
        <v>40</v>
      </c>
      <c r="B2502">
        <v>13</v>
      </c>
      <c r="C2502">
        <v>24000</v>
      </c>
      <c r="D2502" t="s">
        <v>76</v>
      </c>
      <c r="E2502" t="s">
        <v>72</v>
      </c>
      <c r="F2502" t="s">
        <v>79</v>
      </c>
    </row>
    <row r="2503" spans="1:6" x14ac:dyDescent="0.45">
      <c r="A2503">
        <v>0</v>
      </c>
      <c r="B2503">
        <v>13</v>
      </c>
      <c r="C2503">
        <v>24000</v>
      </c>
      <c r="D2503" t="s">
        <v>76</v>
      </c>
      <c r="E2503" t="s">
        <v>72</v>
      </c>
      <c r="F2503" t="s">
        <v>79</v>
      </c>
    </row>
    <row r="2504" spans="1:6" x14ac:dyDescent="0.45">
      <c r="A2504">
        <v>40</v>
      </c>
      <c r="B2504">
        <v>13</v>
      </c>
      <c r="C2504">
        <v>24000</v>
      </c>
      <c r="D2504" t="s">
        <v>76</v>
      </c>
      <c r="E2504" t="s">
        <v>72</v>
      </c>
      <c r="F2504" t="s">
        <v>79</v>
      </c>
    </row>
    <row r="2505" spans="1:6" x14ac:dyDescent="0.45">
      <c r="A2505">
        <v>40</v>
      </c>
      <c r="B2505">
        <v>13</v>
      </c>
      <c r="C2505">
        <v>24000</v>
      </c>
      <c r="D2505" t="s">
        <v>76</v>
      </c>
      <c r="E2505" t="s">
        <v>72</v>
      </c>
      <c r="F2505" t="s">
        <v>79</v>
      </c>
    </row>
    <row r="2506" spans="1:6" x14ac:dyDescent="0.45">
      <c r="A2506">
        <v>40</v>
      </c>
      <c r="B2506">
        <v>13</v>
      </c>
      <c r="C2506">
        <v>24000</v>
      </c>
      <c r="D2506" t="s">
        <v>71</v>
      </c>
      <c r="E2506" t="s">
        <v>74</v>
      </c>
      <c r="F2506" t="s">
        <v>79</v>
      </c>
    </row>
    <row r="2507" spans="1:6" x14ac:dyDescent="0.45">
      <c r="A2507">
        <v>40</v>
      </c>
      <c r="B2507">
        <v>13</v>
      </c>
      <c r="C2507">
        <v>24000</v>
      </c>
      <c r="D2507" t="s">
        <v>71</v>
      </c>
      <c r="E2507" t="s">
        <v>72</v>
      </c>
      <c r="F2507" t="s">
        <v>79</v>
      </c>
    </row>
    <row r="2508" spans="1:6" x14ac:dyDescent="0.45">
      <c r="A2508">
        <v>45</v>
      </c>
      <c r="B2508">
        <v>13</v>
      </c>
      <c r="C2508">
        <v>24000</v>
      </c>
      <c r="D2508" t="s">
        <v>71</v>
      </c>
      <c r="E2508" t="s">
        <v>72</v>
      </c>
      <c r="F2508" t="s">
        <v>79</v>
      </c>
    </row>
    <row r="2509" spans="1:6" x14ac:dyDescent="0.45">
      <c r="A2509">
        <v>40</v>
      </c>
      <c r="B2509">
        <v>13</v>
      </c>
      <c r="C2509">
        <v>24000</v>
      </c>
      <c r="D2509" t="s">
        <v>71</v>
      </c>
      <c r="E2509" t="s">
        <v>72</v>
      </c>
      <c r="F2509" t="s">
        <v>79</v>
      </c>
    </row>
    <row r="2510" spans="1:6" x14ac:dyDescent="0.45">
      <c r="A2510">
        <v>40</v>
      </c>
      <c r="B2510">
        <v>13</v>
      </c>
      <c r="C2510">
        <v>24000</v>
      </c>
      <c r="D2510" t="s">
        <v>71</v>
      </c>
      <c r="E2510" t="s">
        <v>72</v>
      </c>
      <c r="F2510" t="s">
        <v>79</v>
      </c>
    </row>
    <row r="2511" spans="1:6" x14ac:dyDescent="0.45">
      <c r="A2511">
        <v>60</v>
      </c>
      <c r="B2511">
        <v>13</v>
      </c>
      <c r="C2511">
        <v>24000</v>
      </c>
      <c r="D2511" t="s">
        <v>71</v>
      </c>
      <c r="E2511" t="s">
        <v>72</v>
      </c>
      <c r="F2511" t="s">
        <v>79</v>
      </c>
    </row>
    <row r="2512" spans="1:6" x14ac:dyDescent="0.45">
      <c r="A2512">
        <v>40</v>
      </c>
      <c r="B2512">
        <v>13</v>
      </c>
      <c r="C2512">
        <v>24000</v>
      </c>
      <c r="D2512" t="s">
        <v>71</v>
      </c>
      <c r="E2512" t="s">
        <v>74</v>
      </c>
      <c r="F2512" t="s">
        <v>79</v>
      </c>
    </row>
    <row r="2513" spans="1:6" x14ac:dyDescent="0.45">
      <c r="A2513">
        <v>0</v>
      </c>
      <c r="B2513">
        <v>13</v>
      </c>
      <c r="C2513">
        <v>24000</v>
      </c>
      <c r="D2513" t="s">
        <v>71</v>
      </c>
      <c r="E2513" t="s">
        <v>72</v>
      </c>
      <c r="F2513" t="s">
        <v>79</v>
      </c>
    </row>
    <row r="2514" spans="1:6" x14ac:dyDescent="0.45">
      <c r="A2514">
        <v>45</v>
      </c>
      <c r="B2514">
        <v>13</v>
      </c>
      <c r="C2514">
        <v>24000</v>
      </c>
      <c r="D2514" t="s">
        <v>76</v>
      </c>
      <c r="E2514" t="s">
        <v>74</v>
      </c>
      <c r="F2514" t="s">
        <v>79</v>
      </c>
    </row>
    <row r="2515" spans="1:6" x14ac:dyDescent="0.45">
      <c r="A2515">
        <v>44</v>
      </c>
      <c r="B2515">
        <v>13</v>
      </c>
      <c r="C2515">
        <v>24000</v>
      </c>
      <c r="D2515" t="s">
        <v>71</v>
      </c>
      <c r="E2515" t="s">
        <v>72</v>
      </c>
      <c r="F2515" t="s">
        <v>79</v>
      </c>
    </row>
    <row r="2516" spans="1:6" x14ac:dyDescent="0.45">
      <c r="A2516">
        <v>56</v>
      </c>
      <c r="B2516">
        <v>13</v>
      </c>
      <c r="C2516">
        <v>24000</v>
      </c>
      <c r="D2516" t="s">
        <v>71</v>
      </c>
      <c r="E2516" t="s">
        <v>74</v>
      </c>
      <c r="F2516" t="s">
        <v>79</v>
      </c>
    </row>
    <row r="2517" spans="1:6" x14ac:dyDescent="0.45">
      <c r="A2517">
        <v>45</v>
      </c>
      <c r="B2517">
        <v>13</v>
      </c>
      <c r="C2517">
        <v>24000</v>
      </c>
      <c r="D2517" t="s">
        <v>71</v>
      </c>
      <c r="E2517" t="s">
        <v>74</v>
      </c>
      <c r="F2517" t="s">
        <v>79</v>
      </c>
    </row>
    <row r="2518" spans="1:6" x14ac:dyDescent="0.45">
      <c r="A2518">
        <v>37</v>
      </c>
      <c r="B2518">
        <v>13</v>
      </c>
      <c r="C2518">
        <v>24138</v>
      </c>
      <c r="D2518" t="s">
        <v>71</v>
      </c>
      <c r="E2518" t="s">
        <v>72</v>
      </c>
      <c r="F2518" t="s">
        <v>79</v>
      </c>
    </row>
    <row r="2519" spans="1:6" x14ac:dyDescent="0.45">
      <c r="A2519">
        <v>38</v>
      </c>
      <c r="B2519">
        <v>13</v>
      </c>
      <c r="C2519">
        <v>24500</v>
      </c>
      <c r="D2519" t="s">
        <v>75</v>
      </c>
      <c r="E2519" t="s">
        <v>72</v>
      </c>
      <c r="F2519" t="s">
        <v>79</v>
      </c>
    </row>
    <row r="2520" spans="1:6" x14ac:dyDescent="0.45">
      <c r="A2520">
        <v>60</v>
      </c>
      <c r="B2520">
        <v>13</v>
      </c>
      <c r="C2520">
        <v>24500</v>
      </c>
      <c r="D2520" t="s">
        <v>76</v>
      </c>
      <c r="E2520" t="s">
        <v>74</v>
      </c>
      <c r="F2520" t="s">
        <v>79</v>
      </c>
    </row>
    <row r="2521" spans="1:6" x14ac:dyDescent="0.45">
      <c r="A2521">
        <v>43</v>
      </c>
      <c r="B2521">
        <v>13</v>
      </c>
      <c r="C2521">
        <v>24500</v>
      </c>
      <c r="D2521" t="s">
        <v>71</v>
      </c>
      <c r="E2521" t="s">
        <v>72</v>
      </c>
      <c r="F2521" t="s">
        <v>79</v>
      </c>
    </row>
    <row r="2522" spans="1:6" x14ac:dyDescent="0.45">
      <c r="A2522">
        <v>40</v>
      </c>
      <c r="B2522">
        <v>13</v>
      </c>
      <c r="C2522">
        <v>24500</v>
      </c>
      <c r="D2522" t="s">
        <v>76</v>
      </c>
      <c r="E2522" t="s">
        <v>72</v>
      </c>
      <c r="F2522" t="s">
        <v>79</v>
      </c>
    </row>
    <row r="2523" spans="1:6" x14ac:dyDescent="0.45">
      <c r="A2523">
        <v>50</v>
      </c>
      <c r="B2523">
        <v>13</v>
      </c>
      <c r="C2523">
        <v>24500</v>
      </c>
      <c r="D2523" t="s">
        <v>71</v>
      </c>
      <c r="E2523" t="s">
        <v>74</v>
      </c>
      <c r="F2523" t="s">
        <v>79</v>
      </c>
    </row>
    <row r="2524" spans="1:6" x14ac:dyDescent="0.45">
      <c r="A2524">
        <v>40</v>
      </c>
      <c r="B2524">
        <v>13</v>
      </c>
      <c r="C2524">
        <v>24800</v>
      </c>
      <c r="D2524" t="s">
        <v>71</v>
      </c>
      <c r="E2524" t="s">
        <v>72</v>
      </c>
      <c r="F2524" t="s">
        <v>79</v>
      </c>
    </row>
    <row r="2525" spans="1:6" x14ac:dyDescent="0.45">
      <c r="A2525">
        <v>40</v>
      </c>
      <c r="B2525">
        <v>13</v>
      </c>
      <c r="C2525">
        <v>24889</v>
      </c>
      <c r="D2525" t="s">
        <v>71</v>
      </c>
      <c r="E2525" t="s">
        <v>72</v>
      </c>
      <c r="F2525" t="s">
        <v>79</v>
      </c>
    </row>
    <row r="2526" spans="1:6" x14ac:dyDescent="0.45">
      <c r="A2526">
        <v>40</v>
      </c>
      <c r="B2526">
        <v>13</v>
      </c>
      <c r="C2526">
        <v>24960</v>
      </c>
      <c r="D2526" t="s">
        <v>71</v>
      </c>
      <c r="E2526" t="s">
        <v>74</v>
      </c>
      <c r="F2526" t="s">
        <v>79</v>
      </c>
    </row>
    <row r="2527" spans="1:6" x14ac:dyDescent="0.45">
      <c r="A2527">
        <v>40</v>
      </c>
      <c r="B2527">
        <v>13</v>
      </c>
      <c r="C2527">
        <v>25000</v>
      </c>
      <c r="D2527" t="s">
        <v>71</v>
      </c>
      <c r="E2527" t="s">
        <v>74</v>
      </c>
      <c r="F2527" t="s">
        <v>79</v>
      </c>
    </row>
    <row r="2528" spans="1:6" x14ac:dyDescent="0.45">
      <c r="A2528">
        <v>40</v>
      </c>
      <c r="B2528">
        <v>13</v>
      </c>
      <c r="C2528">
        <v>25000</v>
      </c>
      <c r="D2528" t="s">
        <v>71</v>
      </c>
      <c r="E2528" t="s">
        <v>72</v>
      </c>
      <c r="F2528" t="s">
        <v>79</v>
      </c>
    </row>
    <row r="2529" spans="1:6" x14ac:dyDescent="0.45">
      <c r="A2529">
        <v>40</v>
      </c>
      <c r="B2529">
        <v>13</v>
      </c>
      <c r="C2529">
        <v>25000</v>
      </c>
      <c r="D2529" t="s">
        <v>71</v>
      </c>
      <c r="E2529" t="s">
        <v>74</v>
      </c>
      <c r="F2529" t="s">
        <v>79</v>
      </c>
    </row>
    <row r="2530" spans="1:6" x14ac:dyDescent="0.45">
      <c r="A2530">
        <v>0</v>
      </c>
      <c r="B2530">
        <v>13</v>
      </c>
      <c r="C2530">
        <v>25000</v>
      </c>
      <c r="D2530" t="s">
        <v>76</v>
      </c>
      <c r="E2530" t="s">
        <v>72</v>
      </c>
      <c r="F2530" t="s">
        <v>79</v>
      </c>
    </row>
    <row r="2531" spans="1:6" x14ac:dyDescent="0.45">
      <c r="A2531">
        <v>40</v>
      </c>
      <c r="B2531">
        <v>13</v>
      </c>
      <c r="C2531">
        <v>25000</v>
      </c>
      <c r="D2531" t="s">
        <v>76</v>
      </c>
      <c r="E2531" t="s">
        <v>72</v>
      </c>
      <c r="F2531" t="s">
        <v>79</v>
      </c>
    </row>
    <row r="2532" spans="1:6" x14ac:dyDescent="0.45">
      <c r="A2532">
        <v>35</v>
      </c>
      <c r="B2532">
        <v>13</v>
      </c>
      <c r="C2532">
        <v>25000</v>
      </c>
      <c r="D2532" t="s">
        <v>71</v>
      </c>
      <c r="E2532" t="s">
        <v>74</v>
      </c>
      <c r="F2532" t="s">
        <v>79</v>
      </c>
    </row>
    <row r="2533" spans="1:6" x14ac:dyDescent="0.45">
      <c r="A2533">
        <v>36</v>
      </c>
      <c r="B2533">
        <v>13</v>
      </c>
      <c r="C2533">
        <v>25000</v>
      </c>
      <c r="D2533" t="s">
        <v>71</v>
      </c>
      <c r="E2533" t="s">
        <v>72</v>
      </c>
      <c r="F2533" t="s">
        <v>79</v>
      </c>
    </row>
    <row r="2534" spans="1:6" x14ac:dyDescent="0.45">
      <c r="A2534">
        <v>36</v>
      </c>
      <c r="B2534">
        <v>13</v>
      </c>
      <c r="C2534">
        <v>25000</v>
      </c>
      <c r="D2534" t="s">
        <v>71</v>
      </c>
      <c r="E2534" t="s">
        <v>74</v>
      </c>
      <c r="F2534" t="s">
        <v>79</v>
      </c>
    </row>
    <row r="2535" spans="1:6" x14ac:dyDescent="0.45">
      <c r="A2535">
        <v>50</v>
      </c>
      <c r="B2535">
        <v>13</v>
      </c>
      <c r="C2535">
        <v>25000</v>
      </c>
      <c r="D2535" t="s">
        <v>71</v>
      </c>
      <c r="E2535" t="s">
        <v>74</v>
      </c>
      <c r="F2535" t="s">
        <v>79</v>
      </c>
    </row>
    <row r="2536" spans="1:6" x14ac:dyDescent="0.45">
      <c r="A2536">
        <v>45</v>
      </c>
      <c r="B2536">
        <v>13</v>
      </c>
      <c r="C2536">
        <v>25000</v>
      </c>
      <c r="D2536" t="s">
        <v>71</v>
      </c>
      <c r="E2536" t="s">
        <v>72</v>
      </c>
      <c r="F2536" t="s">
        <v>79</v>
      </c>
    </row>
    <row r="2537" spans="1:6" x14ac:dyDescent="0.45">
      <c r="A2537">
        <v>45</v>
      </c>
      <c r="B2537">
        <v>13</v>
      </c>
      <c r="C2537">
        <v>25000</v>
      </c>
      <c r="D2537" t="s">
        <v>71</v>
      </c>
      <c r="E2537" t="s">
        <v>72</v>
      </c>
      <c r="F2537" t="s">
        <v>79</v>
      </c>
    </row>
    <row r="2538" spans="1:6" x14ac:dyDescent="0.45">
      <c r="A2538">
        <v>40</v>
      </c>
      <c r="B2538">
        <v>13</v>
      </c>
      <c r="C2538">
        <v>25000</v>
      </c>
      <c r="D2538" t="s">
        <v>76</v>
      </c>
      <c r="E2538" t="s">
        <v>72</v>
      </c>
      <c r="F2538" t="s">
        <v>79</v>
      </c>
    </row>
    <row r="2539" spans="1:6" x14ac:dyDescent="0.45">
      <c r="A2539">
        <v>38</v>
      </c>
      <c r="B2539">
        <v>13</v>
      </c>
      <c r="C2539">
        <v>25000</v>
      </c>
      <c r="D2539" t="s">
        <v>71</v>
      </c>
      <c r="E2539" t="s">
        <v>72</v>
      </c>
      <c r="F2539" t="s">
        <v>79</v>
      </c>
    </row>
    <row r="2540" spans="1:6" x14ac:dyDescent="0.45">
      <c r="A2540">
        <v>40</v>
      </c>
      <c r="B2540">
        <v>13</v>
      </c>
      <c r="C2540">
        <v>25000</v>
      </c>
      <c r="D2540" t="s">
        <v>71</v>
      </c>
      <c r="E2540" t="s">
        <v>72</v>
      </c>
      <c r="F2540" t="s">
        <v>79</v>
      </c>
    </row>
    <row r="2541" spans="1:6" x14ac:dyDescent="0.45">
      <c r="A2541">
        <v>55</v>
      </c>
      <c r="B2541">
        <v>13</v>
      </c>
      <c r="C2541">
        <v>25000</v>
      </c>
      <c r="D2541" t="s">
        <v>71</v>
      </c>
      <c r="E2541" t="s">
        <v>72</v>
      </c>
      <c r="F2541" t="s">
        <v>79</v>
      </c>
    </row>
    <row r="2542" spans="1:6" x14ac:dyDescent="0.45">
      <c r="A2542">
        <v>40</v>
      </c>
      <c r="B2542">
        <v>13</v>
      </c>
      <c r="C2542">
        <v>25000</v>
      </c>
      <c r="D2542" t="s">
        <v>71</v>
      </c>
      <c r="E2542" t="s">
        <v>72</v>
      </c>
      <c r="F2542" t="s">
        <v>79</v>
      </c>
    </row>
    <row r="2543" spans="1:6" x14ac:dyDescent="0.45">
      <c r="A2543">
        <v>40</v>
      </c>
      <c r="B2543">
        <v>13</v>
      </c>
      <c r="C2543">
        <v>25000</v>
      </c>
      <c r="D2543" t="s">
        <v>71</v>
      </c>
      <c r="E2543" t="s">
        <v>72</v>
      </c>
      <c r="F2543" t="s">
        <v>79</v>
      </c>
    </row>
    <row r="2544" spans="1:6" x14ac:dyDescent="0.45">
      <c r="A2544">
        <v>40</v>
      </c>
      <c r="B2544">
        <v>13</v>
      </c>
      <c r="C2544">
        <v>25000</v>
      </c>
      <c r="D2544" t="s">
        <v>76</v>
      </c>
      <c r="E2544" t="s">
        <v>72</v>
      </c>
      <c r="F2544" t="s">
        <v>79</v>
      </c>
    </row>
    <row r="2545" spans="1:6" x14ac:dyDescent="0.45">
      <c r="A2545">
        <v>40</v>
      </c>
      <c r="B2545">
        <v>13</v>
      </c>
      <c r="C2545">
        <v>25000</v>
      </c>
      <c r="D2545" t="s">
        <v>76</v>
      </c>
      <c r="E2545" t="s">
        <v>74</v>
      </c>
      <c r="F2545" t="s">
        <v>79</v>
      </c>
    </row>
    <row r="2546" spans="1:6" x14ac:dyDescent="0.45">
      <c r="A2546">
        <v>40</v>
      </c>
      <c r="B2546">
        <v>13</v>
      </c>
      <c r="C2546">
        <v>25000</v>
      </c>
      <c r="D2546" t="s">
        <v>71</v>
      </c>
      <c r="E2546" t="s">
        <v>72</v>
      </c>
      <c r="F2546" t="s">
        <v>79</v>
      </c>
    </row>
    <row r="2547" spans="1:6" x14ac:dyDescent="0.45">
      <c r="A2547">
        <v>40</v>
      </c>
      <c r="B2547">
        <v>13</v>
      </c>
      <c r="C2547">
        <v>25000</v>
      </c>
      <c r="D2547" t="s">
        <v>71</v>
      </c>
      <c r="E2547" t="s">
        <v>72</v>
      </c>
      <c r="F2547" t="s">
        <v>79</v>
      </c>
    </row>
    <row r="2548" spans="1:6" x14ac:dyDescent="0.45">
      <c r="A2548">
        <v>45</v>
      </c>
      <c r="B2548">
        <v>13</v>
      </c>
      <c r="C2548">
        <v>25000</v>
      </c>
      <c r="D2548" t="s">
        <v>71</v>
      </c>
      <c r="E2548" t="s">
        <v>72</v>
      </c>
      <c r="F2548" t="s">
        <v>79</v>
      </c>
    </row>
    <row r="2549" spans="1:6" x14ac:dyDescent="0.45">
      <c r="A2549">
        <v>40</v>
      </c>
      <c r="B2549">
        <v>13</v>
      </c>
      <c r="C2549">
        <v>25000</v>
      </c>
      <c r="D2549" t="s">
        <v>71</v>
      </c>
      <c r="E2549" t="s">
        <v>74</v>
      </c>
      <c r="F2549" t="s">
        <v>79</v>
      </c>
    </row>
    <row r="2550" spans="1:6" x14ac:dyDescent="0.45">
      <c r="A2550">
        <v>40</v>
      </c>
      <c r="B2550">
        <v>13</v>
      </c>
      <c r="C2550">
        <v>25000</v>
      </c>
      <c r="D2550" t="s">
        <v>71</v>
      </c>
      <c r="E2550" t="s">
        <v>74</v>
      </c>
      <c r="F2550" t="s">
        <v>79</v>
      </c>
    </row>
    <row r="2551" spans="1:6" x14ac:dyDescent="0.45">
      <c r="A2551">
        <v>40</v>
      </c>
      <c r="B2551">
        <v>13</v>
      </c>
      <c r="C2551">
        <v>25000</v>
      </c>
      <c r="D2551" t="s">
        <v>71</v>
      </c>
      <c r="E2551" t="s">
        <v>72</v>
      </c>
      <c r="F2551" t="s">
        <v>79</v>
      </c>
    </row>
    <row r="2552" spans="1:6" x14ac:dyDescent="0.45">
      <c r="A2552">
        <v>40</v>
      </c>
      <c r="B2552">
        <v>13</v>
      </c>
      <c r="C2552">
        <v>25000</v>
      </c>
      <c r="D2552" t="s">
        <v>76</v>
      </c>
      <c r="E2552" t="s">
        <v>74</v>
      </c>
      <c r="F2552" t="s">
        <v>79</v>
      </c>
    </row>
    <row r="2553" spans="1:6" x14ac:dyDescent="0.45">
      <c r="A2553">
        <v>40</v>
      </c>
      <c r="B2553">
        <v>13</v>
      </c>
      <c r="C2553">
        <v>25000</v>
      </c>
      <c r="D2553" t="s">
        <v>71</v>
      </c>
      <c r="E2553" t="s">
        <v>72</v>
      </c>
      <c r="F2553" t="s">
        <v>79</v>
      </c>
    </row>
    <row r="2554" spans="1:6" x14ac:dyDescent="0.45">
      <c r="A2554">
        <v>40</v>
      </c>
      <c r="B2554">
        <v>13</v>
      </c>
      <c r="C2554">
        <v>25000</v>
      </c>
      <c r="D2554" t="s">
        <v>71</v>
      </c>
      <c r="E2554" t="s">
        <v>72</v>
      </c>
      <c r="F2554" t="s">
        <v>79</v>
      </c>
    </row>
    <row r="2555" spans="1:6" x14ac:dyDescent="0.45">
      <c r="A2555">
        <v>40</v>
      </c>
      <c r="B2555">
        <v>13</v>
      </c>
      <c r="C2555">
        <v>25000</v>
      </c>
      <c r="D2555" t="s">
        <v>71</v>
      </c>
      <c r="E2555" t="s">
        <v>72</v>
      </c>
      <c r="F2555" t="s">
        <v>79</v>
      </c>
    </row>
    <row r="2556" spans="1:6" x14ac:dyDescent="0.45">
      <c r="A2556">
        <v>60</v>
      </c>
      <c r="B2556">
        <v>13</v>
      </c>
      <c r="C2556">
        <v>25000</v>
      </c>
      <c r="D2556" t="s">
        <v>71</v>
      </c>
      <c r="E2556" t="s">
        <v>74</v>
      </c>
      <c r="F2556" t="s">
        <v>79</v>
      </c>
    </row>
    <row r="2557" spans="1:6" x14ac:dyDescent="0.45">
      <c r="A2557">
        <v>40</v>
      </c>
      <c r="B2557">
        <v>13</v>
      </c>
      <c r="C2557">
        <v>25000</v>
      </c>
      <c r="D2557" t="s">
        <v>71</v>
      </c>
      <c r="E2557" t="s">
        <v>74</v>
      </c>
      <c r="F2557" t="s">
        <v>79</v>
      </c>
    </row>
    <row r="2558" spans="1:6" x14ac:dyDescent="0.45">
      <c r="A2558">
        <v>36</v>
      </c>
      <c r="B2558">
        <v>13</v>
      </c>
      <c r="C2558">
        <v>25236</v>
      </c>
      <c r="D2558" t="s">
        <v>71</v>
      </c>
      <c r="E2558" t="s">
        <v>72</v>
      </c>
      <c r="F2558" t="s">
        <v>79</v>
      </c>
    </row>
    <row r="2559" spans="1:6" x14ac:dyDescent="0.45">
      <c r="A2559">
        <v>40</v>
      </c>
      <c r="B2559">
        <v>13</v>
      </c>
      <c r="C2559">
        <v>25400</v>
      </c>
      <c r="D2559" t="s">
        <v>71</v>
      </c>
      <c r="E2559" t="s">
        <v>74</v>
      </c>
      <c r="F2559" t="s">
        <v>79</v>
      </c>
    </row>
    <row r="2560" spans="1:6" x14ac:dyDescent="0.45">
      <c r="A2560">
        <v>48</v>
      </c>
      <c r="B2560">
        <v>13</v>
      </c>
      <c r="C2560">
        <v>25640</v>
      </c>
      <c r="D2560" t="s">
        <v>71</v>
      </c>
      <c r="E2560" t="s">
        <v>72</v>
      </c>
      <c r="F2560" t="s">
        <v>79</v>
      </c>
    </row>
    <row r="2561" spans="1:6" x14ac:dyDescent="0.45">
      <c r="A2561">
        <v>38</v>
      </c>
      <c r="B2561">
        <v>13</v>
      </c>
      <c r="C2561">
        <v>25650</v>
      </c>
      <c r="D2561" t="s">
        <v>71</v>
      </c>
      <c r="E2561" t="s">
        <v>72</v>
      </c>
      <c r="F2561" t="s">
        <v>79</v>
      </c>
    </row>
    <row r="2562" spans="1:6" x14ac:dyDescent="0.45">
      <c r="A2562">
        <v>43</v>
      </c>
      <c r="B2562">
        <v>13</v>
      </c>
      <c r="C2562">
        <v>25650</v>
      </c>
      <c r="D2562" t="s">
        <v>71</v>
      </c>
      <c r="E2562" t="s">
        <v>74</v>
      </c>
      <c r="F2562" t="s">
        <v>79</v>
      </c>
    </row>
    <row r="2563" spans="1:6" x14ac:dyDescent="0.45">
      <c r="A2563">
        <v>40</v>
      </c>
      <c r="B2563">
        <v>13</v>
      </c>
      <c r="C2563">
        <v>25992</v>
      </c>
      <c r="D2563" t="s">
        <v>71</v>
      </c>
      <c r="E2563" t="s">
        <v>74</v>
      </c>
      <c r="F2563" t="s">
        <v>79</v>
      </c>
    </row>
    <row r="2564" spans="1:6" x14ac:dyDescent="0.45">
      <c r="A2564">
        <v>40</v>
      </c>
      <c r="B2564">
        <v>13</v>
      </c>
      <c r="C2564">
        <v>26000</v>
      </c>
      <c r="D2564" t="s">
        <v>71</v>
      </c>
      <c r="E2564" t="s">
        <v>72</v>
      </c>
      <c r="F2564" t="s">
        <v>79</v>
      </c>
    </row>
    <row r="2565" spans="1:6" x14ac:dyDescent="0.45">
      <c r="A2565">
        <v>40</v>
      </c>
      <c r="B2565">
        <v>13</v>
      </c>
      <c r="C2565">
        <v>26000</v>
      </c>
      <c r="D2565" t="s">
        <v>71</v>
      </c>
      <c r="E2565" t="s">
        <v>74</v>
      </c>
      <c r="F2565" t="s">
        <v>79</v>
      </c>
    </row>
    <row r="2566" spans="1:6" x14ac:dyDescent="0.45">
      <c r="A2566">
        <v>36</v>
      </c>
      <c r="B2566">
        <v>13</v>
      </c>
      <c r="C2566">
        <v>26000</v>
      </c>
      <c r="D2566" t="s">
        <v>71</v>
      </c>
      <c r="E2566" t="s">
        <v>72</v>
      </c>
      <c r="F2566" t="s">
        <v>79</v>
      </c>
    </row>
    <row r="2567" spans="1:6" x14ac:dyDescent="0.45">
      <c r="A2567">
        <v>50</v>
      </c>
      <c r="B2567">
        <v>13</v>
      </c>
      <c r="C2567">
        <v>26000</v>
      </c>
      <c r="D2567" t="s">
        <v>76</v>
      </c>
      <c r="E2567" t="s">
        <v>74</v>
      </c>
      <c r="F2567" t="s">
        <v>79</v>
      </c>
    </row>
    <row r="2568" spans="1:6" x14ac:dyDescent="0.45">
      <c r="A2568">
        <v>0</v>
      </c>
      <c r="B2568">
        <v>13</v>
      </c>
      <c r="C2568">
        <v>26000</v>
      </c>
      <c r="D2568" t="s">
        <v>71</v>
      </c>
      <c r="E2568" t="s">
        <v>72</v>
      </c>
      <c r="F2568" t="s">
        <v>79</v>
      </c>
    </row>
    <row r="2569" spans="1:6" x14ac:dyDescent="0.45">
      <c r="A2569">
        <v>42</v>
      </c>
      <c r="B2569">
        <v>13</v>
      </c>
      <c r="C2569">
        <v>26000</v>
      </c>
      <c r="D2569" t="s">
        <v>71</v>
      </c>
      <c r="E2569" t="s">
        <v>74</v>
      </c>
      <c r="F2569" t="s">
        <v>79</v>
      </c>
    </row>
    <row r="2570" spans="1:6" x14ac:dyDescent="0.45">
      <c r="A2570">
        <v>40</v>
      </c>
      <c r="B2570">
        <v>13</v>
      </c>
      <c r="C2570">
        <v>26000</v>
      </c>
      <c r="D2570" t="s">
        <v>76</v>
      </c>
      <c r="E2570" t="s">
        <v>72</v>
      </c>
      <c r="F2570" t="s">
        <v>79</v>
      </c>
    </row>
    <row r="2571" spans="1:6" x14ac:dyDescent="0.45">
      <c r="A2571">
        <v>50</v>
      </c>
      <c r="B2571">
        <v>13</v>
      </c>
      <c r="C2571">
        <v>26000</v>
      </c>
      <c r="D2571" t="s">
        <v>71</v>
      </c>
      <c r="E2571" t="s">
        <v>74</v>
      </c>
      <c r="F2571" t="s">
        <v>79</v>
      </c>
    </row>
    <row r="2572" spans="1:6" x14ac:dyDescent="0.45">
      <c r="A2572">
        <v>40</v>
      </c>
      <c r="B2572">
        <v>13</v>
      </c>
      <c r="C2572">
        <v>26000</v>
      </c>
      <c r="D2572" t="s">
        <v>71</v>
      </c>
      <c r="E2572" t="s">
        <v>72</v>
      </c>
      <c r="F2572" t="s">
        <v>79</v>
      </c>
    </row>
    <row r="2573" spans="1:6" x14ac:dyDescent="0.45">
      <c r="A2573">
        <v>45</v>
      </c>
      <c r="B2573">
        <v>13</v>
      </c>
      <c r="C2573">
        <v>26000</v>
      </c>
      <c r="D2573" t="s">
        <v>71</v>
      </c>
      <c r="E2573" t="s">
        <v>72</v>
      </c>
      <c r="F2573" t="s">
        <v>79</v>
      </c>
    </row>
    <row r="2574" spans="1:6" x14ac:dyDescent="0.45">
      <c r="A2574">
        <v>40</v>
      </c>
      <c r="B2574">
        <v>13</v>
      </c>
      <c r="C2574">
        <v>26000</v>
      </c>
      <c r="D2574" t="s">
        <v>71</v>
      </c>
      <c r="E2574" t="s">
        <v>72</v>
      </c>
      <c r="F2574" t="s">
        <v>79</v>
      </c>
    </row>
    <row r="2575" spans="1:6" x14ac:dyDescent="0.45">
      <c r="A2575">
        <v>60</v>
      </c>
      <c r="B2575">
        <v>13</v>
      </c>
      <c r="C2575">
        <v>26000</v>
      </c>
      <c r="D2575" t="s">
        <v>71</v>
      </c>
      <c r="E2575" t="s">
        <v>72</v>
      </c>
      <c r="F2575" t="s">
        <v>79</v>
      </c>
    </row>
    <row r="2576" spans="1:6" x14ac:dyDescent="0.45">
      <c r="A2576">
        <v>0</v>
      </c>
      <c r="B2576">
        <v>13</v>
      </c>
      <c r="C2576">
        <v>26000</v>
      </c>
      <c r="D2576" t="s">
        <v>71</v>
      </c>
      <c r="E2576" t="s">
        <v>74</v>
      </c>
      <c r="F2576" t="s">
        <v>79</v>
      </c>
    </row>
    <row r="2577" spans="1:6" x14ac:dyDescent="0.45">
      <c r="A2577">
        <v>47</v>
      </c>
      <c r="B2577">
        <v>13</v>
      </c>
      <c r="C2577">
        <v>26000</v>
      </c>
      <c r="D2577" t="s">
        <v>76</v>
      </c>
      <c r="E2577" t="s">
        <v>72</v>
      </c>
      <c r="F2577" t="s">
        <v>79</v>
      </c>
    </row>
    <row r="2578" spans="1:6" x14ac:dyDescent="0.45">
      <c r="A2578">
        <v>45</v>
      </c>
      <c r="B2578">
        <v>13</v>
      </c>
      <c r="C2578">
        <v>26000</v>
      </c>
      <c r="D2578" t="s">
        <v>71</v>
      </c>
      <c r="E2578" t="s">
        <v>72</v>
      </c>
      <c r="F2578" t="s">
        <v>79</v>
      </c>
    </row>
    <row r="2579" spans="1:6" x14ac:dyDescent="0.45">
      <c r="A2579">
        <v>40</v>
      </c>
      <c r="B2579">
        <v>13</v>
      </c>
      <c r="C2579">
        <v>26000</v>
      </c>
      <c r="D2579" t="s">
        <v>71</v>
      </c>
      <c r="E2579" t="s">
        <v>74</v>
      </c>
      <c r="F2579" t="s">
        <v>79</v>
      </c>
    </row>
    <row r="2580" spans="1:6" x14ac:dyDescent="0.45">
      <c r="A2580">
        <v>0</v>
      </c>
      <c r="B2580">
        <v>13</v>
      </c>
      <c r="C2580">
        <v>26319</v>
      </c>
      <c r="D2580" t="s">
        <v>71</v>
      </c>
      <c r="E2580" t="s">
        <v>74</v>
      </c>
      <c r="F2580" t="s">
        <v>79</v>
      </c>
    </row>
    <row r="2581" spans="1:6" x14ac:dyDescent="0.45">
      <c r="A2581">
        <v>40</v>
      </c>
      <c r="B2581">
        <v>13</v>
      </c>
      <c r="C2581">
        <v>26400</v>
      </c>
      <c r="D2581" t="s">
        <v>71</v>
      </c>
      <c r="E2581" t="s">
        <v>74</v>
      </c>
      <c r="F2581" t="s">
        <v>79</v>
      </c>
    </row>
    <row r="2582" spans="1:6" x14ac:dyDescent="0.45">
      <c r="A2582">
        <v>40</v>
      </c>
      <c r="B2582">
        <v>13</v>
      </c>
      <c r="C2582">
        <v>26400</v>
      </c>
      <c r="D2582" t="s">
        <v>71</v>
      </c>
      <c r="E2582" t="s">
        <v>74</v>
      </c>
      <c r="F2582" t="s">
        <v>79</v>
      </c>
    </row>
    <row r="2583" spans="1:6" x14ac:dyDescent="0.45">
      <c r="A2583">
        <v>45</v>
      </c>
      <c r="B2583">
        <v>13</v>
      </c>
      <c r="C2583">
        <v>26775</v>
      </c>
      <c r="D2583" t="s">
        <v>71</v>
      </c>
      <c r="E2583" t="s">
        <v>72</v>
      </c>
      <c r="F2583" t="s">
        <v>79</v>
      </c>
    </row>
    <row r="2584" spans="1:6" x14ac:dyDescent="0.45">
      <c r="A2584">
        <v>40</v>
      </c>
      <c r="B2584">
        <v>13</v>
      </c>
      <c r="C2584">
        <v>26776</v>
      </c>
      <c r="D2584" t="s">
        <v>76</v>
      </c>
      <c r="E2584" t="s">
        <v>74</v>
      </c>
      <c r="F2584" t="s">
        <v>79</v>
      </c>
    </row>
    <row r="2585" spans="1:6" x14ac:dyDescent="0.45">
      <c r="A2585">
        <v>40</v>
      </c>
      <c r="B2585">
        <v>13</v>
      </c>
      <c r="C2585">
        <v>26900</v>
      </c>
      <c r="D2585" t="s">
        <v>71</v>
      </c>
      <c r="E2585" t="s">
        <v>72</v>
      </c>
      <c r="F2585" t="s">
        <v>79</v>
      </c>
    </row>
    <row r="2586" spans="1:6" x14ac:dyDescent="0.45">
      <c r="A2586">
        <v>40</v>
      </c>
      <c r="B2586">
        <v>13</v>
      </c>
      <c r="C2586">
        <v>27000</v>
      </c>
      <c r="D2586" t="s">
        <v>71</v>
      </c>
      <c r="E2586" t="s">
        <v>74</v>
      </c>
      <c r="F2586" t="s">
        <v>79</v>
      </c>
    </row>
    <row r="2587" spans="1:6" x14ac:dyDescent="0.45">
      <c r="A2587">
        <v>0</v>
      </c>
      <c r="B2587">
        <v>13</v>
      </c>
      <c r="C2587">
        <v>27000</v>
      </c>
      <c r="D2587" t="s">
        <v>71</v>
      </c>
      <c r="E2587" t="s">
        <v>74</v>
      </c>
      <c r="F2587" t="s">
        <v>79</v>
      </c>
    </row>
    <row r="2588" spans="1:6" x14ac:dyDescent="0.45">
      <c r="A2588">
        <v>40</v>
      </c>
      <c r="B2588">
        <v>13</v>
      </c>
      <c r="C2588">
        <v>27000</v>
      </c>
      <c r="D2588" t="s">
        <v>71</v>
      </c>
      <c r="E2588" t="s">
        <v>74</v>
      </c>
      <c r="F2588" t="s">
        <v>79</v>
      </c>
    </row>
    <row r="2589" spans="1:6" x14ac:dyDescent="0.45">
      <c r="A2589">
        <v>60</v>
      </c>
      <c r="B2589">
        <v>13</v>
      </c>
      <c r="C2589">
        <v>27000</v>
      </c>
      <c r="D2589" t="s">
        <v>71</v>
      </c>
      <c r="E2589" t="s">
        <v>74</v>
      </c>
      <c r="F2589" t="s">
        <v>79</v>
      </c>
    </row>
    <row r="2590" spans="1:6" x14ac:dyDescent="0.45">
      <c r="A2590">
        <v>40</v>
      </c>
      <c r="B2590">
        <v>13</v>
      </c>
      <c r="C2590">
        <v>27000</v>
      </c>
      <c r="D2590" t="s">
        <v>71</v>
      </c>
      <c r="E2590" t="s">
        <v>72</v>
      </c>
      <c r="F2590" t="s">
        <v>79</v>
      </c>
    </row>
    <row r="2591" spans="1:6" x14ac:dyDescent="0.45">
      <c r="A2591">
        <v>40</v>
      </c>
      <c r="B2591">
        <v>13</v>
      </c>
      <c r="C2591">
        <v>27000</v>
      </c>
      <c r="D2591" t="s">
        <v>71</v>
      </c>
      <c r="E2591" t="s">
        <v>72</v>
      </c>
      <c r="F2591" t="s">
        <v>79</v>
      </c>
    </row>
    <row r="2592" spans="1:6" x14ac:dyDescent="0.45">
      <c r="A2592">
        <v>40</v>
      </c>
      <c r="B2592">
        <v>13</v>
      </c>
      <c r="C2592">
        <v>27000</v>
      </c>
      <c r="D2592" t="s">
        <v>76</v>
      </c>
      <c r="E2592" t="s">
        <v>74</v>
      </c>
      <c r="F2592" t="s">
        <v>79</v>
      </c>
    </row>
    <row r="2593" spans="1:6" x14ac:dyDescent="0.45">
      <c r="A2593">
        <v>40</v>
      </c>
      <c r="B2593">
        <v>13</v>
      </c>
      <c r="C2593">
        <v>27000</v>
      </c>
      <c r="D2593" t="s">
        <v>71</v>
      </c>
      <c r="E2593" t="s">
        <v>74</v>
      </c>
      <c r="F2593" t="s">
        <v>79</v>
      </c>
    </row>
    <row r="2594" spans="1:6" x14ac:dyDescent="0.45">
      <c r="A2594">
        <v>50</v>
      </c>
      <c r="B2594">
        <v>13</v>
      </c>
      <c r="C2594">
        <v>27000</v>
      </c>
      <c r="D2594" t="s">
        <v>71</v>
      </c>
      <c r="E2594" t="s">
        <v>74</v>
      </c>
      <c r="F2594" t="s">
        <v>79</v>
      </c>
    </row>
    <row r="2595" spans="1:6" x14ac:dyDescent="0.45">
      <c r="A2595">
        <v>42</v>
      </c>
      <c r="B2595">
        <v>13</v>
      </c>
      <c r="C2595">
        <v>27000</v>
      </c>
      <c r="D2595" t="s">
        <v>71</v>
      </c>
      <c r="E2595" t="s">
        <v>74</v>
      </c>
      <c r="F2595" t="s">
        <v>79</v>
      </c>
    </row>
    <row r="2596" spans="1:6" x14ac:dyDescent="0.45">
      <c r="A2596">
        <v>40</v>
      </c>
      <c r="B2596">
        <v>13</v>
      </c>
      <c r="C2596">
        <v>27000</v>
      </c>
      <c r="D2596" t="s">
        <v>71</v>
      </c>
      <c r="E2596" t="s">
        <v>72</v>
      </c>
      <c r="F2596" t="s">
        <v>79</v>
      </c>
    </row>
    <row r="2597" spans="1:6" x14ac:dyDescent="0.45">
      <c r="A2597">
        <v>40</v>
      </c>
      <c r="B2597">
        <v>13</v>
      </c>
      <c r="C2597">
        <v>27000</v>
      </c>
      <c r="D2597" t="s">
        <v>76</v>
      </c>
      <c r="E2597" t="s">
        <v>72</v>
      </c>
      <c r="F2597" t="s">
        <v>79</v>
      </c>
    </row>
    <row r="2598" spans="1:6" x14ac:dyDescent="0.45">
      <c r="A2598">
        <v>35</v>
      </c>
      <c r="B2598">
        <v>13</v>
      </c>
      <c r="C2598">
        <v>27000</v>
      </c>
      <c r="D2598" t="s">
        <v>71</v>
      </c>
      <c r="E2598" t="s">
        <v>72</v>
      </c>
      <c r="F2598" t="s">
        <v>79</v>
      </c>
    </row>
    <row r="2599" spans="1:6" x14ac:dyDescent="0.45">
      <c r="A2599">
        <v>56</v>
      </c>
      <c r="B2599">
        <v>13</v>
      </c>
      <c r="C2599">
        <v>27000</v>
      </c>
      <c r="D2599" t="s">
        <v>71</v>
      </c>
      <c r="E2599" t="s">
        <v>72</v>
      </c>
      <c r="F2599" t="s">
        <v>79</v>
      </c>
    </row>
    <row r="2600" spans="1:6" x14ac:dyDescent="0.45">
      <c r="A2600">
        <v>50</v>
      </c>
      <c r="B2600">
        <v>13</v>
      </c>
      <c r="C2600">
        <v>27000</v>
      </c>
      <c r="D2600" t="s">
        <v>71</v>
      </c>
      <c r="E2600" t="s">
        <v>72</v>
      </c>
      <c r="F2600" t="s">
        <v>79</v>
      </c>
    </row>
    <row r="2601" spans="1:6" x14ac:dyDescent="0.45">
      <c r="A2601">
        <v>40</v>
      </c>
      <c r="B2601">
        <v>13</v>
      </c>
      <c r="C2601">
        <v>27000</v>
      </c>
      <c r="D2601" t="s">
        <v>71</v>
      </c>
      <c r="E2601" t="s">
        <v>74</v>
      </c>
      <c r="F2601" t="s">
        <v>79</v>
      </c>
    </row>
    <row r="2602" spans="1:6" x14ac:dyDescent="0.45">
      <c r="A2602">
        <v>40</v>
      </c>
      <c r="B2602">
        <v>13</v>
      </c>
      <c r="C2602">
        <v>27000</v>
      </c>
      <c r="D2602" t="s">
        <v>71</v>
      </c>
      <c r="E2602" t="s">
        <v>72</v>
      </c>
      <c r="F2602" t="s">
        <v>79</v>
      </c>
    </row>
    <row r="2603" spans="1:6" x14ac:dyDescent="0.45">
      <c r="A2603">
        <v>40</v>
      </c>
      <c r="B2603">
        <v>13</v>
      </c>
      <c r="C2603">
        <v>27000</v>
      </c>
      <c r="D2603" t="s">
        <v>71</v>
      </c>
      <c r="E2603" t="s">
        <v>72</v>
      </c>
      <c r="F2603" t="s">
        <v>79</v>
      </c>
    </row>
    <row r="2604" spans="1:6" x14ac:dyDescent="0.45">
      <c r="A2604">
        <v>36</v>
      </c>
      <c r="B2604">
        <v>13</v>
      </c>
      <c r="C2604">
        <v>27000</v>
      </c>
      <c r="D2604" t="s">
        <v>71</v>
      </c>
      <c r="E2604" t="s">
        <v>72</v>
      </c>
      <c r="F2604" t="s">
        <v>79</v>
      </c>
    </row>
    <row r="2605" spans="1:6" x14ac:dyDescent="0.45">
      <c r="A2605">
        <v>44</v>
      </c>
      <c r="B2605">
        <v>13</v>
      </c>
      <c r="C2605">
        <v>27000</v>
      </c>
      <c r="D2605" t="s">
        <v>71</v>
      </c>
      <c r="E2605" t="s">
        <v>74</v>
      </c>
      <c r="F2605" t="s">
        <v>79</v>
      </c>
    </row>
    <row r="2606" spans="1:6" x14ac:dyDescent="0.45">
      <c r="A2606">
        <v>40</v>
      </c>
      <c r="B2606">
        <v>13</v>
      </c>
      <c r="C2606">
        <v>27000</v>
      </c>
      <c r="D2606" t="s">
        <v>71</v>
      </c>
      <c r="E2606" t="s">
        <v>72</v>
      </c>
      <c r="F2606" t="s">
        <v>79</v>
      </c>
    </row>
    <row r="2607" spans="1:6" x14ac:dyDescent="0.45">
      <c r="A2607">
        <v>40</v>
      </c>
      <c r="B2607">
        <v>13</v>
      </c>
      <c r="C2607">
        <v>27300</v>
      </c>
      <c r="D2607" t="s">
        <v>71</v>
      </c>
      <c r="E2607" t="s">
        <v>74</v>
      </c>
      <c r="F2607" t="s">
        <v>79</v>
      </c>
    </row>
    <row r="2608" spans="1:6" x14ac:dyDescent="0.45">
      <c r="A2608">
        <v>40</v>
      </c>
      <c r="B2608">
        <v>13</v>
      </c>
      <c r="C2608">
        <v>27500</v>
      </c>
      <c r="D2608" t="s">
        <v>76</v>
      </c>
      <c r="E2608" t="s">
        <v>72</v>
      </c>
      <c r="F2608" t="s">
        <v>79</v>
      </c>
    </row>
    <row r="2609" spans="1:6" x14ac:dyDescent="0.45">
      <c r="A2609">
        <v>75</v>
      </c>
      <c r="B2609">
        <v>13</v>
      </c>
      <c r="C2609">
        <v>27568</v>
      </c>
      <c r="D2609" t="s">
        <v>71</v>
      </c>
      <c r="E2609" t="s">
        <v>74</v>
      </c>
      <c r="F2609" t="s">
        <v>79</v>
      </c>
    </row>
    <row r="2610" spans="1:6" x14ac:dyDescent="0.45">
      <c r="A2610">
        <v>48</v>
      </c>
      <c r="B2610">
        <v>13</v>
      </c>
      <c r="C2610">
        <v>27676</v>
      </c>
      <c r="D2610" t="s">
        <v>71</v>
      </c>
      <c r="E2610" t="s">
        <v>74</v>
      </c>
      <c r="F2610" t="s">
        <v>79</v>
      </c>
    </row>
    <row r="2611" spans="1:6" x14ac:dyDescent="0.45">
      <c r="A2611">
        <v>40</v>
      </c>
      <c r="B2611">
        <v>13</v>
      </c>
      <c r="C2611">
        <v>28000</v>
      </c>
      <c r="D2611" t="s">
        <v>71</v>
      </c>
      <c r="E2611" t="s">
        <v>72</v>
      </c>
      <c r="F2611" t="s">
        <v>79</v>
      </c>
    </row>
    <row r="2612" spans="1:6" x14ac:dyDescent="0.45">
      <c r="A2612">
        <v>55</v>
      </c>
      <c r="B2612">
        <v>13</v>
      </c>
      <c r="C2612">
        <v>28000</v>
      </c>
      <c r="D2612" t="s">
        <v>76</v>
      </c>
      <c r="E2612" t="s">
        <v>74</v>
      </c>
      <c r="F2612" t="s">
        <v>79</v>
      </c>
    </row>
    <row r="2613" spans="1:6" x14ac:dyDescent="0.45">
      <c r="A2613">
        <v>40</v>
      </c>
      <c r="B2613">
        <v>13</v>
      </c>
      <c r="C2613">
        <v>28000</v>
      </c>
      <c r="D2613" t="s">
        <v>71</v>
      </c>
      <c r="E2613" t="s">
        <v>74</v>
      </c>
      <c r="F2613" t="s">
        <v>79</v>
      </c>
    </row>
    <row r="2614" spans="1:6" x14ac:dyDescent="0.45">
      <c r="A2614">
        <v>55</v>
      </c>
      <c r="B2614">
        <v>13</v>
      </c>
      <c r="C2614">
        <v>28000</v>
      </c>
      <c r="D2614" t="s">
        <v>76</v>
      </c>
      <c r="E2614" t="s">
        <v>74</v>
      </c>
      <c r="F2614" t="s">
        <v>79</v>
      </c>
    </row>
    <row r="2615" spans="1:6" x14ac:dyDescent="0.45">
      <c r="A2615">
        <v>40</v>
      </c>
      <c r="B2615">
        <v>13</v>
      </c>
      <c r="C2615">
        <v>28000</v>
      </c>
      <c r="D2615" t="s">
        <v>71</v>
      </c>
      <c r="E2615" t="s">
        <v>72</v>
      </c>
      <c r="F2615" t="s">
        <v>79</v>
      </c>
    </row>
    <row r="2616" spans="1:6" x14ac:dyDescent="0.45">
      <c r="A2616">
        <v>50</v>
      </c>
      <c r="B2616">
        <v>13</v>
      </c>
      <c r="C2616">
        <v>28000</v>
      </c>
      <c r="D2616" t="s">
        <v>71</v>
      </c>
      <c r="E2616" t="s">
        <v>74</v>
      </c>
      <c r="F2616" t="s">
        <v>79</v>
      </c>
    </row>
    <row r="2617" spans="1:6" x14ac:dyDescent="0.45">
      <c r="A2617">
        <v>45</v>
      </c>
      <c r="B2617">
        <v>13</v>
      </c>
      <c r="C2617">
        <v>28000</v>
      </c>
      <c r="D2617" t="s">
        <v>76</v>
      </c>
      <c r="E2617" t="s">
        <v>74</v>
      </c>
      <c r="F2617" t="s">
        <v>79</v>
      </c>
    </row>
    <row r="2618" spans="1:6" x14ac:dyDescent="0.45">
      <c r="A2618">
        <v>40</v>
      </c>
      <c r="B2618">
        <v>13</v>
      </c>
      <c r="C2618">
        <v>28000</v>
      </c>
      <c r="D2618" t="s">
        <v>71</v>
      </c>
      <c r="E2618" t="s">
        <v>72</v>
      </c>
      <c r="F2618" t="s">
        <v>79</v>
      </c>
    </row>
    <row r="2619" spans="1:6" x14ac:dyDescent="0.45">
      <c r="A2619">
        <v>40</v>
      </c>
      <c r="B2619">
        <v>13</v>
      </c>
      <c r="C2619">
        <v>28000</v>
      </c>
      <c r="D2619" t="s">
        <v>71</v>
      </c>
      <c r="E2619" t="s">
        <v>74</v>
      </c>
      <c r="F2619" t="s">
        <v>79</v>
      </c>
    </row>
    <row r="2620" spans="1:6" x14ac:dyDescent="0.45">
      <c r="A2620">
        <v>48</v>
      </c>
      <c r="B2620">
        <v>13</v>
      </c>
      <c r="C2620">
        <v>28000</v>
      </c>
      <c r="D2620" t="s">
        <v>71</v>
      </c>
      <c r="E2620" t="s">
        <v>74</v>
      </c>
      <c r="F2620" t="s">
        <v>79</v>
      </c>
    </row>
    <row r="2621" spans="1:6" x14ac:dyDescent="0.45">
      <c r="A2621">
        <v>40</v>
      </c>
      <c r="B2621">
        <v>13</v>
      </c>
      <c r="C2621">
        <v>28000</v>
      </c>
      <c r="D2621" t="s">
        <v>71</v>
      </c>
      <c r="E2621" t="s">
        <v>74</v>
      </c>
      <c r="F2621" t="s">
        <v>79</v>
      </c>
    </row>
    <row r="2622" spans="1:6" x14ac:dyDescent="0.45">
      <c r="A2622">
        <v>42</v>
      </c>
      <c r="B2622">
        <v>13</v>
      </c>
      <c r="C2622">
        <v>28000</v>
      </c>
      <c r="D2622" t="s">
        <v>71</v>
      </c>
      <c r="E2622" t="s">
        <v>72</v>
      </c>
      <c r="F2622" t="s">
        <v>79</v>
      </c>
    </row>
    <row r="2623" spans="1:6" x14ac:dyDescent="0.45">
      <c r="A2623">
        <v>0</v>
      </c>
      <c r="B2623">
        <v>13</v>
      </c>
      <c r="C2623">
        <v>28000</v>
      </c>
      <c r="D2623" t="s">
        <v>71</v>
      </c>
      <c r="E2623" t="s">
        <v>74</v>
      </c>
      <c r="F2623" t="s">
        <v>79</v>
      </c>
    </row>
    <row r="2624" spans="1:6" x14ac:dyDescent="0.45">
      <c r="A2624">
        <v>40</v>
      </c>
      <c r="B2624">
        <v>13</v>
      </c>
      <c r="C2624">
        <v>28000</v>
      </c>
      <c r="D2624" t="s">
        <v>71</v>
      </c>
      <c r="E2624" t="s">
        <v>74</v>
      </c>
      <c r="F2624" t="s">
        <v>79</v>
      </c>
    </row>
    <row r="2625" spans="1:6" x14ac:dyDescent="0.45">
      <c r="A2625">
        <v>58</v>
      </c>
      <c r="B2625">
        <v>13</v>
      </c>
      <c r="C2625">
        <v>28000</v>
      </c>
      <c r="D2625" t="s">
        <v>71</v>
      </c>
      <c r="E2625" t="s">
        <v>74</v>
      </c>
      <c r="F2625" t="s">
        <v>79</v>
      </c>
    </row>
    <row r="2626" spans="1:6" x14ac:dyDescent="0.45">
      <c r="A2626">
        <v>40</v>
      </c>
      <c r="B2626">
        <v>13</v>
      </c>
      <c r="C2626">
        <v>28000</v>
      </c>
      <c r="D2626" t="s">
        <v>71</v>
      </c>
      <c r="E2626" t="s">
        <v>72</v>
      </c>
      <c r="F2626" t="s">
        <v>79</v>
      </c>
    </row>
    <row r="2627" spans="1:6" x14ac:dyDescent="0.45">
      <c r="A2627">
        <v>45</v>
      </c>
      <c r="B2627">
        <v>13</v>
      </c>
      <c r="C2627">
        <v>28000</v>
      </c>
      <c r="D2627" t="s">
        <v>71</v>
      </c>
      <c r="E2627" t="s">
        <v>72</v>
      </c>
      <c r="F2627" t="s">
        <v>79</v>
      </c>
    </row>
    <row r="2628" spans="1:6" x14ac:dyDescent="0.45">
      <c r="A2628">
        <v>40</v>
      </c>
      <c r="B2628">
        <v>13</v>
      </c>
      <c r="C2628">
        <v>28000</v>
      </c>
      <c r="D2628" t="s">
        <v>75</v>
      </c>
      <c r="E2628" t="s">
        <v>74</v>
      </c>
      <c r="F2628" t="s">
        <v>79</v>
      </c>
    </row>
    <row r="2629" spans="1:6" x14ac:dyDescent="0.45">
      <c r="A2629">
        <v>50</v>
      </c>
      <c r="B2629">
        <v>13</v>
      </c>
      <c r="C2629">
        <v>28000</v>
      </c>
      <c r="D2629" t="s">
        <v>71</v>
      </c>
      <c r="E2629" t="s">
        <v>72</v>
      </c>
      <c r="F2629" t="s">
        <v>79</v>
      </c>
    </row>
    <row r="2630" spans="1:6" x14ac:dyDescent="0.45">
      <c r="A2630">
        <v>40</v>
      </c>
      <c r="B2630">
        <v>13</v>
      </c>
      <c r="C2630">
        <v>28000</v>
      </c>
      <c r="D2630" t="s">
        <v>71</v>
      </c>
      <c r="E2630" t="s">
        <v>72</v>
      </c>
      <c r="F2630" t="s">
        <v>79</v>
      </c>
    </row>
    <row r="2631" spans="1:6" x14ac:dyDescent="0.45">
      <c r="A2631">
        <v>40</v>
      </c>
      <c r="B2631">
        <v>13</v>
      </c>
      <c r="C2631">
        <v>28000</v>
      </c>
      <c r="D2631" t="s">
        <v>76</v>
      </c>
      <c r="E2631" t="s">
        <v>72</v>
      </c>
      <c r="F2631" t="s">
        <v>79</v>
      </c>
    </row>
    <row r="2632" spans="1:6" x14ac:dyDescent="0.45">
      <c r="A2632">
        <v>40</v>
      </c>
      <c r="B2632">
        <v>13</v>
      </c>
      <c r="C2632">
        <v>28000</v>
      </c>
      <c r="D2632" t="s">
        <v>71</v>
      </c>
      <c r="E2632" t="s">
        <v>74</v>
      </c>
      <c r="F2632" t="s">
        <v>79</v>
      </c>
    </row>
    <row r="2633" spans="1:6" x14ac:dyDescent="0.45">
      <c r="A2633">
        <v>40</v>
      </c>
      <c r="B2633">
        <v>13</v>
      </c>
      <c r="C2633">
        <v>28000</v>
      </c>
      <c r="D2633" t="s">
        <v>71</v>
      </c>
      <c r="E2633" t="s">
        <v>72</v>
      </c>
      <c r="F2633" t="s">
        <v>79</v>
      </c>
    </row>
    <row r="2634" spans="1:6" x14ac:dyDescent="0.45">
      <c r="A2634">
        <v>40</v>
      </c>
      <c r="B2634">
        <v>13</v>
      </c>
      <c r="C2634">
        <v>28000</v>
      </c>
      <c r="D2634" t="s">
        <v>71</v>
      </c>
      <c r="E2634" t="s">
        <v>72</v>
      </c>
      <c r="F2634" t="s">
        <v>79</v>
      </c>
    </row>
    <row r="2635" spans="1:6" x14ac:dyDescent="0.45">
      <c r="A2635">
        <v>45</v>
      </c>
      <c r="B2635">
        <v>13</v>
      </c>
      <c r="C2635">
        <v>28000</v>
      </c>
      <c r="D2635" t="s">
        <v>71</v>
      </c>
      <c r="E2635" t="s">
        <v>74</v>
      </c>
      <c r="F2635" t="s">
        <v>79</v>
      </c>
    </row>
    <row r="2636" spans="1:6" x14ac:dyDescent="0.45">
      <c r="A2636">
        <v>40</v>
      </c>
      <c r="B2636">
        <v>13</v>
      </c>
      <c r="C2636">
        <v>28000</v>
      </c>
      <c r="D2636" t="s">
        <v>71</v>
      </c>
      <c r="E2636" t="s">
        <v>72</v>
      </c>
      <c r="F2636" t="s">
        <v>79</v>
      </c>
    </row>
    <row r="2637" spans="1:6" x14ac:dyDescent="0.45">
      <c r="A2637">
        <v>40</v>
      </c>
      <c r="B2637">
        <v>13</v>
      </c>
      <c r="C2637">
        <v>28000</v>
      </c>
      <c r="D2637" t="s">
        <v>76</v>
      </c>
      <c r="E2637" t="s">
        <v>74</v>
      </c>
      <c r="F2637" t="s">
        <v>79</v>
      </c>
    </row>
    <row r="2638" spans="1:6" x14ac:dyDescent="0.45">
      <c r="A2638">
        <v>40</v>
      </c>
      <c r="B2638">
        <v>13</v>
      </c>
      <c r="C2638">
        <v>28000</v>
      </c>
      <c r="D2638" t="s">
        <v>71</v>
      </c>
      <c r="E2638" t="s">
        <v>72</v>
      </c>
      <c r="F2638" t="s">
        <v>79</v>
      </c>
    </row>
    <row r="2639" spans="1:6" x14ac:dyDescent="0.45">
      <c r="A2639">
        <v>40</v>
      </c>
      <c r="B2639">
        <v>13</v>
      </c>
      <c r="C2639">
        <v>28500</v>
      </c>
      <c r="D2639" t="s">
        <v>71</v>
      </c>
      <c r="E2639" t="s">
        <v>72</v>
      </c>
      <c r="F2639" t="s">
        <v>79</v>
      </c>
    </row>
    <row r="2640" spans="1:6" x14ac:dyDescent="0.45">
      <c r="A2640">
        <v>49</v>
      </c>
      <c r="B2640">
        <v>13</v>
      </c>
      <c r="C2640">
        <v>28500</v>
      </c>
      <c r="D2640" t="s">
        <v>71</v>
      </c>
      <c r="E2640" t="s">
        <v>72</v>
      </c>
      <c r="F2640" t="s">
        <v>79</v>
      </c>
    </row>
    <row r="2641" spans="1:6" x14ac:dyDescent="0.45">
      <c r="A2641">
        <v>40</v>
      </c>
      <c r="B2641">
        <v>13</v>
      </c>
      <c r="C2641">
        <v>28580</v>
      </c>
      <c r="D2641" t="s">
        <v>71</v>
      </c>
      <c r="E2641" t="s">
        <v>72</v>
      </c>
      <c r="F2641" t="s">
        <v>79</v>
      </c>
    </row>
    <row r="2642" spans="1:6" x14ac:dyDescent="0.45">
      <c r="A2642">
        <v>40</v>
      </c>
      <c r="B2642">
        <v>13</v>
      </c>
      <c r="C2642">
        <v>28600</v>
      </c>
      <c r="D2642" t="s">
        <v>71</v>
      </c>
      <c r="E2642" t="s">
        <v>74</v>
      </c>
      <c r="F2642" t="s">
        <v>79</v>
      </c>
    </row>
    <row r="2643" spans="1:6" x14ac:dyDescent="0.45">
      <c r="A2643">
        <v>40</v>
      </c>
      <c r="B2643">
        <v>13</v>
      </c>
      <c r="C2643">
        <v>28600</v>
      </c>
      <c r="D2643" t="s">
        <v>76</v>
      </c>
      <c r="E2643" t="s">
        <v>72</v>
      </c>
      <c r="F2643" t="s">
        <v>79</v>
      </c>
    </row>
    <row r="2644" spans="1:6" x14ac:dyDescent="0.45">
      <c r="A2644">
        <v>40</v>
      </c>
      <c r="B2644">
        <v>13</v>
      </c>
      <c r="C2644">
        <v>28692</v>
      </c>
      <c r="D2644" t="s">
        <v>71</v>
      </c>
      <c r="E2644" t="s">
        <v>74</v>
      </c>
      <c r="F2644" t="s">
        <v>79</v>
      </c>
    </row>
    <row r="2645" spans="1:6" x14ac:dyDescent="0.45">
      <c r="A2645">
        <v>40</v>
      </c>
      <c r="B2645">
        <v>13</v>
      </c>
      <c r="C2645">
        <v>28700</v>
      </c>
      <c r="D2645" t="s">
        <v>71</v>
      </c>
      <c r="E2645" t="s">
        <v>74</v>
      </c>
      <c r="F2645" t="s">
        <v>79</v>
      </c>
    </row>
    <row r="2646" spans="1:6" x14ac:dyDescent="0.45">
      <c r="A2646">
        <v>40</v>
      </c>
      <c r="B2646">
        <v>13</v>
      </c>
      <c r="C2646">
        <v>28700</v>
      </c>
      <c r="D2646" t="s">
        <v>71</v>
      </c>
      <c r="E2646" t="s">
        <v>74</v>
      </c>
      <c r="F2646" t="s">
        <v>79</v>
      </c>
    </row>
    <row r="2647" spans="1:6" x14ac:dyDescent="0.45">
      <c r="A2647">
        <v>40</v>
      </c>
      <c r="B2647">
        <v>13</v>
      </c>
      <c r="C2647">
        <v>28750</v>
      </c>
      <c r="D2647" t="s">
        <v>71</v>
      </c>
      <c r="E2647" t="s">
        <v>74</v>
      </c>
      <c r="F2647" t="s">
        <v>79</v>
      </c>
    </row>
    <row r="2648" spans="1:6" x14ac:dyDescent="0.45">
      <c r="A2648">
        <v>50</v>
      </c>
      <c r="B2648">
        <v>13</v>
      </c>
      <c r="C2648">
        <v>28756</v>
      </c>
      <c r="D2648" t="s">
        <v>71</v>
      </c>
      <c r="E2648" t="s">
        <v>72</v>
      </c>
      <c r="F2648" t="s">
        <v>79</v>
      </c>
    </row>
    <row r="2649" spans="1:6" x14ac:dyDescent="0.45">
      <c r="A2649">
        <v>0</v>
      </c>
      <c r="B2649">
        <v>13</v>
      </c>
      <c r="C2649">
        <v>28756</v>
      </c>
      <c r="D2649" t="s">
        <v>71</v>
      </c>
      <c r="E2649" t="s">
        <v>72</v>
      </c>
      <c r="F2649" t="s">
        <v>79</v>
      </c>
    </row>
    <row r="2650" spans="1:6" x14ac:dyDescent="0.45">
      <c r="A2650">
        <v>80</v>
      </c>
      <c r="B2650">
        <v>13</v>
      </c>
      <c r="C2650">
        <v>28800</v>
      </c>
      <c r="D2650" t="s">
        <v>71</v>
      </c>
      <c r="E2650" t="s">
        <v>74</v>
      </c>
      <c r="F2650" t="s">
        <v>79</v>
      </c>
    </row>
    <row r="2651" spans="1:6" x14ac:dyDescent="0.45">
      <c r="A2651">
        <v>55</v>
      </c>
      <c r="B2651">
        <v>13</v>
      </c>
      <c r="C2651">
        <v>28998</v>
      </c>
      <c r="D2651" t="s">
        <v>71</v>
      </c>
      <c r="E2651" t="s">
        <v>74</v>
      </c>
      <c r="F2651" t="s">
        <v>79</v>
      </c>
    </row>
    <row r="2652" spans="1:6" x14ac:dyDescent="0.45">
      <c r="A2652">
        <v>0</v>
      </c>
      <c r="B2652">
        <v>13</v>
      </c>
      <c r="C2652">
        <v>29000</v>
      </c>
      <c r="D2652" t="s">
        <v>71</v>
      </c>
      <c r="E2652" t="s">
        <v>72</v>
      </c>
      <c r="F2652" t="s">
        <v>79</v>
      </c>
    </row>
    <row r="2653" spans="1:6" x14ac:dyDescent="0.45">
      <c r="A2653">
        <v>55</v>
      </c>
      <c r="B2653">
        <v>13</v>
      </c>
      <c r="C2653">
        <v>29000</v>
      </c>
      <c r="D2653" t="s">
        <v>71</v>
      </c>
      <c r="E2653" t="s">
        <v>72</v>
      </c>
      <c r="F2653" t="s">
        <v>79</v>
      </c>
    </row>
    <row r="2654" spans="1:6" x14ac:dyDescent="0.45">
      <c r="A2654">
        <v>40</v>
      </c>
      <c r="B2654">
        <v>13</v>
      </c>
      <c r="C2654">
        <v>29000</v>
      </c>
      <c r="D2654" t="s">
        <v>77</v>
      </c>
      <c r="E2654" t="s">
        <v>72</v>
      </c>
      <c r="F2654" t="s">
        <v>79</v>
      </c>
    </row>
    <row r="2655" spans="1:6" x14ac:dyDescent="0.45">
      <c r="A2655">
        <v>40</v>
      </c>
      <c r="B2655">
        <v>13</v>
      </c>
      <c r="C2655">
        <v>29000</v>
      </c>
      <c r="D2655" t="s">
        <v>71</v>
      </c>
      <c r="E2655" t="s">
        <v>74</v>
      </c>
      <c r="F2655" t="s">
        <v>79</v>
      </c>
    </row>
    <row r="2656" spans="1:6" x14ac:dyDescent="0.45">
      <c r="A2656">
        <v>40</v>
      </c>
      <c r="B2656">
        <v>13</v>
      </c>
      <c r="C2656">
        <v>29000</v>
      </c>
      <c r="D2656" t="s">
        <v>71</v>
      </c>
      <c r="E2656" t="s">
        <v>74</v>
      </c>
      <c r="F2656" t="s">
        <v>79</v>
      </c>
    </row>
    <row r="2657" spans="1:6" x14ac:dyDescent="0.45">
      <c r="A2657">
        <v>40</v>
      </c>
      <c r="B2657">
        <v>13</v>
      </c>
      <c r="C2657">
        <v>29000</v>
      </c>
      <c r="D2657" t="s">
        <v>71</v>
      </c>
      <c r="E2657" t="s">
        <v>72</v>
      </c>
      <c r="F2657" t="s">
        <v>79</v>
      </c>
    </row>
    <row r="2658" spans="1:6" x14ac:dyDescent="0.45">
      <c r="A2658">
        <v>44</v>
      </c>
      <c r="B2658">
        <v>13</v>
      </c>
      <c r="C2658">
        <v>29000</v>
      </c>
      <c r="D2658" t="s">
        <v>71</v>
      </c>
      <c r="E2658" t="s">
        <v>74</v>
      </c>
      <c r="F2658" t="s">
        <v>79</v>
      </c>
    </row>
    <row r="2659" spans="1:6" x14ac:dyDescent="0.45">
      <c r="A2659">
        <v>40</v>
      </c>
      <c r="B2659">
        <v>13</v>
      </c>
      <c r="C2659">
        <v>29000</v>
      </c>
      <c r="D2659" t="s">
        <v>71</v>
      </c>
      <c r="E2659" t="s">
        <v>72</v>
      </c>
      <c r="F2659" t="s">
        <v>79</v>
      </c>
    </row>
    <row r="2660" spans="1:6" x14ac:dyDescent="0.45">
      <c r="A2660">
        <v>55</v>
      </c>
      <c r="B2660">
        <v>13</v>
      </c>
      <c r="C2660">
        <v>29000</v>
      </c>
      <c r="D2660" t="s">
        <v>71</v>
      </c>
      <c r="E2660" t="s">
        <v>74</v>
      </c>
      <c r="F2660" t="s">
        <v>79</v>
      </c>
    </row>
    <row r="2661" spans="1:6" x14ac:dyDescent="0.45">
      <c r="A2661">
        <v>40</v>
      </c>
      <c r="B2661">
        <v>13</v>
      </c>
      <c r="C2661">
        <v>29000</v>
      </c>
      <c r="D2661" t="s">
        <v>71</v>
      </c>
      <c r="E2661" t="s">
        <v>74</v>
      </c>
      <c r="F2661" t="s">
        <v>79</v>
      </c>
    </row>
    <row r="2662" spans="1:6" x14ac:dyDescent="0.45">
      <c r="A2662">
        <v>40</v>
      </c>
      <c r="B2662">
        <v>13</v>
      </c>
      <c r="C2662">
        <v>29000</v>
      </c>
      <c r="D2662" t="s">
        <v>76</v>
      </c>
      <c r="E2662" t="s">
        <v>72</v>
      </c>
      <c r="F2662" t="s">
        <v>79</v>
      </c>
    </row>
    <row r="2663" spans="1:6" x14ac:dyDescent="0.45">
      <c r="A2663">
        <v>40</v>
      </c>
      <c r="B2663">
        <v>13</v>
      </c>
      <c r="C2663">
        <v>29000</v>
      </c>
      <c r="D2663" t="s">
        <v>76</v>
      </c>
      <c r="E2663" t="s">
        <v>72</v>
      </c>
      <c r="F2663" t="s">
        <v>79</v>
      </c>
    </row>
    <row r="2664" spans="1:6" x14ac:dyDescent="0.45">
      <c r="A2664">
        <v>35</v>
      </c>
      <c r="B2664">
        <v>13</v>
      </c>
      <c r="C2664">
        <v>29000</v>
      </c>
      <c r="D2664" t="s">
        <v>71</v>
      </c>
      <c r="E2664" t="s">
        <v>74</v>
      </c>
      <c r="F2664" t="s">
        <v>79</v>
      </c>
    </row>
    <row r="2665" spans="1:6" x14ac:dyDescent="0.45">
      <c r="A2665">
        <v>45</v>
      </c>
      <c r="B2665">
        <v>13</v>
      </c>
      <c r="C2665">
        <v>29000</v>
      </c>
      <c r="D2665" t="s">
        <v>71</v>
      </c>
      <c r="E2665" t="s">
        <v>72</v>
      </c>
      <c r="F2665" t="s">
        <v>79</v>
      </c>
    </row>
    <row r="2666" spans="1:6" x14ac:dyDescent="0.45">
      <c r="A2666">
        <v>40</v>
      </c>
      <c r="B2666">
        <v>13</v>
      </c>
      <c r="C2666">
        <v>29000</v>
      </c>
      <c r="D2666" t="s">
        <v>71</v>
      </c>
      <c r="E2666" t="s">
        <v>72</v>
      </c>
      <c r="F2666" t="s">
        <v>79</v>
      </c>
    </row>
    <row r="2667" spans="1:6" x14ac:dyDescent="0.45">
      <c r="A2667">
        <v>45</v>
      </c>
      <c r="B2667">
        <v>13</v>
      </c>
      <c r="C2667">
        <v>29000</v>
      </c>
      <c r="D2667" t="s">
        <v>71</v>
      </c>
      <c r="E2667" t="s">
        <v>72</v>
      </c>
      <c r="F2667" t="s">
        <v>79</v>
      </c>
    </row>
    <row r="2668" spans="1:6" x14ac:dyDescent="0.45">
      <c r="A2668">
        <v>0</v>
      </c>
      <c r="B2668">
        <v>13</v>
      </c>
      <c r="C2668">
        <v>29000</v>
      </c>
      <c r="D2668" t="s">
        <v>71</v>
      </c>
      <c r="E2668" t="s">
        <v>72</v>
      </c>
      <c r="F2668" t="s">
        <v>79</v>
      </c>
    </row>
    <row r="2669" spans="1:6" x14ac:dyDescent="0.45">
      <c r="A2669">
        <v>40</v>
      </c>
      <c r="B2669">
        <v>13</v>
      </c>
      <c r="C2669">
        <v>29000</v>
      </c>
      <c r="D2669" t="s">
        <v>71</v>
      </c>
      <c r="E2669" t="s">
        <v>74</v>
      </c>
      <c r="F2669" t="s">
        <v>79</v>
      </c>
    </row>
    <row r="2670" spans="1:6" x14ac:dyDescent="0.45">
      <c r="A2670">
        <v>40</v>
      </c>
      <c r="B2670">
        <v>13</v>
      </c>
      <c r="C2670">
        <v>29000</v>
      </c>
      <c r="D2670" t="s">
        <v>71</v>
      </c>
      <c r="E2670" t="s">
        <v>74</v>
      </c>
      <c r="F2670" t="s">
        <v>79</v>
      </c>
    </row>
    <row r="2671" spans="1:6" x14ac:dyDescent="0.45">
      <c r="A2671">
        <v>40</v>
      </c>
      <c r="B2671">
        <v>13</v>
      </c>
      <c r="C2671">
        <v>29000</v>
      </c>
      <c r="D2671" t="s">
        <v>71</v>
      </c>
      <c r="E2671" t="s">
        <v>74</v>
      </c>
      <c r="F2671" t="s">
        <v>79</v>
      </c>
    </row>
    <row r="2672" spans="1:6" x14ac:dyDescent="0.45">
      <c r="A2672">
        <v>40</v>
      </c>
      <c r="B2672">
        <v>13</v>
      </c>
      <c r="C2672">
        <v>29120</v>
      </c>
      <c r="D2672" t="s">
        <v>71</v>
      </c>
      <c r="E2672" t="s">
        <v>74</v>
      </c>
      <c r="F2672" t="s">
        <v>79</v>
      </c>
    </row>
    <row r="2673" spans="1:6" x14ac:dyDescent="0.45">
      <c r="A2673">
        <v>40</v>
      </c>
      <c r="B2673">
        <v>13</v>
      </c>
      <c r="C2673">
        <v>29120</v>
      </c>
      <c r="D2673" t="s">
        <v>71</v>
      </c>
      <c r="E2673" t="s">
        <v>74</v>
      </c>
      <c r="F2673" t="s">
        <v>79</v>
      </c>
    </row>
    <row r="2674" spans="1:6" x14ac:dyDescent="0.45">
      <c r="A2674">
        <v>50</v>
      </c>
      <c r="B2674">
        <v>13</v>
      </c>
      <c r="C2674">
        <v>29380</v>
      </c>
      <c r="D2674" t="s">
        <v>71</v>
      </c>
      <c r="E2674" t="s">
        <v>74</v>
      </c>
      <c r="F2674" t="s">
        <v>79</v>
      </c>
    </row>
    <row r="2675" spans="1:6" x14ac:dyDescent="0.45">
      <c r="A2675">
        <v>45</v>
      </c>
      <c r="B2675">
        <v>13</v>
      </c>
      <c r="C2675">
        <v>29500</v>
      </c>
      <c r="D2675" t="s">
        <v>71</v>
      </c>
      <c r="E2675" t="s">
        <v>74</v>
      </c>
      <c r="F2675" t="s">
        <v>79</v>
      </c>
    </row>
    <row r="2676" spans="1:6" x14ac:dyDescent="0.45">
      <c r="A2676">
        <v>40</v>
      </c>
      <c r="B2676">
        <v>13</v>
      </c>
      <c r="C2676">
        <v>29500</v>
      </c>
      <c r="D2676" t="s">
        <v>71</v>
      </c>
      <c r="E2676" t="s">
        <v>74</v>
      </c>
      <c r="F2676" t="s">
        <v>79</v>
      </c>
    </row>
    <row r="2677" spans="1:6" x14ac:dyDescent="0.45">
      <c r="A2677">
        <v>40</v>
      </c>
      <c r="B2677">
        <v>13</v>
      </c>
      <c r="C2677">
        <v>29500</v>
      </c>
      <c r="D2677" t="s">
        <v>71</v>
      </c>
      <c r="E2677" t="s">
        <v>74</v>
      </c>
      <c r="F2677" t="s">
        <v>79</v>
      </c>
    </row>
    <row r="2678" spans="1:6" x14ac:dyDescent="0.45">
      <c r="A2678">
        <v>40</v>
      </c>
      <c r="B2678">
        <v>13</v>
      </c>
      <c r="C2678">
        <v>29500</v>
      </c>
      <c r="D2678" t="s">
        <v>71</v>
      </c>
      <c r="E2678" t="s">
        <v>72</v>
      </c>
      <c r="F2678" t="s">
        <v>79</v>
      </c>
    </row>
    <row r="2679" spans="1:6" x14ac:dyDescent="0.45">
      <c r="A2679">
        <v>40</v>
      </c>
      <c r="B2679">
        <v>13</v>
      </c>
      <c r="C2679">
        <v>29500</v>
      </c>
      <c r="D2679" t="s">
        <v>71</v>
      </c>
      <c r="E2679" t="s">
        <v>72</v>
      </c>
      <c r="F2679" t="s">
        <v>79</v>
      </c>
    </row>
    <row r="2680" spans="1:6" x14ac:dyDescent="0.45">
      <c r="A2680">
        <v>40</v>
      </c>
      <c r="B2680">
        <v>13</v>
      </c>
      <c r="C2680">
        <v>29600</v>
      </c>
      <c r="D2680" t="s">
        <v>71</v>
      </c>
      <c r="E2680" t="s">
        <v>72</v>
      </c>
      <c r="F2680" t="s">
        <v>79</v>
      </c>
    </row>
    <row r="2681" spans="1:6" x14ac:dyDescent="0.45">
      <c r="A2681">
        <v>0</v>
      </c>
      <c r="B2681">
        <v>13</v>
      </c>
      <c r="C2681">
        <v>29690</v>
      </c>
      <c r="D2681" t="s">
        <v>71</v>
      </c>
      <c r="E2681" t="s">
        <v>72</v>
      </c>
      <c r="F2681" t="s">
        <v>79</v>
      </c>
    </row>
    <row r="2682" spans="1:6" x14ac:dyDescent="0.45">
      <c r="A2682">
        <v>45</v>
      </c>
      <c r="B2682">
        <v>13</v>
      </c>
      <c r="C2682">
        <v>29800</v>
      </c>
      <c r="D2682" t="s">
        <v>71</v>
      </c>
      <c r="E2682" t="s">
        <v>72</v>
      </c>
      <c r="F2682" t="s">
        <v>79</v>
      </c>
    </row>
    <row r="2683" spans="1:6" x14ac:dyDescent="0.45">
      <c r="A2683">
        <v>40</v>
      </c>
      <c r="B2683">
        <v>13</v>
      </c>
      <c r="C2683">
        <v>29963</v>
      </c>
      <c r="D2683" t="s">
        <v>71</v>
      </c>
      <c r="E2683" t="s">
        <v>72</v>
      </c>
      <c r="F2683" t="s">
        <v>79</v>
      </c>
    </row>
    <row r="2684" spans="1:6" x14ac:dyDescent="0.45">
      <c r="A2684">
        <v>40</v>
      </c>
      <c r="B2684">
        <v>13</v>
      </c>
      <c r="C2684">
        <v>29963</v>
      </c>
      <c r="D2684" t="s">
        <v>71</v>
      </c>
      <c r="E2684" t="s">
        <v>72</v>
      </c>
      <c r="F2684" t="s">
        <v>79</v>
      </c>
    </row>
    <row r="2685" spans="1:6" x14ac:dyDescent="0.45">
      <c r="A2685">
        <v>40</v>
      </c>
      <c r="B2685">
        <v>13</v>
      </c>
      <c r="C2685">
        <v>29963</v>
      </c>
      <c r="D2685" t="s">
        <v>71</v>
      </c>
      <c r="E2685" t="s">
        <v>72</v>
      </c>
      <c r="F2685" t="s">
        <v>79</v>
      </c>
    </row>
    <row r="2686" spans="1:6" x14ac:dyDescent="0.45">
      <c r="A2686">
        <v>40</v>
      </c>
      <c r="B2686">
        <v>13</v>
      </c>
      <c r="C2686">
        <v>30000</v>
      </c>
      <c r="D2686" t="s">
        <v>71</v>
      </c>
      <c r="E2686" t="s">
        <v>74</v>
      </c>
      <c r="F2686" t="s">
        <v>79</v>
      </c>
    </row>
    <row r="2687" spans="1:6" x14ac:dyDescent="0.45">
      <c r="A2687">
        <v>40</v>
      </c>
      <c r="B2687">
        <v>13</v>
      </c>
      <c r="C2687">
        <v>30000</v>
      </c>
      <c r="D2687" t="s">
        <v>71</v>
      </c>
      <c r="E2687" t="s">
        <v>72</v>
      </c>
      <c r="F2687" t="s">
        <v>79</v>
      </c>
    </row>
    <row r="2688" spans="1:6" x14ac:dyDescent="0.45">
      <c r="A2688">
        <v>40</v>
      </c>
      <c r="B2688">
        <v>13</v>
      </c>
      <c r="C2688">
        <v>30000</v>
      </c>
      <c r="D2688" t="s">
        <v>75</v>
      </c>
      <c r="E2688" t="s">
        <v>74</v>
      </c>
      <c r="F2688" t="s">
        <v>79</v>
      </c>
    </row>
    <row r="2689" spans="1:6" x14ac:dyDescent="0.45">
      <c r="A2689">
        <v>40</v>
      </c>
      <c r="B2689">
        <v>13</v>
      </c>
      <c r="C2689">
        <v>30000</v>
      </c>
      <c r="D2689" t="s">
        <v>71</v>
      </c>
      <c r="E2689" t="s">
        <v>74</v>
      </c>
      <c r="F2689" t="s">
        <v>79</v>
      </c>
    </row>
    <row r="2690" spans="1:6" x14ac:dyDescent="0.45">
      <c r="A2690">
        <v>40</v>
      </c>
      <c r="B2690">
        <v>13</v>
      </c>
      <c r="C2690">
        <v>30000</v>
      </c>
      <c r="D2690" t="s">
        <v>71</v>
      </c>
      <c r="E2690" t="s">
        <v>74</v>
      </c>
      <c r="F2690" t="s">
        <v>79</v>
      </c>
    </row>
    <row r="2691" spans="1:6" x14ac:dyDescent="0.45">
      <c r="A2691">
        <v>60</v>
      </c>
      <c r="B2691">
        <v>13</v>
      </c>
      <c r="C2691">
        <v>30000</v>
      </c>
      <c r="D2691" t="s">
        <v>71</v>
      </c>
      <c r="E2691" t="s">
        <v>72</v>
      </c>
      <c r="F2691" t="s">
        <v>79</v>
      </c>
    </row>
    <row r="2692" spans="1:6" x14ac:dyDescent="0.45">
      <c r="A2692">
        <v>40</v>
      </c>
      <c r="B2692">
        <v>13</v>
      </c>
      <c r="C2692">
        <v>30000</v>
      </c>
      <c r="D2692" t="s">
        <v>71</v>
      </c>
      <c r="E2692" t="s">
        <v>72</v>
      </c>
      <c r="F2692" t="s">
        <v>79</v>
      </c>
    </row>
    <row r="2693" spans="1:6" x14ac:dyDescent="0.45">
      <c r="A2693">
        <v>40</v>
      </c>
      <c r="B2693">
        <v>13</v>
      </c>
      <c r="C2693">
        <v>30000</v>
      </c>
      <c r="D2693" t="s">
        <v>71</v>
      </c>
      <c r="E2693" t="s">
        <v>72</v>
      </c>
      <c r="F2693" t="s">
        <v>79</v>
      </c>
    </row>
    <row r="2694" spans="1:6" x14ac:dyDescent="0.45">
      <c r="A2694">
        <v>50</v>
      </c>
      <c r="B2694">
        <v>13</v>
      </c>
      <c r="C2694">
        <v>30000</v>
      </c>
      <c r="D2694" t="s">
        <v>71</v>
      </c>
      <c r="E2694" t="s">
        <v>74</v>
      </c>
      <c r="F2694" t="s">
        <v>79</v>
      </c>
    </row>
    <row r="2695" spans="1:6" x14ac:dyDescent="0.45">
      <c r="A2695">
        <v>40</v>
      </c>
      <c r="B2695">
        <v>13</v>
      </c>
      <c r="C2695">
        <v>30000</v>
      </c>
      <c r="D2695" t="s">
        <v>71</v>
      </c>
      <c r="E2695" t="s">
        <v>72</v>
      </c>
      <c r="F2695" t="s">
        <v>79</v>
      </c>
    </row>
    <row r="2696" spans="1:6" x14ac:dyDescent="0.45">
      <c r="A2696">
        <v>50</v>
      </c>
      <c r="B2696">
        <v>13</v>
      </c>
      <c r="C2696">
        <v>30000</v>
      </c>
      <c r="D2696" t="s">
        <v>71</v>
      </c>
      <c r="E2696" t="s">
        <v>74</v>
      </c>
      <c r="F2696" t="s">
        <v>79</v>
      </c>
    </row>
    <row r="2697" spans="1:6" x14ac:dyDescent="0.45">
      <c r="A2697">
        <v>40</v>
      </c>
      <c r="B2697">
        <v>13</v>
      </c>
      <c r="C2697">
        <v>30000</v>
      </c>
      <c r="D2697" t="s">
        <v>76</v>
      </c>
      <c r="E2697" t="s">
        <v>74</v>
      </c>
      <c r="F2697" t="s">
        <v>79</v>
      </c>
    </row>
    <row r="2698" spans="1:6" x14ac:dyDescent="0.45">
      <c r="A2698">
        <v>0</v>
      </c>
      <c r="B2698">
        <v>13</v>
      </c>
      <c r="C2698">
        <v>30000</v>
      </c>
      <c r="D2698" t="s">
        <v>71</v>
      </c>
      <c r="E2698" t="s">
        <v>74</v>
      </c>
      <c r="F2698" t="s">
        <v>79</v>
      </c>
    </row>
    <row r="2699" spans="1:6" x14ac:dyDescent="0.45">
      <c r="A2699">
        <v>48</v>
      </c>
      <c r="B2699">
        <v>13</v>
      </c>
      <c r="C2699">
        <v>30000</v>
      </c>
      <c r="D2699" t="s">
        <v>71</v>
      </c>
      <c r="E2699" t="s">
        <v>72</v>
      </c>
      <c r="F2699" t="s">
        <v>79</v>
      </c>
    </row>
    <row r="2700" spans="1:6" x14ac:dyDescent="0.45">
      <c r="A2700">
        <v>40</v>
      </c>
      <c r="B2700">
        <v>13</v>
      </c>
      <c r="C2700">
        <v>30000</v>
      </c>
      <c r="D2700" t="s">
        <v>71</v>
      </c>
      <c r="E2700" t="s">
        <v>72</v>
      </c>
      <c r="F2700" t="s">
        <v>79</v>
      </c>
    </row>
    <row r="2701" spans="1:6" x14ac:dyDescent="0.45">
      <c r="A2701">
        <v>40</v>
      </c>
      <c r="B2701">
        <v>13</v>
      </c>
      <c r="C2701">
        <v>30000</v>
      </c>
      <c r="D2701" t="s">
        <v>76</v>
      </c>
      <c r="E2701" t="s">
        <v>74</v>
      </c>
      <c r="F2701" t="s">
        <v>79</v>
      </c>
    </row>
    <row r="2702" spans="1:6" x14ac:dyDescent="0.45">
      <c r="A2702">
        <v>40</v>
      </c>
      <c r="B2702">
        <v>13</v>
      </c>
      <c r="C2702">
        <v>30000</v>
      </c>
      <c r="D2702" t="s">
        <v>71</v>
      </c>
      <c r="E2702" t="s">
        <v>74</v>
      </c>
      <c r="F2702" t="s">
        <v>79</v>
      </c>
    </row>
    <row r="2703" spans="1:6" x14ac:dyDescent="0.45">
      <c r="A2703">
        <v>40</v>
      </c>
      <c r="B2703">
        <v>13</v>
      </c>
      <c r="C2703">
        <v>30000</v>
      </c>
      <c r="D2703" t="s">
        <v>71</v>
      </c>
      <c r="E2703" t="s">
        <v>74</v>
      </c>
      <c r="F2703" t="s">
        <v>79</v>
      </c>
    </row>
    <row r="2704" spans="1:6" x14ac:dyDescent="0.45">
      <c r="A2704">
        <v>40</v>
      </c>
      <c r="B2704">
        <v>13</v>
      </c>
      <c r="C2704">
        <v>30000</v>
      </c>
      <c r="D2704" t="s">
        <v>71</v>
      </c>
      <c r="E2704" t="s">
        <v>74</v>
      </c>
      <c r="F2704" t="s">
        <v>79</v>
      </c>
    </row>
    <row r="2705" spans="1:6" x14ac:dyDescent="0.45">
      <c r="A2705">
        <v>0</v>
      </c>
      <c r="B2705">
        <v>13</v>
      </c>
      <c r="C2705">
        <v>30000</v>
      </c>
      <c r="D2705" t="s">
        <v>71</v>
      </c>
      <c r="E2705" t="s">
        <v>72</v>
      </c>
      <c r="F2705" t="s">
        <v>79</v>
      </c>
    </row>
    <row r="2706" spans="1:6" x14ac:dyDescent="0.45">
      <c r="A2706">
        <v>40</v>
      </c>
      <c r="B2706">
        <v>13</v>
      </c>
      <c r="C2706">
        <v>30000</v>
      </c>
      <c r="D2706" t="s">
        <v>71</v>
      </c>
      <c r="E2706" t="s">
        <v>72</v>
      </c>
      <c r="F2706" t="s">
        <v>79</v>
      </c>
    </row>
    <row r="2707" spans="1:6" x14ac:dyDescent="0.45">
      <c r="A2707">
        <v>40</v>
      </c>
      <c r="B2707">
        <v>13</v>
      </c>
      <c r="C2707">
        <v>30000</v>
      </c>
      <c r="D2707" t="s">
        <v>71</v>
      </c>
      <c r="E2707" t="s">
        <v>72</v>
      </c>
      <c r="F2707" t="s">
        <v>79</v>
      </c>
    </row>
    <row r="2708" spans="1:6" x14ac:dyDescent="0.45">
      <c r="A2708">
        <v>60</v>
      </c>
      <c r="B2708">
        <v>13</v>
      </c>
      <c r="C2708">
        <v>30000</v>
      </c>
      <c r="D2708" t="s">
        <v>75</v>
      </c>
      <c r="E2708" t="s">
        <v>74</v>
      </c>
      <c r="F2708" t="s">
        <v>79</v>
      </c>
    </row>
    <row r="2709" spans="1:6" x14ac:dyDescent="0.45">
      <c r="A2709">
        <v>40</v>
      </c>
      <c r="B2709">
        <v>13</v>
      </c>
      <c r="C2709">
        <v>30000</v>
      </c>
      <c r="D2709" t="s">
        <v>71</v>
      </c>
      <c r="E2709" t="s">
        <v>72</v>
      </c>
      <c r="F2709" t="s">
        <v>79</v>
      </c>
    </row>
    <row r="2710" spans="1:6" x14ac:dyDescent="0.45">
      <c r="A2710">
        <v>40</v>
      </c>
      <c r="B2710">
        <v>13</v>
      </c>
      <c r="C2710">
        <v>30000</v>
      </c>
      <c r="D2710" t="s">
        <v>71</v>
      </c>
      <c r="E2710" t="s">
        <v>72</v>
      </c>
      <c r="F2710" t="s">
        <v>79</v>
      </c>
    </row>
    <row r="2711" spans="1:6" x14ac:dyDescent="0.45">
      <c r="A2711">
        <v>56</v>
      </c>
      <c r="B2711">
        <v>13</v>
      </c>
      <c r="C2711">
        <v>30000</v>
      </c>
      <c r="D2711" t="s">
        <v>76</v>
      </c>
      <c r="E2711" t="s">
        <v>74</v>
      </c>
      <c r="F2711" t="s">
        <v>79</v>
      </c>
    </row>
    <row r="2712" spans="1:6" x14ac:dyDescent="0.45">
      <c r="A2712">
        <v>40</v>
      </c>
      <c r="B2712">
        <v>13</v>
      </c>
      <c r="C2712">
        <v>30000</v>
      </c>
      <c r="D2712" t="s">
        <v>71</v>
      </c>
      <c r="E2712" t="s">
        <v>72</v>
      </c>
      <c r="F2712" t="s">
        <v>79</v>
      </c>
    </row>
    <row r="2713" spans="1:6" x14ac:dyDescent="0.45">
      <c r="A2713">
        <v>40</v>
      </c>
      <c r="B2713">
        <v>13</v>
      </c>
      <c r="C2713">
        <v>30000</v>
      </c>
      <c r="D2713" t="s">
        <v>71</v>
      </c>
      <c r="E2713" t="s">
        <v>74</v>
      </c>
      <c r="F2713" t="s">
        <v>79</v>
      </c>
    </row>
    <row r="2714" spans="1:6" x14ac:dyDescent="0.45">
      <c r="A2714">
        <v>50</v>
      </c>
      <c r="B2714">
        <v>13</v>
      </c>
      <c r="C2714">
        <v>30000</v>
      </c>
      <c r="D2714" t="s">
        <v>71</v>
      </c>
      <c r="E2714" t="s">
        <v>74</v>
      </c>
      <c r="F2714" t="s">
        <v>79</v>
      </c>
    </row>
    <row r="2715" spans="1:6" x14ac:dyDescent="0.45">
      <c r="A2715">
        <v>50</v>
      </c>
      <c r="B2715">
        <v>13</v>
      </c>
      <c r="C2715">
        <v>30000</v>
      </c>
      <c r="D2715" t="s">
        <v>71</v>
      </c>
      <c r="E2715" t="s">
        <v>72</v>
      </c>
      <c r="F2715" t="s">
        <v>79</v>
      </c>
    </row>
    <row r="2716" spans="1:6" x14ac:dyDescent="0.45">
      <c r="A2716">
        <v>40</v>
      </c>
      <c r="B2716">
        <v>13</v>
      </c>
      <c r="C2716">
        <v>30000</v>
      </c>
      <c r="D2716" t="s">
        <v>76</v>
      </c>
      <c r="E2716" t="s">
        <v>72</v>
      </c>
      <c r="F2716" t="s">
        <v>79</v>
      </c>
    </row>
    <row r="2717" spans="1:6" x14ac:dyDescent="0.45">
      <c r="A2717">
        <v>40</v>
      </c>
      <c r="B2717">
        <v>13</v>
      </c>
      <c r="C2717">
        <v>30000</v>
      </c>
      <c r="D2717" t="s">
        <v>76</v>
      </c>
      <c r="E2717" t="s">
        <v>74</v>
      </c>
      <c r="F2717" t="s">
        <v>79</v>
      </c>
    </row>
    <row r="2718" spans="1:6" x14ac:dyDescent="0.45">
      <c r="A2718">
        <v>40</v>
      </c>
      <c r="B2718">
        <v>13</v>
      </c>
      <c r="C2718">
        <v>30000</v>
      </c>
      <c r="D2718" t="s">
        <v>71</v>
      </c>
      <c r="E2718" t="s">
        <v>74</v>
      </c>
      <c r="F2718" t="s">
        <v>79</v>
      </c>
    </row>
    <row r="2719" spans="1:6" x14ac:dyDescent="0.45">
      <c r="A2719">
        <v>40</v>
      </c>
      <c r="B2719">
        <v>13</v>
      </c>
      <c r="C2719">
        <v>30000</v>
      </c>
      <c r="D2719" t="s">
        <v>71</v>
      </c>
      <c r="E2719" t="s">
        <v>74</v>
      </c>
      <c r="F2719" t="s">
        <v>79</v>
      </c>
    </row>
    <row r="2720" spans="1:6" x14ac:dyDescent="0.45">
      <c r="A2720">
        <v>50</v>
      </c>
      <c r="B2720">
        <v>13</v>
      </c>
      <c r="C2720">
        <v>30000</v>
      </c>
      <c r="D2720" t="s">
        <v>71</v>
      </c>
      <c r="E2720" t="s">
        <v>74</v>
      </c>
      <c r="F2720" t="s">
        <v>79</v>
      </c>
    </row>
    <row r="2721" spans="1:6" x14ac:dyDescent="0.45">
      <c r="A2721">
        <v>40</v>
      </c>
      <c r="B2721">
        <v>13</v>
      </c>
      <c r="C2721">
        <v>30000</v>
      </c>
      <c r="D2721" t="s">
        <v>71</v>
      </c>
      <c r="E2721" t="s">
        <v>74</v>
      </c>
      <c r="F2721" t="s">
        <v>79</v>
      </c>
    </row>
    <row r="2722" spans="1:6" x14ac:dyDescent="0.45">
      <c r="A2722">
        <v>65</v>
      </c>
      <c r="B2722">
        <v>13</v>
      </c>
      <c r="C2722">
        <v>30000</v>
      </c>
      <c r="D2722" t="s">
        <v>71</v>
      </c>
      <c r="E2722" t="s">
        <v>74</v>
      </c>
      <c r="F2722" t="s">
        <v>79</v>
      </c>
    </row>
    <row r="2723" spans="1:6" x14ac:dyDescent="0.45">
      <c r="A2723">
        <v>40</v>
      </c>
      <c r="B2723">
        <v>13</v>
      </c>
      <c r="C2723">
        <v>30000</v>
      </c>
      <c r="D2723" t="s">
        <v>71</v>
      </c>
      <c r="E2723" t="s">
        <v>74</v>
      </c>
      <c r="F2723" t="s">
        <v>79</v>
      </c>
    </row>
    <row r="2724" spans="1:6" x14ac:dyDescent="0.45">
      <c r="A2724">
        <v>40</v>
      </c>
      <c r="B2724">
        <v>13</v>
      </c>
      <c r="C2724">
        <v>30000</v>
      </c>
      <c r="D2724" t="s">
        <v>71</v>
      </c>
      <c r="E2724" t="s">
        <v>74</v>
      </c>
      <c r="F2724" t="s">
        <v>79</v>
      </c>
    </row>
    <row r="2725" spans="1:6" x14ac:dyDescent="0.45">
      <c r="A2725">
        <v>50</v>
      </c>
      <c r="B2725">
        <v>13</v>
      </c>
      <c r="C2725">
        <v>30000</v>
      </c>
      <c r="D2725" t="s">
        <v>76</v>
      </c>
      <c r="E2725" t="s">
        <v>74</v>
      </c>
      <c r="F2725" t="s">
        <v>79</v>
      </c>
    </row>
    <row r="2726" spans="1:6" x14ac:dyDescent="0.45">
      <c r="A2726">
        <v>40</v>
      </c>
      <c r="B2726">
        <v>13</v>
      </c>
      <c r="C2726">
        <v>30000</v>
      </c>
      <c r="D2726" t="s">
        <v>71</v>
      </c>
      <c r="E2726" t="s">
        <v>72</v>
      </c>
      <c r="F2726" t="s">
        <v>79</v>
      </c>
    </row>
    <row r="2727" spans="1:6" x14ac:dyDescent="0.45">
      <c r="A2727">
        <v>0</v>
      </c>
      <c r="B2727">
        <v>13</v>
      </c>
      <c r="C2727">
        <v>30000</v>
      </c>
      <c r="D2727" t="s">
        <v>71</v>
      </c>
      <c r="E2727" t="s">
        <v>74</v>
      </c>
      <c r="F2727" t="s">
        <v>79</v>
      </c>
    </row>
    <row r="2728" spans="1:6" x14ac:dyDescent="0.45">
      <c r="A2728">
        <v>48</v>
      </c>
      <c r="B2728">
        <v>13</v>
      </c>
      <c r="C2728">
        <v>30000</v>
      </c>
      <c r="D2728" t="s">
        <v>71</v>
      </c>
      <c r="E2728" t="s">
        <v>72</v>
      </c>
      <c r="F2728" t="s">
        <v>79</v>
      </c>
    </row>
    <row r="2729" spans="1:6" x14ac:dyDescent="0.45">
      <c r="A2729">
        <v>0</v>
      </c>
      <c r="B2729">
        <v>13</v>
      </c>
      <c r="C2729">
        <v>30000</v>
      </c>
      <c r="D2729" t="s">
        <v>76</v>
      </c>
      <c r="E2729" t="s">
        <v>74</v>
      </c>
      <c r="F2729" t="s">
        <v>79</v>
      </c>
    </row>
    <row r="2730" spans="1:6" x14ac:dyDescent="0.45">
      <c r="A2730">
        <v>40</v>
      </c>
      <c r="B2730">
        <v>13</v>
      </c>
      <c r="C2730">
        <v>30000</v>
      </c>
      <c r="D2730" t="s">
        <v>71</v>
      </c>
      <c r="E2730" t="s">
        <v>74</v>
      </c>
      <c r="F2730" t="s">
        <v>79</v>
      </c>
    </row>
    <row r="2731" spans="1:6" x14ac:dyDescent="0.45">
      <c r="A2731">
        <v>40</v>
      </c>
      <c r="B2731">
        <v>13</v>
      </c>
      <c r="C2731">
        <v>30000</v>
      </c>
      <c r="D2731" t="s">
        <v>71</v>
      </c>
      <c r="E2731" t="s">
        <v>74</v>
      </c>
      <c r="F2731" t="s">
        <v>79</v>
      </c>
    </row>
    <row r="2732" spans="1:6" x14ac:dyDescent="0.45">
      <c r="A2732">
        <v>40</v>
      </c>
      <c r="B2732">
        <v>13</v>
      </c>
      <c r="C2732">
        <v>30000</v>
      </c>
      <c r="D2732" t="s">
        <v>71</v>
      </c>
      <c r="E2732" t="s">
        <v>74</v>
      </c>
      <c r="F2732" t="s">
        <v>79</v>
      </c>
    </row>
    <row r="2733" spans="1:6" x14ac:dyDescent="0.45">
      <c r="A2733">
        <v>50</v>
      </c>
      <c r="B2733">
        <v>13</v>
      </c>
      <c r="C2733">
        <v>30000</v>
      </c>
      <c r="D2733" t="s">
        <v>71</v>
      </c>
      <c r="E2733" t="s">
        <v>74</v>
      </c>
      <c r="F2733" t="s">
        <v>79</v>
      </c>
    </row>
    <row r="2734" spans="1:6" x14ac:dyDescent="0.45">
      <c r="A2734">
        <v>60</v>
      </c>
      <c r="B2734">
        <v>13</v>
      </c>
      <c r="C2734">
        <v>30000</v>
      </c>
      <c r="D2734" t="s">
        <v>71</v>
      </c>
      <c r="E2734" t="s">
        <v>74</v>
      </c>
      <c r="F2734" t="s">
        <v>79</v>
      </c>
    </row>
    <row r="2735" spans="1:6" x14ac:dyDescent="0.45">
      <c r="A2735">
        <v>45</v>
      </c>
      <c r="B2735">
        <v>13</v>
      </c>
      <c r="C2735">
        <v>30000</v>
      </c>
      <c r="D2735" t="s">
        <v>71</v>
      </c>
      <c r="E2735" t="s">
        <v>74</v>
      </c>
      <c r="F2735" t="s">
        <v>79</v>
      </c>
    </row>
    <row r="2736" spans="1:6" x14ac:dyDescent="0.45">
      <c r="A2736">
        <v>60</v>
      </c>
      <c r="B2736">
        <v>13</v>
      </c>
      <c r="C2736">
        <v>30000</v>
      </c>
      <c r="D2736" t="s">
        <v>71</v>
      </c>
      <c r="E2736" t="s">
        <v>74</v>
      </c>
      <c r="F2736" t="s">
        <v>79</v>
      </c>
    </row>
    <row r="2737" spans="1:6" x14ac:dyDescent="0.45">
      <c r="A2737">
        <v>48</v>
      </c>
      <c r="B2737">
        <v>13</v>
      </c>
      <c r="C2737">
        <v>30000</v>
      </c>
      <c r="D2737" t="s">
        <v>71</v>
      </c>
      <c r="E2737" t="s">
        <v>74</v>
      </c>
      <c r="F2737" t="s">
        <v>79</v>
      </c>
    </row>
    <row r="2738" spans="1:6" x14ac:dyDescent="0.45">
      <c r="A2738">
        <v>40</v>
      </c>
      <c r="B2738">
        <v>13</v>
      </c>
      <c r="C2738">
        <v>30000</v>
      </c>
      <c r="D2738" t="s">
        <v>71</v>
      </c>
      <c r="E2738" t="s">
        <v>74</v>
      </c>
      <c r="F2738" t="s">
        <v>79</v>
      </c>
    </row>
    <row r="2739" spans="1:6" x14ac:dyDescent="0.45">
      <c r="A2739">
        <v>40</v>
      </c>
      <c r="B2739">
        <v>13</v>
      </c>
      <c r="C2739">
        <v>30000</v>
      </c>
      <c r="D2739" t="s">
        <v>71</v>
      </c>
      <c r="E2739" t="s">
        <v>74</v>
      </c>
      <c r="F2739" t="s">
        <v>79</v>
      </c>
    </row>
    <row r="2740" spans="1:6" x14ac:dyDescent="0.45">
      <c r="A2740">
        <v>36</v>
      </c>
      <c r="B2740">
        <v>13</v>
      </c>
      <c r="C2740">
        <v>30000</v>
      </c>
      <c r="D2740" t="s">
        <v>71</v>
      </c>
      <c r="E2740" t="s">
        <v>74</v>
      </c>
      <c r="F2740" t="s">
        <v>79</v>
      </c>
    </row>
    <row r="2741" spans="1:6" x14ac:dyDescent="0.45">
      <c r="A2741">
        <v>40</v>
      </c>
      <c r="B2741">
        <v>13</v>
      </c>
      <c r="C2741">
        <v>30493</v>
      </c>
      <c r="D2741" t="s">
        <v>71</v>
      </c>
      <c r="E2741" t="s">
        <v>72</v>
      </c>
      <c r="F2741" t="s">
        <v>79</v>
      </c>
    </row>
    <row r="2742" spans="1:6" x14ac:dyDescent="0.45">
      <c r="A2742">
        <v>40</v>
      </c>
      <c r="B2742">
        <v>13</v>
      </c>
      <c r="C2742">
        <v>30500</v>
      </c>
      <c r="D2742" t="s">
        <v>71</v>
      </c>
      <c r="E2742" t="s">
        <v>74</v>
      </c>
      <c r="F2742" t="s">
        <v>79</v>
      </c>
    </row>
    <row r="2743" spans="1:6" x14ac:dyDescent="0.45">
      <c r="A2743">
        <v>40</v>
      </c>
      <c r="B2743">
        <v>13</v>
      </c>
      <c r="C2743">
        <v>30740</v>
      </c>
      <c r="D2743" t="s">
        <v>71</v>
      </c>
      <c r="E2743" t="s">
        <v>74</v>
      </c>
      <c r="F2743" t="s">
        <v>79</v>
      </c>
    </row>
    <row r="2744" spans="1:6" x14ac:dyDescent="0.45">
      <c r="A2744">
        <v>40</v>
      </c>
      <c r="B2744">
        <v>13</v>
      </c>
      <c r="C2744">
        <v>30748</v>
      </c>
      <c r="D2744" t="s">
        <v>71</v>
      </c>
      <c r="E2744" t="s">
        <v>74</v>
      </c>
      <c r="F2744" t="s">
        <v>79</v>
      </c>
    </row>
    <row r="2745" spans="1:6" x14ac:dyDescent="0.45">
      <c r="A2745">
        <v>50</v>
      </c>
      <c r="B2745">
        <v>13</v>
      </c>
      <c r="C2745">
        <v>30748</v>
      </c>
      <c r="D2745" t="s">
        <v>71</v>
      </c>
      <c r="E2745" t="s">
        <v>74</v>
      </c>
      <c r="F2745" t="s">
        <v>79</v>
      </c>
    </row>
    <row r="2746" spans="1:6" x14ac:dyDescent="0.45">
      <c r="A2746">
        <v>40</v>
      </c>
      <c r="B2746">
        <v>13</v>
      </c>
      <c r="C2746">
        <v>30900</v>
      </c>
      <c r="D2746" t="s">
        <v>71</v>
      </c>
      <c r="E2746" t="s">
        <v>74</v>
      </c>
      <c r="F2746" t="s">
        <v>79</v>
      </c>
    </row>
    <row r="2747" spans="1:6" x14ac:dyDescent="0.45">
      <c r="A2747">
        <v>42</v>
      </c>
      <c r="B2747">
        <v>13</v>
      </c>
      <c r="C2747">
        <v>31000</v>
      </c>
      <c r="D2747" t="s">
        <v>71</v>
      </c>
      <c r="E2747" t="s">
        <v>72</v>
      </c>
      <c r="F2747" t="s">
        <v>79</v>
      </c>
    </row>
    <row r="2748" spans="1:6" x14ac:dyDescent="0.45">
      <c r="A2748">
        <v>40</v>
      </c>
      <c r="B2748">
        <v>13</v>
      </c>
      <c r="C2748">
        <v>31000</v>
      </c>
      <c r="D2748" t="s">
        <v>71</v>
      </c>
      <c r="E2748" t="s">
        <v>74</v>
      </c>
      <c r="F2748" t="s">
        <v>79</v>
      </c>
    </row>
    <row r="2749" spans="1:6" x14ac:dyDescent="0.45">
      <c r="A2749">
        <v>40</v>
      </c>
      <c r="B2749">
        <v>13</v>
      </c>
      <c r="C2749">
        <v>31000</v>
      </c>
      <c r="D2749" t="s">
        <v>76</v>
      </c>
      <c r="E2749" t="s">
        <v>72</v>
      </c>
      <c r="F2749" t="s">
        <v>79</v>
      </c>
    </row>
    <row r="2750" spans="1:6" x14ac:dyDescent="0.45">
      <c r="A2750">
        <v>45</v>
      </c>
      <c r="B2750">
        <v>13</v>
      </c>
      <c r="C2750">
        <v>31000</v>
      </c>
      <c r="D2750" t="s">
        <v>71</v>
      </c>
      <c r="E2750" t="s">
        <v>74</v>
      </c>
      <c r="F2750" t="s">
        <v>79</v>
      </c>
    </row>
    <row r="2751" spans="1:6" x14ac:dyDescent="0.45">
      <c r="A2751">
        <v>47</v>
      </c>
      <c r="B2751">
        <v>13</v>
      </c>
      <c r="C2751">
        <v>31000</v>
      </c>
      <c r="D2751" t="s">
        <v>71</v>
      </c>
      <c r="E2751" t="s">
        <v>72</v>
      </c>
      <c r="F2751" t="s">
        <v>79</v>
      </c>
    </row>
    <row r="2752" spans="1:6" x14ac:dyDescent="0.45">
      <c r="A2752">
        <v>38</v>
      </c>
      <c r="B2752">
        <v>13</v>
      </c>
      <c r="C2752">
        <v>31000</v>
      </c>
      <c r="D2752" t="s">
        <v>71</v>
      </c>
      <c r="E2752" t="s">
        <v>74</v>
      </c>
      <c r="F2752" t="s">
        <v>79</v>
      </c>
    </row>
    <row r="2753" spans="1:6" x14ac:dyDescent="0.45">
      <c r="A2753">
        <v>45</v>
      </c>
      <c r="B2753">
        <v>13</v>
      </c>
      <c r="C2753">
        <v>31000</v>
      </c>
      <c r="D2753" t="s">
        <v>71</v>
      </c>
      <c r="E2753" t="s">
        <v>74</v>
      </c>
      <c r="F2753" t="s">
        <v>79</v>
      </c>
    </row>
    <row r="2754" spans="1:6" x14ac:dyDescent="0.45">
      <c r="A2754">
        <v>40</v>
      </c>
      <c r="B2754">
        <v>13</v>
      </c>
      <c r="C2754">
        <v>31000</v>
      </c>
      <c r="D2754" t="s">
        <v>71</v>
      </c>
      <c r="E2754" t="s">
        <v>74</v>
      </c>
      <c r="F2754" t="s">
        <v>79</v>
      </c>
    </row>
    <row r="2755" spans="1:6" x14ac:dyDescent="0.45">
      <c r="A2755">
        <v>40</v>
      </c>
      <c r="B2755">
        <v>13</v>
      </c>
      <c r="C2755">
        <v>31000</v>
      </c>
      <c r="D2755" t="s">
        <v>76</v>
      </c>
      <c r="E2755" t="s">
        <v>72</v>
      </c>
      <c r="F2755" t="s">
        <v>79</v>
      </c>
    </row>
    <row r="2756" spans="1:6" x14ac:dyDescent="0.45">
      <c r="A2756">
        <v>40</v>
      </c>
      <c r="B2756">
        <v>13</v>
      </c>
      <c r="C2756">
        <v>31000</v>
      </c>
      <c r="D2756" t="s">
        <v>71</v>
      </c>
      <c r="E2756" t="s">
        <v>72</v>
      </c>
      <c r="F2756" t="s">
        <v>79</v>
      </c>
    </row>
    <row r="2757" spans="1:6" x14ac:dyDescent="0.45">
      <c r="A2757">
        <v>37</v>
      </c>
      <c r="B2757">
        <v>13</v>
      </c>
      <c r="C2757">
        <v>31000</v>
      </c>
      <c r="D2757" t="s">
        <v>71</v>
      </c>
      <c r="E2757" t="s">
        <v>72</v>
      </c>
      <c r="F2757" t="s">
        <v>79</v>
      </c>
    </row>
    <row r="2758" spans="1:6" x14ac:dyDescent="0.45">
      <c r="A2758">
        <v>40</v>
      </c>
      <c r="B2758">
        <v>13</v>
      </c>
      <c r="C2758">
        <v>31000</v>
      </c>
      <c r="D2758" t="s">
        <v>71</v>
      </c>
      <c r="E2758" t="s">
        <v>74</v>
      </c>
      <c r="F2758" t="s">
        <v>79</v>
      </c>
    </row>
    <row r="2759" spans="1:6" x14ac:dyDescent="0.45">
      <c r="A2759">
        <v>40</v>
      </c>
      <c r="B2759">
        <v>13</v>
      </c>
      <c r="C2759">
        <v>31000</v>
      </c>
      <c r="D2759" t="s">
        <v>71</v>
      </c>
      <c r="E2759" t="s">
        <v>72</v>
      </c>
      <c r="F2759" t="s">
        <v>79</v>
      </c>
    </row>
    <row r="2760" spans="1:6" x14ac:dyDescent="0.45">
      <c r="A2760">
        <v>40</v>
      </c>
      <c r="B2760">
        <v>13</v>
      </c>
      <c r="C2760">
        <v>31000</v>
      </c>
      <c r="D2760" t="s">
        <v>71</v>
      </c>
      <c r="E2760" t="s">
        <v>72</v>
      </c>
      <c r="F2760" t="s">
        <v>79</v>
      </c>
    </row>
    <row r="2761" spans="1:6" x14ac:dyDescent="0.45">
      <c r="A2761">
        <v>40</v>
      </c>
      <c r="B2761">
        <v>13</v>
      </c>
      <c r="C2761">
        <v>31000</v>
      </c>
      <c r="D2761" t="s">
        <v>71</v>
      </c>
      <c r="E2761" t="s">
        <v>72</v>
      </c>
      <c r="F2761" t="s">
        <v>79</v>
      </c>
    </row>
    <row r="2762" spans="1:6" x14ac:dyDescent="0.45">
      <c r="A2762">
        <v>45</v>
      </c>
      <c r="B2762">
        <v>13</v>
      </c>
      <c r="C2762">
        <v>31000</v>
      </c>
      <c r="D2762" t="s">
        <v>71</v>
      </c>
      <c r="E2762" t="s">
        <v>74</v>
      </c>
      <c r="F2762" t="s">
        <v>79</v>
      </c>
    </row>
    <row r="2763" spans="1:6" x14ac:dyDescent="0.45">
      <c r="A2763">
        <v>40</v>
      </c>
      <c r="B2763">
        <v>13</v>
      </c>
      <c r="C2763">
        <v>31004</v>
      </c>
      <c r="D2763" t="s">
        <v>71</v>
      </c>
      <c r="E2763" t="s">
        <v>72</v>
      </c>
      <c r="F2763" t="s">
        <v>79</v>
      </c>
    </row>
    <row r="2764" spans="1:6" x14ac:dyDescent="0.45">
      <c r="A2764">
        <v>50</v>
      </c>
      <c r="B2764">
        <v>13</v>
      </c>
      <c r="C2764">
        <v>31009</v>
      </c>
      <c r="D2764" t="s">
        <v>71</v>
      </c>
      <c r="E2764" t="s">
        <v>72</v>
      </c>
      <c r="F2764" t="s">
        <v>79</v>
      </c>
    </row>
    <row r="2765" spans="1:6" x14ac:dyDescent="0.45">
      <c r="A2765">
        <v>40</v>
      </c>
      <c r="B2765">
        <v>13</v>
      </c>
      <c r="C2765">
        <v>31014</v>
      </c>
      <c r="D2765" t="s">
        <v>71</v>
      </c>
      <c r="E2765" t="s">
        <v>74</v>
      </c>
      <c r="F2765" t="s">
        <v>79</v>
      </c>
    </row>
    <row r="2766" spans="1:6" x14ac:dyDescent="0.45">
      <c r="A2766">
        <v>45</v>
      </c>
      <c r="B2766">
        <v>13</v>
      </c>
      <c r="C2766">
        <v>31200</v>
      </c>
      <c r="D2766" t="s">
        <v>71</v>
      </c>
      <c r="E2766" t="s">
        <v>74</v>
      </c>
      <c r="F2766" t="s">
        <v>79</v>
      </c>
    </row>
    <row r="2767" spans="1:6" x14ac:dyDescent="0.45">
      <c r="A2767">
        <v>40</v>
      </c>
      <c r="B2767">
        <v>13</v>
      </c>
      <c r="C2767">
        <v>31200</v>
      </c>
      <c r="D2767" t="s">
        <v>76</v>
      </c>
      <c r="E2767" t="s">
        <v>72</v>
      </c>
      <c r="F2767" t="s">
        <v>79</v>
      </c>
    </row>
    <row r="2768" spans="1:6" x14ac:dyDescent="0.45">
      <c r="A2768">
        <v>40</v>
      </c>
      <c r="B2768">
        <v>13</v>
      </c>
      <c r="C2768">
        <v>31200</v>
      </c>
      <c r="D2768" t="s">
        <v>76</v>
      </c>
      <c r="E2768" t="s">
        <v>72</v>
      </c>
      <c r="F2768" t="s">
        <v>79</v>
      </c>
    </row>
    <row r="2769" spans="1:6" x14ac:dyDescent="0.45">
      <c r="A2769">
        <v>70</v>
      </c>
      <c r="B2769">
        <v>13</v>
      </c>
      <c r="C2769">
        <v>31360</v>
      </c>
      <c r="D2769" t="s">
        <v>76</v>
      </c>
      <c r="E2769" t="s">
        <v>72</v>
      </c>
      <c r="F2769" t="s">
        <v>79</v>
      </c>
    </row>
    <row r="2770" spans="1:6" x14ac:dyDescent="0.45">
      <c r="A2770">
        <v>70</v>
      </c>
      <c r="B2770">
        <v>13</v>
      </c>
      <c r="C2770">
        <v>31500</v>
      </c>
      <c r="D2770" t="s">
        <v>71</v>
      </c>
      <c r="E2770" t="s">
        <v>74</v>
      </c>
      <c r="F2770" t="s">
        <v>79</v>
      </c>
    </row>
    <row r="2771" spans="1:6" x14ac:dyDescent="0.45">
      <c r="A2771">
        <v>52</v>
      </c>
      <c r="B2771">
        <v>13</v>
      </c>
      <c r="C2771">
        <v>31620</v>
      </c>
      <c r="D2771" t="s">
        <v>71</v>
      </c>
      <c r="E2771" t="s">
        <v>72</v>
      </c>
      <c r="F2771" t="s">
        <v>79</v>
      </c>
    </row>
    <row r="2772" spans="1:6" x14ac:dyDescent="0.45">
      <c r="A2772">
        <v>45</v>
      </c>
      <c r="B2772">
        <v>13</v>
      </c>
      <c r="C2772">
        <v>32000</v>
      </c>
      <c r="D2772" t="s">
        <v>71</v>
      </c>
      <c r="E2772" t="s">
        <v>74</v>
      </c>
      <c r="F2772" t="s">
        <v>79</v>
      </c>
    </row>
    <row r="2773" spans="1:6" x14ac:dyDescent="0.45">
      <c r="A2773">
        <v>40</v>
      </c>
      <c r="B2773">
        <v>13</v>
      </c>
      <c r="C2773">
        <v>32000</v>
      </c>
      <c r="D2773" t="s">
        <v>71</v>
      </c>
      <c r="E2773" t="s">
        <v>72</v>
      </c>
      <c r="F2773" t="s">
        <v>79</v>
      </c>
    </row>
    <row r="2774" spans="1:6" x14ac:dyDescent="0.45">
      <c r="A2774">
        <v>40</v>
      </c>
      <c r="B2774">
        <v>13</v>
      </c>
      <c r="C2774">
        <v>32000</v>
      </c>
      <c r="D2774" t="s">
        <v>71</v>
      </c>
      <c r="E2774" t="s">
        <v>72</v>
      </c>
      <c r="F2774" t="s">
        <v>79</v>
      </c>
    </row>
    <row r="2775" spans="1:6" x14ac:dyDescent="0.45">
      <c r="A2775">
        <v>40</v>
      </c>
      <c r="B2775">
        <v>13</v>
      </c>
      <c r="C2775">
        <v>32000</v>
      </c>
      <c r="D2775" t="s">
        <v>71</v>
      </c>
      <c r="E2775" t="s">
        <v>74</v>
      </c>
      <c r="F2775" t="s">
        <v>79</v>
      </c>
    </row>
    <row r="2776" spans="1:6" x14ac:dyDescent="0.45">
      <c r="A2776">
        <v>40</v>
      </c>
      <c r="B2776">
        <v>13</v>
      </c>
      <c r="C2776">
        <v>32000</v>
      </c>
      <c r="D2776" t="s">
        <v>71</v>
      </c>
      <c r="E2776" t="s">
        <v>74</v>
      </c>
      <c r="F2776" t="s">
        <v>79</v>
      </c>
    </row>
    <row r="2777" spans="1:6" x14ac:dyDescent="0.45">
      <c r="A2777">
        <v>38</v>
      </c>
      <c r="B2777">
        <v>13</v>
      </c>
      <c r="C2777">
        <v>32000</v>
      </c>
      <c r="D2777" t="s">
        <v>71</v>
      </c>
      <c r="E2777" t="s">
        <v>74</v>
      </c>
      <c r="F2777" t="s">
        <v>79</v>
      </c>
    </row>
    <row r="2778" spans="1:6" x14ac:dyDescent="0.45">
      <c r="A2778">
        <v>45</v>
      </c>
      <c r="B2778">
        <v>13</v>
      </c>
      <c r="C2778">
        <v>32000</v>
      </c>
      <c r="D2778" t="s">
        <v>71</v>
      </c>
      <c r="E2778" t="s">
        <v>72</v>
      </c>
      <c r="F2778" t="s">
        <v>79</v>
      </c>
    </row>
    <row r="2779" spans="1:6" x14ac:dyDescent="0.45">
      <c r="A2779">
        <v>55</v>
      </c>
      <c r="B2779">
        <v>13</v>
      </c>
      <c r="C2779">
        <v>32000</v>
      </c>
      <c r="D2779" t="s">
        <v>71</v>
      </c>
      <c r="E2779" t="s">
        <v>72</v>
      </c>
      <c r="F2779" t="s">
        <v>79</v>
      </c>
    </row>
    <row r="2780" spans="1:6" x14ac:dyDescent="0.45">
      <c r="A2780">
        <v>40</v>
      </c>
      <c r="B2780">
        <v>13</v>
      </c>
      <c r="C2780">
        <v>32000</v>
      </c>
      <c r="D2780" t="s">
        <v>71</v>
      </c>
      <c r="E2780" t="s">
        <v>74</v>
      </c>
      <c r="F2780" t="s">
        <v>79</v>
      </c>
    </row>
    <row r="2781" spans="1:6" x14ac:dyDescent="0.45">
      <c r="A2781">
        <v>40</v>
      </c>
      <c r="B2781">
        <v>13</v>
      </c>
      <c r="C2781">
        <v>32000</v>
      </c>
      <c r="D2781" t="s">
        <v>76</v>
      </c>
      <c r="E2781" t="s">
        <v>72</v>
      </c>
      <c r="F2781" t="s">
        <v>79</v>
      </c>
    </row>
    <row r="2782" spans="1:6" x14ac:dyDescent="0.45">
      <c r="A2782">
        <v>40</v>
      </c>
      <c r="B2782">
        <v>13</v>
      </c>
      <c r="C2782">
        <v>32000</v>
      </c>
      <c r="D2782" t="s">
        <v>71</v>
      </c>
      <c r="E2782" t="s">
        <v>74</v>
      </c>
      <c r="F2782" t="s">
        <v>79</v>
      </c>
    </row>
    <row r="2783" spans="1:6" x14ac:dyDescent="0.45">
      <c r="A2783">
        <v>40</v>
      </c>
      <c r="B2783">
        <v>13</v>
      </c>
      <c r="C2783">
        <v>32000</v>
      </c>
      <c r="D2783" t="s">
        <v>71</v>
      </c>
      <c r="E2783" t="s">
        <v>74</v>
      </c>
      <c r="F2783" t="s">
        <v>79</v>
      </c>
    </row>
    <row r="2784" spans="1:6" x14ac:dyDescent="0.45">
      <c r="A2784">
        <v>36</v>
      </c>
      <c r="B2784">
        <v>13</v>
      </c>
      <c r="C2784">
        <v>32000</v>
      </c>
      <c r="D2784" t="s">
        <v>76</v>
      </c>
      <c r="E2784" t="s">
        <v>72</v>
      </c>
      <c r="F2784" t="s">
        <v>79</v>
      </c>
    </row>
    <row r="2785" spans="1:6" x14ac:dyDescent="0.45">
      <c r="A2785">
        <v>40</v>
      </c>
      <c r="B2785">
        <v>13</v>
      </c>
      <c r="C2785">
        <v>32000</v>
      </c>
      <c r="D2785" t="s">
        <v>71</v>
      </c>
      <c r="E2785" t="s">
        <v>74</v>
      </c>
      <c r="F2785" t="s">
        <v>79</v>
      </c>
    </row>
    <row r="2786" spans="1:6" x14ac:dyDescent="0.45">
      <c r="A2786">
        <v>40</v>
      </c>
      <c r="B2786">
        <v>13</v>
      </c>
      <c r="C2786">
        <v>32000</v>
      </c>
      <c r="D2786" t="s">
        <v>71</v>
      </c>
      <c r="E2786" t="s">
        <v>74</v>
      </c>
      <c r="F2786" t="s">
        <v>79</v>
      </c>
    </row>
    <row r="2787" spans="1:6" x14ac:dyDescent="0.45">
      <c r="A2787">
        <v>40</v>
      </c>
      <c r="B2787">
        <v>13</v>
      </c>
      <c r="C2787">
        <v>32000</v>
      </c>
      <c r="D2787" t="s">
        <v>71</v>
      </c>
      <c r="E2787" t="s">
        <v>74</v>
      </c>
      <c r="F2787" t="s">
        <v>79</v>
      </c>
    </row>
    <row r="2788" spans="1:6" x14ac:dyDescent="0.45">
      <c r="A2788">
        <v>40</v>
      </c>
      <c r="B2788">
        <v>13</v>
      </c>
      <c r="C2788">
        <v>32000</v>
      </c>
      <c r="D2788" t="s">
        <v>71</v>
      </c>
      <c r="E2788" t="s">
        <v>72</v>
      </c>
      <c r="F2788" t="s">
        <v>79</v>
      </c>
    </row>
    <row r="2789" spans="1:6" x14ac:dyDescent="0.45">
      <c r="A2789">
        <v>39</v>
      </c>
      <c r="B2789">
        <v>13</v>
      </c>
      <c r="C2789">
        <v>32000</v>
      </c>
      <c r="D2789" t="s">
        <v>71</v>
      </c>
      <c r="E2789" t="s">
        <v>74</v>
      </c>
      <c r="F2789" t="s">
        <v>79</v>
      </c>
    </row>
    <row r="2790" spans="1:6" x14ac:dyDescent="0.45">
      <c r="A2790">
        <v>0</v>
      </c>
      <c r="B2790">
        <v>13</v>
      </c>
      <c r="C2790">
        <v>32000</v>
      </c>
      <c r="D2790" t="s">
        <v>76</v>
      </c>
      <c r="E2790" t="s">
        <v>72</v>
      </c>
      <c r="F2790" t="s">
        <v>79</v>
      </c>
    </row>
    <row r="2791" spans="1:6" x14ac:dyDescent="0.45">
      <c r="A2791">
        <v>48</v>
      </c>
      <c r="B2791">
        <v>13</v>
      </c>
      <c r="C2791">
        <v>32000</v>
      </c>
      <c r="D2791" t="s">
        <v>76</v>
      </c>
      <c r="E2791" t="s">
        <v>74</v>
      </c>
      <c r="F2791" t="s">
        <v>79</v>
      </c>
    </row>
    <row r="2792" spans="1:6" x14ac:dyDescent="0.45">
      <c r="A2792">
        <v>40</v>
      </c>
      <c r="B2792">
        <v>13</v>
      </c>
      <c r="C2792">
        <v>32000</v>
      </c>
      <c r="D2792" t="s">
        <v>76</v>
      </c>
      <c r="E2792" t="s">
        <v>72</v>
      </c>
      <c r="F2792" t="s">
        <v>79</v>
      </c>
    </row>
    <row r="2793" spans="1:6" x14ac:dyDescent="0.45">
      <c r="A2793">
        <v>40</v>
      </c>
      <c r="B2793">
        <v>13</v>
      </c>
      <c r="C2793">
        <v>32000</v>
      </c>
      <c r="D2793" t="s">
        <v>76</v>
      </c>
      <c r="E2793" t="s">
        <v>74</v>
      </c>
      <c r="F2793" t="s">
        <v>79</v>
      </c>
    </row>
    <row r="2794" spans="1:6" x14ac:dyDescent="0.45">
      <c r="A2794">
        <v>50</v>
      </c>
      <c r="B2794">
        <v>13</v>
      </c>
      <c r="C2794">
        <v>32000</v>
      </c>
      <c r="D2794" t="s">
        <v>71</v>
      </c>
      <c r="E2794" t="s">
        <v>74</v>
      </c>
      <c r="F2794" t="s">
        <v>79</v>
      </c>
    </row>
    <row r="2795" spans="1:6" x14ac:dyDescent="0.45">
      <c r="A2795">
        <v>40</v>
      </c>
      <c r="B2795">
        <v>13</v>
      </c>
      <c r="C2795">
        <v>32214</v>
      </c>
      <c r="D2795" t="s">
        <v>71</v>
      </c>
      <c r="E2795" t="s">
        <v>74</v>
      </c>
      <c r="F2795" t="s">
        <v>79</v>
      </c>
    </row>
    <row r="2796" spans="1:6" x14ac:dyDescent="0.45">
      <c r="A2796">
        <v>40</v>
      </c>
      <c r="B2796">
        <v>13</v>
      </c>
      <c r="C2796">
        <v>32286</v>
      </c>
      <c r="D2796" t="s">
        <v>71</v>
      </c>
      <c r="E2796" t="s">
        <v>74</v>
      </c>
      <c r="F2796" t="s">
        <v>79</v>
      </c>
    </row>
    <row r="2797" spans="1:6" x14ac:dyDescent="0.45">
      <c r="A2797">
        <v>40</v>
      </c>
      <c r="B2797">
        <v>13</v>
      </c>
      <c r="C2797">
        <v>32500</v>
      </c>
      <c r="D2797" t="s">
        <v>71</v>
      </c>
      <c r="E2797" t="s">
        <v>72</v>
      </c>
      <c r="F2797" t="s">
        <v>79</v>
      </c>
    </row>
    <row r="2798" spans="1:6" x14ac:dyDescent="0.45">
      <c r="A2798">
        <v>45</v>
      </c>
      <c r="B2798">
        <v>13</v>
      </c>
      <c r="C2798">
        <v>32764</v>
      </c>
      <c r="D2798" t="s">
        <v>71</v>
      </c>
      <c r="E2798" t="s">
        <v>74</v>
      </c>
      <c r="F2798" t="s">
        <v>79</v>
      </c>
    </row>
    <row r="2799" spans="1:6" x14ac:dyDescent="0.45">
      <c r="A2799">
        <v>40</v>
      </c>
      <c r="B2799">
        <v>13</v>
      </c>
      <c r="C2799">
        <v>32882</v>
      </c>
      <c r="D2799" t="s">
        <v>71</v>
      </c>
      <c r="E2799" t="s">
        <v>72</v>
      </c>
      <c r="F2799" t="s">
        <v>79</v>
      </c>
    </row>
    <row r="2800" spans="1:6" x14ac:dyDescent="0.45">
      <c r="A2800">
        <v>40</v>
      </c>
      <c r="B2800">
        <v>13</v>
      </c>
      <c r="C2800">
        <v>32895</v>
      </c>
      <c r="D2800" t="s">
        <v>76</v>
      </c>
      <c r="E2800" t="s">
        <v>72</v>
      </c>
      <c r="F2800" t="s">
        <v>79</v>
      </c>
    </row>
    <row r="2801" spans="1:6" x14ac:dyDescent="0.45">
      <c r="A2801">
        <v>38</v>
      </c>
      <c r="B2801">
        <v>13</v>
      </c>
      <c r="C2801">
        <v>33000</v>
      </c>
      <c r="D2801" t="s">
        <v>71</v>
      </c>
      <c r="E2801" t="s">
        <v>72</v>
      </c>
      <c r="F2801" t="s">
        <v>79</v>
      </c>
    </row>
    <row r="2802" spans="1:6" x14ac:dyDescent="0.45">
      <c r="A2802">
        <v>47</v>
      </c>
      <c r="B2802">
        <v>13</v>
      </c>
      <c r="C2802">
        <v>33000</v>
      </c>
      <c r="D2802" t="s">
        <v>71</v>
      </c>
      <c r="E2802" t="s">
        <v>72</v>
      </c>
      <c r="F2802" t="s">
        <v>79</v>
      </c>
    </row>
    <row r="2803" spans="1:6" x14ac:dyDescent="0.45">
      <c r="A2803">
        <v>40</v>
      </c>
      <c r="B2803">
        <v>13</v>
      </c>
      <c r="C2803">
        <v>33000</v>
      </c>
      <c r="D2803" t="s">
        <v>71</v>
      </c>
      <c r="E2803" t="s">
        <v>74</v>
      </c>
      <c r="F2803" t="s">
        <v>79</v>
      </c>
    </row>
    <row r="2804" spans="1:6" x14ac:dyDescent="0.45">
      <c r="A2804">
        <v>40</v>
      </c>
      <c r="B2804">
        <v>13</v>
      </c>
      <c r="C2804">
        <v>33000</v>
      </c>
      <c r="D2804" t="s">
        <v>71</v>
      </c>
      <c r="E2804" t="s">
        <v>72</v>
      </c>
      <c r="F2804" t="s">
        <v>79</v>
      </c>
    </row>
    <row r="2805" spans="1:6" x14ac:dyDescent="0.45">
      <c r="A2805">
        <v>40</v>
      </c>
      <c r="B2805">
        <v>13</v>
      </c>
      <c r="C2805">
        <v>33000</v>
      </c>
      <c r="D2805" t="s">
        <v>71</v>
      </c>
      <c r="E2805" t="s">
        <v>72</v>
      </c>
      <c r="F2805" t="s">
        <v>79</v>
      </c>
    </row>
    <row r="2806" spans="1:6" x14ac:dyDescent="0.45">
      <c r="A2806">
        <v>40</v>
      </c>
      <c r="B2806">
        <v>13</v>
      </c>
      <c r="C2806">
        <v>33000</v>
      </c>
      <c r="D2806" t="s">
        <v>71</v>
      </c>
      <c r="E2806" t="s">
        <v>72</v>
      </c>
      <c r="F2806" t="s">
        <v>79</v>
      </c>
    </row>
    <row r="2807" spans="1:6" x14ac:dyDescent="0.45">
      <c r="A2807">
        <v>40</v>
      </c>
      <c r="B2807">
        <v>13</v>
      </c>
      <c r="C2807">
        <v>33000</v>
      </c>
      <c r="D2807" t="s">
        <v>71</v>
      </c>
      <c r="E2807" t="s">
        <v>72</v>
      </c>
      <c r="F2807" t="s">
        <v>79</v>
      </c>
    </row>
    <row r="2808" spans="1:6" x14ac:dyDescent="0.45">
      <c r="A2808">
        <v>45</v>
      </c>
      <c r="B2808">
        <v>13</v>
      </c>
      <c r="C2808">
        <v>33000</v>
      </c>
      <c r="D2808" t="s">
        <v>71</v>
      </c>
      <c r="E2808" t="s">
        <v>72</v>
      </c>
      <c r="F2808" t="s">
        <v>79</v>
      </c>
    </row>
    <row r="2809" spans="1:6" x14ac:dyDescent="0.45">
      <c r="A2809">
        <v>40</v>
      </c>
      <c r="B2809">
        <v>13</v>
      </c>
      <c r="C2809">
        <v>33000</v>
      </c>
      <c r="D2809" t="s">
        <v>75</v>
      </c>
      <c r="E2809" t="s">
        <v>72</v>
      </c>
      <c r="F2809" t="s">
        <v>79</v>
      </c>
    </row>
    <row r="2810" spans="1:6" x14ac:dyDescent="0.45">
      <c r="A2810">
        <v>60</v>
      </c>
      <c r="B2810">
        <v>13</v>
      </c>
      <c r="C2810">
        <v>33000</v>
      </c>
      <c r="D2810" t="s">
        <v>71</v>
      </c>
      <c r="E2810" t="s">
        <v>74</v>
      </c>
      <c r="F2810" t="s">
        <v>79</v>
      </c>
    </row>
    <row r="2811" spans="1:6" x14ac:dyDescent="0.45">
      <c r="A2811">
        <v>45</v>
      </c>
      <c r="B2811">
        <v>13</v>
      </c>
      <c r="C2811">
        <v>33000</v>
      </c>
      <c r="D2811" t="s">
        <v>71</v>
      </c>
      <c r="E2811" t="s">
        <v>72</v>
      </c>
      <c r="F2811" t="s">
        <v>79</v>
      </c>
    </row>
    <row r="2812" spans="1:6" x14ac:dyDescent="0.45">
      <c r="A2812">
        <v>40</v>
      </c>
      <c r="B2812">
        <v>13</v>
      </c>
      <c r="C2812">
        <v>33000</v>
      </c>
      <c r="D2812" t="s">
        <v>71</v>
      </c>
      <c r="E2812" t="s">
        <v>74</v>
      </c>
      <c r="F2812" t="s">
        <v>79</v>
      </c>
    </row>
    <row r="2813" spans="1:6" x14ac:dyDescent="0.45">
      <c r="A2813">
        <v>40</v>
      </c>
      <c r="B2813">
        <v>13</v>
      </c>
      <c r="C2813">
        <v>33000</v>
      </c>
      <c r="D2813" t="s">
        <v>76</v>
      </c>
      <c r="E2813" t="s">
        <v>72</v>
      </c>
      <c r="F2813" t="s">
        <v>79</v>
      </c>
    </row>
    <row r="2814" spans="1:6" x14ac:dyDescent="0.45">
      <c r="A2814">
        <v>48</v>
      </c>
      <c r="B2814">
        <v>13</v>
      </c>
      <c r="C2814">
        <v>33000</v>
      </c>
      <c r="D2814" t="s">
        <v>71</v>
      </c>
      <c r="E2814" t="s">
        <v>72</v>
      </c>
      <c r="F2814" t="s">
        <v>79</v>
      </c>
    </row>
    <row r="2815" spans="1:6" x14ac:dyDescent="0.45">
      <c r="A2815">
        <v>40</v>
      </c>
      <c r="B2815">
        <v>13</v>
      </c>
      <c r="C2815">
        <v>33000</v>
      </c>
      <c r="D2815" t="s">
        <v>71</v>
      </c>
      <c r="E2815" t="s">
        <v>74</v>
      </c>
      <c r="F2815" t="s">
        <v>79</v>
      </c>
    </row>
    <row r="2816" spans="1:6" x14ac:dyDescent="0.45">
      <c r="A2816">
        <v>45</v>
      </c>
      <c r="B2816">
        <v>13</v>
      </c>
      <c r="C2816">
        <v>33000</v>
      </c>
      <c r="D2816" t="s">
        <v>71</v>
      </c>
      <c r="E2816" t="s">
        <v>72</v>
      </c>
      <c r="F2816" t="s">
        <v>79</v>
      </c>
    </row>
    <row r="2817" spans="1:6" x14ac:dyDescent="0.45">
      <c r="A2817">
        <v>40</v>
      </c>
      <c r="B2817">
        <v>13</v>
      </c>
      <c r="C2817">
        <v>33000</v>
      </c>
      <c r="D2817" t="s">
        <v>71</v>
      </c>
      <c r="E2817" t="s">
        <v>72</v>
      </c>
      <c r="F2817" t="s">
        <v>79</v>
      </c>
    </row>
    <row r="2818" spans="1:6" x14ac:dyDescent="0.45">
      <c r="A2818">
        <v>42</v>
      </c>
      <c r="B2818">
        <v>13</v>
      </c>
      <c r="C2818">
        <v>33075</v>
      </c>
      <c r="D2818" t="s">
        <v>71</v>
      </c>
      <c r="E2818" t="s">
        <v>74</v>
      </c>
      <c r="F2818" t="s">
        <v>79</v>
      </c>
    </row>
    <row r="2819" spans="1:6" x14ac:dyDescent="0.45">
      <c r="A2819">
        <v>40</v>
      </c>
      <c r="B2819">
        <v>13</v>
      </c>
      <c r="C2819">
        <v>33500</v>
      </c>
      <c r="D2819" t="s">
        <v>76</v>
      </c>
      <c r="E2819" t="s">
        <v>72</v>
      </c>
      <c r="F2819" t="s">
        <v>79</v>
      </c>
    </row>
    <row r="2820" spans="1:6" x14ac:dyDescent="0.45">
      <c r="A2820">
        <v>40</v>
      </c>
      <c r="B2820">
        <v>13</v>
      </c>
      <c r="C2820">
        <v>33600</v>
      </c>
      <c r="D2820" t="s">
        <v>71</v>
      </c>
      <c r="E2820" t="s">
        <v>74</v>
      </c>
      <c r="F2820" t="s">
        <v>79</v>
      </c>
    </row>
    <row r="2821" spans="1:6" x14ac:dyDescent="0.45">
      <c r="A2821">
        <v>40</v>
      </c>
      <c r="B2821">
        <v>13</v>
      </c>
      <c r="C2821">
        <v>33900</v>
      </c>
      <c r="D2821" t="s">
        <v>71</v>
      </c>
      <c r="E2821" t="s">
        <v>72</v>
      </c>
      <c r="F2821" t="s">
        <v>79</v>
      </c>
    </row>
    <row r="2822" spans="1:6" x14ac:dyDescent="0.45">
      <c r="A2822">
        <v>40</v>
      </c>
      <c r="B2822">
        <v>13</v>
      </c>
      <c r="C2822">
        <v>34000</v>
      </c>
      <c r="D2822" t="s">
        <v>71</v>
      </c>
      <c r="E2822" t="s">
        <v>74</v>
      </c>
      <c r="F2822" t="s">
        <v>79</v>
      </c>
    </row>
    <row r="2823" spans="1:6" x14ac:dyDescent="0.45">
      <c r="A2823">
        <v>40</v>
      </c>
      <c r="B2823">
        <v>13</v>
      </c>
      <c r="C2823">
        <v>34000</v>
      </c>
      <c r="D2823" t="s">
        <v>71</v>
      </c>
      <c r="E2823" t="s">
        <v>74</v>
      </c>
      <c r="F2823" t="s">
        <v>79</v>
      </c>
    </row>
    <row r="2824" spans="1:6" x14ac:dyDescent="0.45">
      <c r="A2824">
        <v>55</v>
      </c>
      <c r="B2824">
        <v>13</v>
      </c>
      <c r="C2824">
        <v>34000</v>
      </c>
      <c r="D2824" t="s">
        <v>71</v>
      </c>
      <c r="E2824" t="s">
        <v>72</v>
      </c>
      <c r="F2824" t="s">
        <v>79</v>
      </c>
    </row>
    <row r="2825" spans="1:6" x14ac:dyDescent="0.45">
      <c r="A2825">
        <v>50</v>
      </c>
      <c r="B2825">
        <v>13</v>
      </c>
      <c r="C2825">
        <v>34000</v>
      </c>
      <c r="D2825" t="s">
        <v>71</v>
      </c>
      <c r="E2825" t="s">
        <v>72</v>
      </c>
      <c r="F2825" t="s">
        <v>79</v>
      </c>
    </row>
    <row r="2826" spans="1:6" x14ac:dyDescent="0.45">
      <c r="A2826">
        <v>0</v>
      </c>
      <c r="B2826">
        <v>13</v>
      </c>
      <c r="C2826">
        <v>34000</v>
      </c>
      <c r="D2826" t="s">
        <v>71</v>
      </c>
      <c r="E2826" t="s">
        <v>74</v>
      </c>
      <c r="F2826" t="s">
        <v>79</v>
      </c>
    </row>
    <row r="2827" spans="1:6" x14ac:dyDescent="0.45">
      <c r="A2827">
        <v>60</v>
      </c>
      <c r="B2827">
        <v>13</v>
      </c>
      <c r="C2827">
        <v>34000</v>
      </c>
      <c r="D2827" t="s">
        <v>71</v>
      </c>
      <c r="E2827" t="s">
        <v>74</v>
      </c>
      <c r="F2827" t="s">
        <v>79</v>
      </c>
    </row>
    <row r="2828" spans="1:6" x14ac:dyDescent="0.45">
      <c r="A2828">
        <v>73</v>
      </c>
      <c r="B2828">
        <v>13</v>
      </c>
      <c r="C2828">
        <v>34000</v>
      </c>
      <c r="D2828" t="s">
        <v>71</v>
      </c>
      <c r="E2828" t="s">
        <v>74</v>
      </c>
      <c r="F2828" t="s">
        <v>79</v>
      </c>
    </row>
    <row r="2829" spans="1:6" x14ac:dyDescent="0.45">
      <c r="A2829">
        <v>58</v>
      </c>
      <c r="B2829">
        <v>13</v>
      </c>
      <c r="C2829">
        <v>34000</v>
      </c>
      <c r="D2829" t="s">
        <v>71</v>
      </c>
      <c r="E2829" t="s">
        <v>74</v>
      </c>
      <c r="F2829" t="s">
        <v>79</v>
      </c>
    </row>
    <row r="2830" spans="1:6" x14ac:dyDescent="0.45">
      <c r="A2830">
        <v>40</v>
      </c>
      <c r="B2830">
        <v>13</v>
      </c>
      <c r="C2830">
        <v>34000</v>
      </c>
      <c r="D2830" t="s">
        <v>76</v>
      </c>
      <c r="E2830" t="s">
        <v>72</v>
      </c>
      <c r="F2830" t="s">
        <v>79</v>
      </c>
    </row>
    <row r="2831" spans="1:6" x14ac:dyDescent="0.45">
      <c r="A2831">
        <v>46</v>
      </c>
      <c r="B2831">
        <v>13</v>
      </c>
      <c r="C2831">
        <v>34000</v>
      </c>
      <c r="D2831" t="s">
        <v>71</v>
      </c>
      <c r="E2831" t="s">
        <v>74</v>
      </c>
      <c r="F2831" t="s">
        <v>79</v>
      </c>
    </row>
    <row r="2832" spans="1:6" x14ac:dyDescent="0.45">
      <c r="A2832">
        <v>48</v>
      </c>
      <c r="B2832">
        <v>13</v>
      </c>
      <c r="C2832">
        <v>34000</v>
      </c>
      <c r="D2832" t="s">
        <v>71</v>
      </c>
      <c r="E2832" t="s">
        <v>74</v>
      </c>
      <c r="F2832" t="s">
        <v>79</v>
      </c>
    </row>
    <row r="2833" spans="1:6" x14ac:dyDescent="0.45">
      <c r="A2833">
        <v>40</v>
      </c>
      <c r="B2833">
        <v>13</v>
      </c>
      <c r="C2833">
        <v>34000</v>
      </c>
      <c r="D2833" t="s">
        <v>71</v>
      </c>
      <c r="E2833" t="s">
        <v>72</v>
      </c>
      <c r="F2833" t="s">
        <v>79</v>
      </c>
    </row>
    <row r="2834" spans="1:6" x14ac:dyDescent="0.45">
      <c r="A2834">
        <v>40</v>
      </c>
      <c r="B2834">
        <v>13</v>
      </c>
      <c r="C2834">
        <v>34000</v>
      </c>
      <c r="D2834" t="s">
        <v>71</v>
      </c>
      <c r="E2834" t="s">
        <v>74</v>
      </c>
      <c r="F2834" t="s">
        <v>79</v>
      </c>
    </row>
    <row r="2835" spans="1:6" x14ac:dyDescent="0.45">
      <c r="A2835">
        <v>50</v>
      </c>
      <c r="B2835">
        <v>13</v>
      </c>
      <c r="C2835">
        <v>34500</v>
      </c>
      <c r="D2835" t="s">
        <v>71</v>
      </c>
      <c r="E2835" t="s">
        <v>74</v>
      </c>
      <c r="F2835" t="s">
        <v>79</v>
      </c>
    </row>
    <row r="2836" spans="1:6" x14ac:dyDescent="0.45">
      <c r="A2836">
        <v>70</v>
      </c>
      <c r="B2836">
        <v>13</v>
      </c>
      <c r="C2836">
        <v>34500</v>
      </c>
      <c r="D2836" t="s">
        <v>76</v>
      </c>
      <c r="E2836" t="s">
        <v>72</v>
      </c>
      <c r="F2836" t="s">
        <v>79</v>
      </c>
    </row>
    <row r="2837" spans="1:6" x14ac:dyDescent="0.45">
      <c r="A2837">
        <v>90</v>
      </c>
      <c r="B2837">
        <v>13</v>
      </c>
      <c r="C2837">
        <v>34700</v>
      </c>
      <c r="D2837" t="s">
        <v>71</v>
      </c>
      <c r="E2837" t="s">
        <v>74</v>
      </c>
      <c r="F2837" t="s">
        <v>79</v>
      </c>
    </row>
    <row r="2838" spans="1:6" x14ac:dyDescent="0.45">
      <c r="A2838">
        <v>40</v>
      </c>
      <c r="B2838">
        <v>13</v>
      </c>
      <c r="C2838">
        <v>34896</v>
      </c>
      <c r="D2838" t="s">
        <v>76</v>
      </c>
      <c r="E2838" t="s">
        <v>74</v>
      </c>
      <c r="F2838" t="s">
        <v>79</v>
      </c>
    </row>
    <row r="2839" spans="1:6" x14ac:dyDescent="0.45">
      <c r="A2839">
        <v>50</v>
      </c>
      <c r="B2839">
        <v>13</v>
      </c>
      <c r="C2839">
        <v>34971</v>
      </c>
      <c r="D2839" t="s">
        <v>71</v>
      </c>
      <c r="E2839" t="s">
        <v>74</v>
      </c>
      <c r="F2839" t="s">
        <v>79</v>
      </c>
    </row>
    <row r="2840" spans="1:6" x14ac:dyDescent="0.45">
      <c r="A2840">
        <v>0</v>
      </c>
      <c r="B2840">
        <v>13</v>
      </c>
      <c r="C2840">
        <v>35000</v>
      </c>
      <c r="D2840" t="s">
        <v>71</v>
      </c>
      <c r="E2840" t="s">
        <v>74</v>
      </c>
      <c r="F2840" t="s">
        <v>79</v>
      </c>
    </row>
    <row r="2841" spans="1:6" x14ac:dyDescent="0.45">
      <c r="A2841">
        <v>40</v>
      </c>
      <c r="B2841">
        <v>13</v>
      </c>
      <c r="C2841">
        <v>35000</v>
      </c>
      <c r="D2841" t="s">
        <v>71</v>
      </c>
      <c r="E2841" t="s">
        <v>72</v>
      </c>
      <c r="F2841" t="s">
        <v>79</v>
      </c>
    </row>
    <row r="2842" spans="1:6" x14ac:dyDescent="0.45">
      <c r="A2842">
        <v>40</v>
      </c>
      <c r="B2842">
        <v>13</v>
      </c>
      <c r="C2842">
        <v>35000</v>
      </c>
      <c r="D2842" t="s">
        <v>71</v>
      </c>
      <c r="E2842" t="s">
        <v>74</v>
      </c>
      <c r="F2842" t="s">
        <v>79</v>
      </c>
    </row>
    <row r="2843" spans="1:6" x14ac:dyDescent="0.45">
      <c r="A2843">
        <v>40</v>
      </c>
      <c r="B2843">
        <v>13</v>
      </c>
      <c r="C2843">
        <v>35000</v>
      </c>
      <c r="D2843" t="s">
        <v>71</v>
      </c>
      <c r="E2843" t="s">
        <v>74</v>
      </c>
      <c r="F2843" t="s">
        <v>79</v>
      </c>
    </row>
    <row r="2844" spans="1:6" x14ac:dyDescent="0.45">
      <c r="A2844">
        <v>50</v>
      </c>
      <c r="B2844">
        <v>13</v>
      </c>
      <c r="C2844">
        <v>35000</v>
      </c>
      <c r="D2844" t="s">
        <v>71</v>
      </c>
      <c r="E2844" t="s">
        <v>74</v>
      </c>
      <c r="F2844" t="s">
        <v>79</v>
      </c>
    </row>
    <row r="2845" spans="1:6" x14ac:dyDescent="0.45">
      <c r="A2845">
        <v>40</v>
      </c>
      <c r="B2845">
        <v>13</v>
      </c>
      <c r="C2845">
        <v>35000</v>
      </c>
      <c r="D2845" t="s">
        <v>71</v>
      </c>
      <c r="E2845" t="s">
        <v>74</v>
      </c>
      <c r="F2845" t="s">
        <v>79</v>
      </c>
    </row>
    <row r="2846" spans="1:6" x14ac:dyDescent="0.45">
      <c r="A2846">
        <v>40</v>
      </c>
      <c r="B2846">
        <v>13</v>
      </c>
      <c r="C2846">
        <v>35000</v>
      </c>
      <c r="D2846" t="s">
        <v>71</v>
      </c>
      <c r="E2846" t="s">
        <v>74</v>
      </c>
      <c r="F2846" t="s">
        <v>79</v>
      </c>
    </row>
    <row r="2847" spans="1:6" x14ac:dyDescent="0.45">
      <c r="A2847">
        <v>40</v>
      </c>
      <c r="B2847">
        <v>13</v>
      </c>
      <c r="C2847">
        <v>35000</v>
      </c>
      <c r="D2847" t="s">
        <v>76</v>
      </c>
      <c r="E2847" t="s">
        <v>74</v>
      </c>
      <c r="F2847" t="s">
        <v>79</v>
      </c>
    </row>
    <row r="2848" spans="1:6" x14ac:dyDescent="0.45">
      <c r="A2848">
        <v>40</v>
      </c>
      <c r="B2848">
        <v>13</v>
      </c>
      <c r="C2848">
        <v>35000</v>
      </c>
      <c r="D2848" t="s">
        <v>71</v>
      </c>
      <c r="E2848" t="s">
        <v>74</v>
      </c>
      <c r="F2848" t="s">
        <v>79</v>
      </c>
    </row>
    <row r="2849" spans="1:6" x14ac:dyDescent="0.45">
      <c r="A2849">
        <v>40</v>
      </c>
      <c r="B2849">
        <v>13</v>
      </c>
      <c r="C2849">
        <v>35000</v>
      </c>
      <c r="D2849" t="s">
        <v>71</v>
      </c>
      <c r="E2849" t="s">
        <v>74</v>
      </c>
      <c r="F2849" t="s">
        <v>79</v>
      </c>
    </row>
    <row r="2850" spans="1:6" x14ac:dyDescent="0.45">
      <c r="A2850">
        <v>38</v>
      </c>
      <c r="B2850">
        <v>13</v>
      </c>
      <c r="C2850">
        <v>35000</v>
      </c>
      <c r="D2850" t="s">
        <v>71</v>
      </c>
      <c r="E2850" t="s">
        <v>74</v>
      </c>
      <c r="F2850" t="s">
        <v>79</v>
      </c>
    </row>
    <row r="2851" spans="1:6" x14ac:dyDescent="0.45">
      <c r="A2851">
        <v>0</v>
      </c>
      <c r="B2851">
        <v>13</v>
      </c>
      <c r="C2851">
        <v>35000</v>
      </c>
      <c r="D2851" t="s">
        <v>71</v>
      </c>
      <c r="E2851" t="s">
        <v>74</v>
      </c>
      <c r="F2851" t="s">
        <v>79</v>
      </c>
    </row>
    <row r="2852" spans="1:6" x14ac:dyDescent="0.45">
      <c r="A2852">
        <v>45</v>
      </c>
      <c r="B2852">
        <v>13</v>
      </c>
      <c r="C2852">
        <v>35000</v>
      </c>
      <c r="D2852" t="s">
        <v>71</v>
      </c>
      <c r="E2852" t="s">
        <v>72</v>
      </c>
      <c r="F2852" t="s">
        <v>79</v>
      </c>
    </row>
    <row r="2853" spans="1:6" x14ac:dyDescent="0.45">
      <c r="A2853">
        <v>0</v>
      </c>
      <c r="B2853">
        <v>13</v>
      </c>
      <c r="C2853">
        <v>35000</v>
      </c>
      <c r="D2853" t="s">
        <v>71</v>
      </c>
      <c r="E2853" t="s">
        <v>74</v>
      </c>
      <c r="F2853" t="s">
        <v>79</v>
      </c>
    </row>
    <row r="2854" spans="1:6" x14ac:dyDescent="0.45">
      <c r="A2854">
        <v>40</v>
      </c>
      <c r="B2854">
        <v>13</v>
      </c>
      <c r="C2854">
        <v>35000</v>
      </c>
      <c r="D2854" t="s">
        <v>71</v>
      </c>
      <c r="E2854" t="s">
        <v>74</v>
      </c>
      <c r="F2854" t="s">
        <v>79</v>
      </c>
    </row>
    <row r="2855" spans="1:6" x14ac:dyDescent="0.45">
      <c r="A2855">
        <v>40</v>
      </c>
      <c r="B2855">
        <v>13</v>
      </c>
      <c r="C2855">
        <v>35000</v>
      </c>
      <c r="D2855" t="s">
        <v>71</v>
      </c>
      <c r="E2855" t="s">
        <v>74</v>
      </c>
      <c r="F2855" t="s">
        <v>79</v>
      </c>
    </row>
    <row r="2856" spans="1:6" x14ac:dyDescent="0.45">
      <c r="A2856">
        <v>40</v>
      </c>
      <c r="B2856">
        <v>13</v>
      </c>
      <c r="C2856">
        <v>35000</v>
      </c>
      <c r="D2856" t="s">
        <v>71</v>
      </c>
      <c r="E2856" t="s">
        <v>74</v>
      </c>
      <c r="F2856" t="s">
        <v>79</v>
      </c>
    </row>
    <row r="2857" spans="1:6" x14ac:dyDescent="0.45">
      <c r="A2857">
        <v>40</v>
      </c>
      <c r="B2857">
        <v>13</v>
      </c>
      <c r="C2857">
        <v>35000</v>
      </c>
      <c r="D2857" t="s">
        <v>76</v>
      </c>
      <c r="E2857" t="s">
        <v>74</v>
      </c>
      <c r="F2857" t="s">
        <v>79</v>
      </c>
    </row>
    <row r="2858" spans="1:6" x14ac:dyDescent="0.45">
      <c r="A2858">
        <v>50</v>
      </c>
      <c r="B2858">
        <v>13</v>
      </c>
      <c r="C2858">
        <v>35000</v>
      </c>
      <c r="D2858" t="s">
        <v>71</v>
      </c>
      <c r="E2858" t="s">
        <v>74</v>
      </c>
      <c r="F2858" t="s">
        <v>79</v>
      </c>
    </row>
    <row r="2859" spans="1:6" x14ac:dyDescent="0.45">
      <c r="A2859">
        <v>40</v>
      </c>
      <c r="B2859">
        <v>13</v>
      </c>
      <c r="C2859">
        <v>35000</v>
      </c>
      <c r="D2859" t="s">
        <v>76</v>
      </c>
      <c r="E2859" t="s">
        <v>72</v>
      </c>
      <c r="F2859" t="s">
        <v>79</v>
      </c>
    </row>
    <row r="2860" spans="1:6" x14ac:dyDescent="0.45">
      <c r="A2860">
        <v>40</v>
      </c>
      <c r="B2860">
        <v>13</v>
      </c>
      <c r="C2860">
        <v>35000</v>
      </c>
      <c r="D2860" t="s">
        <v>76</v>
      </c>
      <c r="E2860" t="s">
        <v>72</v>
      </c>
      <c r="F2860" t="s">
        <v>79</v>
      </c>
    </row>
    <row r="2861" spans="1:6" x14ac:dyDescent="0.45">
      <c r="A2861">
        <v>40</v>
      </c>
      <c r="B2861">
        <v>13</v>
      </c>
      <c r="C2861">
        <v>35000</v>
      </c>
      <c r="D2861" t="s">
        <v>71</v>
      </c>
      <c r="E2861" t="s">
        <v>74</v>
      </c>
      <c r="F2861" t="s">
        <v>79</v>
      </c>
    </row>
    <row r="2862" spans="1:6" x14ac:dyDescent="0.45">
      <c r="A2862">
        <v>40</v>
      </c>
      <c r="B2862">
        <v>13</v>
      </c>
      <c r="C2862">
        <v>35000</v>
      </c>
      <c r="D2862" t="s">
        <v>71</v>
      </c>
      <c r="E2862" t="s">
        <v>74</v>
      </c>
      <c r="F2862" t="s">
        <v>79</v>
      </c>
    </row>
    <row r="2863" spans="1:6" x14ac:dyDescent="0.45">
      <c r="A2863">
        <v>40</v>
      </c>
      <c r="B2863">
        <v>13</v>
      </c>
      <c r="C2863">
        <v>35000</v>
      </c>
      <c r="D2863" t="s">
        <v>76</v>
      </c>
      <c r="E2863" t="s">
        <v>72</v>
      </c>
      <c r="F2863" t="s">
        <v>79</v>
      </c>
    </row>
    <row r="2864" spans="1:6" x14ac:dyDescent="0.45">
      <c r="A2864">
        <v>43</v>
      </c>
      <c r="B2864">
        <v>13</v>
      </c>
      <c r="C2864">
        <v>35000</v>
      </c>
      <c r="D2864" t="s">
        <v>71</v>
      </c>
      <c r="E2864" t="s">
        <v>72</v>
      </c>
      <c r="F2864" t="s">
        <v>79</v>
      </c>
    </row>
    <row r="2865" spans="1:6" x14ac:dyDescent="0.45">
      <c r="A2865">
        <v>44</v>
      </c>
      <c r="B2865">
        <v>13</v>
      </c>
      <c r="C2865">
        <v>35000</v>
      </c>
      <c r="D2865" t="s">
        <v>71</v>
      </c>
      <c r="E2865" t="s">
        <v>72</v>
      </c>
      <c r="F2865" t="s">
        <v>79</v>
      </c>
    </row>
    <row r="2866" spans="1:6" x14ac:dyDescent="0.45">
      <c r="A2866">
        <v>40</v>
      </c>
      <c r="B2866">
        <v>13</v>
      </c>
      <c r="C2866">
        <v>35000</v>
      </c>
      <c r="D2866" t="s">
        <v>76</v>
      </c>
      <c r="E2866" t="s">
        <v>74</v>
      </c>
      <c r="F2866" t="s">
        <v>79</v>
      </c>
    </row>
    <row r="2867" spans="1:6" x14ac:dyDescent="0.45">
      <c r="A2867">
        <v>0</v>
      </c>
      <c r="B2867">
        <v>13</v>
      </c>
      <c r="C2867">
        <v>35000</v>
      </c>
      <c r="D2867" t="s">
        <v>76</v>
      </c>
      <c r="E2867" t="s">
        <v>74</v>
      </c>
      <c r="F2867" t="s">
        <v>79</v>
      </c>
    </row>
    <row r="2868" spans="1:6" x14ac:dyDescent="0.45">
      <c r="A2868">
        <v>50</v>
      </c>
      <c r="B2868">
        <v>13</v>
      </c>
      <c r="C2868">
        <v>35000</v>
      </c>
      <c r="D2868" t="s">
        <v>71</v>
      </c>
      <c r="E2868" t="s">
        <v>74</v>
      </c>
      <c r="F2868" t="s">
        <v>79</v>
      </c>
    </row>
    <row r="2869" spans="1:6" x14ac:dyDescent="0.45">
      <c r="A2869">
        <v>60</v>
      </c>
      <c r="B2869">
        <v>13</v>
      </c>
      <c r="C2869">
        <v>35000</v>
      </c>
      <c r="D2869" t="s">
        <v>71</v>
      </c>
      <c r="E2869" t="s">
        <v>74</v>
      </c>
      <c r="F2869" t="s">
        <v>79</v>
      </c>
    </row>
    <row r="2870" spans="1:6" x14ac:dyDescent="0.45">
      <c r="A2870">
        <v>40</v>
      </c>
      <c r="B2870">
        <v>13</v>
      </c>
      <c r="C2870">
        <v>35000</v>
      </c>
      <c r="D2870" t="s">
        <v>71</v>
      </c>
      <c r="E2870" t="s">
        <v>74</v>
      </c>
      <c r="F2870" t="s">
        <v>79</v>
      </c>
    </row>
    <row r="2871" spans="1:6" x14ac:dyDescent="0.45">
      <c r="A2871">
        <v>0</v>
      </c>
      <c r="B2871">
        <v>13</v>
      </c>
      <c r="C2871">
        <v>35000</v>
      </c>
      <c r="D2871" t="s">
        <v>71</v>
      </c>
      <c r="E2871" t="s">
        <v>74</v>
      </c>
      <c r="F2871" t="s">
        <v>79</v>
      </c>
    </row>
    <row r="2872" spans="1:6" x14ac:dyDescent="0.45">
      <c r="A2872">
        <v>47</v>
      </c>
      <c r="B2872">
        <v>13</v>
      </c>
      <c r="C2872">
        <v>35000</v>
      </c>
      <c r="D2872" t="s">
        <v>71</v>
      </c>
      <c r="E2872" t="s">
        <v>72</v>
      </c>
      <c r="F2872" t="s">
        <v>79</v>
      </c>
    </row>
    <row r="2873" spans="1:6" x14ac:dyDescent="0.45">
      <c r="A2873">
        <v>44</v>
      </c>
      <c r="B2873">
        <v>13</v>
      </c>
      <c r="C2873">
        <v>35017</v>
      </c>
      <c r="D2873" t="s">
        <v>71</v>
      </c>
      <c r="E2873" t="s">
        <v>72</v>
      </c>
      <c r="F2873" t="s">
        <v>79</v>
      </c>
    </row>
    <row r="2874" spans="1:6" x14ac:dyDescent="0.45">
      <c r="A2874">
        <v>41</v>
      </c>
      <c r="B2874">
        <v>13</v>
      </c>
      <c r="C2874">
        <v>35148</v>
      </c>
      <c r="D2874" t="s">
        <v>71</v>
      </c>
      <c r="E2874" t="s">
        <v>74</v>
      </c>
      <c r="F2874" t="s">
        <v>79</v>
      </c>
    </row>
    <row r="2875" spans="1:6" x14ac:dyDescent="0.45">
      <c r="A2875">
        <v>40</v>
      </c>
      <c r="B2875">
        <v>13</v>
      </c>
      <c r="C2875">
        <v>35400</v>
      </c>
      <c r="D2875" t="s">
        <v>71</v>
      </c>
      <c r="E2875" t="s">
        <v>72</v>
      </c>
      <c r="F2875" t="s">
        <v>79</v>
      </c>
    </row>
    <row r="2876" spans="1:6" x14ac:dyDescent="0.45">
      <c r="A2876">
        <v>0</v>
      </c>
      <c r="B2876">
        <v>13</v>
      </c>
      <c r="C2876">
        <v>35400</v>
      </c>
      <c r="D2876" t="s">
        <v>71</v>
      </c>
      <c r="E2876" t="s">
        <v>74</v>
      </c>
      <c r="F2876" t="s">
        <v>79</v>
      </c>
    </row>
    <row r="2877" spans="1:6" x14ac:dyDescent="0.45">
      <c r="A2877">
        <v>40</v>
      </c>
      <c r="B2877">
        <v>13</v>
      </c>
      <c r="C2877">
        <v>35442</v>
      </c>
      <c r="D2877" t="s">
        <v>71</v>
      </c>
      <c r="E2877" t="s">
        <v>72</v>
      </c>
      <c r="F2877" t="s">
        <v>79</v>
      </c>
    </row>
    <row r="2878" spans="1:6" x14ac:dyDescent="0.45">
      <c r="A2878">
        <v>40</v>
      </c>
      <c r="B2878">
        <v>13</v>
      </c>
      <c r="C2878">
        <v>35700</v>
      </c>
      <c r="D2878" t="s">
        <v>71</v>
      </c>
      <c r="E2878" t="s">
        <v>74</v>
      </c>
      <c r="F2878" t="s">
        <v>79</v>
      </c>
    </row>
    <row r="2879" spans="1:6" x14ac:dyDescent="0.45">
      <c r="A2879">
        <v>38</v>
      </c>
      <c r="B2879">
        <v>13</v>
      </c>
      <c r="C2879">
        <v>35961</v>
      </c>
      <c r="D2879" t="s">
        <v>71</v>
      </c>
      <c r="E2879" t="s">
        <v>72</v>
      </c>
      <c r="F2879" t="s">
        <v>79</v>
      </c>
    </row>
    <row r="2880" spans="1:6" x14ac:dyDescent="0.45">
      <c r="A2880">
        <v>38</v>
      </c>
      <c r="B2880">
        <v>13</v>
      </c>
      <c r="C2880">
        <v>35999</v>
      </c>
      <c r="D2880" t="s">
        <v>71</v>
      </c>
      <c r="E2880" t="s">
        <v>72</v>
      </c>
      <c r="F2880" t="s">
        <v>79</v>
      </c>
    </row>
    <row r="2881" spans="1:6" x14ac:dyDescent="0.45">
      <c r="A2881">
        <v>40</v>
      </c>
      <c r="B2881">
        <v>13</v>
      </c>
      <c r="C2881">
        <v>36000</v>
      </c>
      <c r="D2881" t="s">
        <v>76</v>
      </c>
      <c r="E2881" t="s">
        <v>72</v>
      </c>
      <c r="F2881" t="s">
        <v>79</v>
      </c>
    </row>
    <row r="2882" spans="1:6" x14ac:dyDescent="0.45">
      <c r="A2882">
        <v>60</v>
      </c>
      <c r="B2882">
        <v>13</v>
      </c>
      <c r="C2882">
        <v>36000</v>
      </c>
      <c r="D2882" t="s">
        <v>71</v>
      </c>
      <c r="E2882" t="s">
        <v>74</v>
      </c>
      <c r="F2882" t="s">
        <v>79</v>
      </c>
    </row>
    <row r="2883" spans="1:6" x14ac:dyDescent="0.45">
      <c r="A2883">
        <v>40</v>
      </c>
      <c r="B2883">
        <v>13</v>
      </c>
      <c r="C2883">
        <v>36000</v>
      </c>
      <c r="D2883" t="s">
        <v>71</v>
      </c>
      <c r="E2883" t="s">
        <v>72</v>
      </c>
      <c r="F2883" t="s">
        <v>79</v>
      </c>
    </row>
    <row r="2884" spans="1:6" x14ac:dyDescent="0.45">
      <c r="A2884">
        <v>45</v>
      </c>
      <c r="B2884">
        <v>13</v>
      </c>
      <c r="C2884">
        <v>36000</v>
      </c>
      <c r="D2884" t="s">
        <v>71</v>
      </c>
      <c r="E2884" t="s">
        <v>74</v>
      </c>
      <c r="F2884" t="s">
        <v>79</v>
      </c>
    </row>
    <row r="2885" spans="1:6" x14ac:dyDescent="0.45">
      <c r="A2885">
        <v>40</v>
      </c>
      <c r="B2885">
        <v>13</v>
      </c>
      <c r="C2885">
        <v>36000</v>
      </c>
      <c r="D2885" t="s">
        <v>71</v>
      </c>
      <c r="E2885" t="s">
        <v>72</v>
      </c>
      <c r="F2885" t="s">
        <v>79</v>
      </c>
    </row>
    <row r="2886" spans="1:6" x14ac:dyDescent="0.45">
      <c r="A2886">
        <v>40</v>
      </c>
      <c r="B2886">
        <v>13</v>
      </c>
      <c r="C2886">
        <v>36000</v>
      </c>
      <c r="D2886" t="s">
        <v>71</v>
      </c>
      <c r="E2886" t="s">
        <v>72</v>
      </c>
      <c r="F2886" t="s">
        <v>79</v>
      </c>
    </row>
    <row r="2887" spans="1:6" x14ac:dyDescent="0.45">
      <c r="A2887">
        <v>40</v>
      </c>
      <c r="B2887">
        <v>13</v>
      </c>
      <c r="C2887">
        <v>36000</v>
      </c>
      <c r="D2887" t="s">
        <v>71</v>
      </c>
      <c r="E2887" t="s">
        <v>74</v>
      </c>
      <c r="F2887" t="s">
        <v>79</v>
      </c>
    </row>
    <row r="2888" spans="1:6" x14ac:dyDescent="0.45">
      <c r="A2888">
        <v>55</v>
      </c>
      <c r="B2888">
        <v>13</v>
      </c>
      <c r="C2888">
        <v>36000</v>
      </c>
      <c r="D2888" t="s">
        <v>71</v>
      </c>
      <c r="E2888" t="s">
        <v>74</v>
      </c>
      <c r="F2888" t="s">
        <v>79</v>
      </c>
    </row>
    <row r="2889" spans="1:6" x14ac:dyDescent="0.45">
      <c r="A2889">
        <v>40</v>
      </c>
      <c r="B2889">
        <v>13</v>
      </c>
      <c r="C2889">
        <v>36000</v>
      </c>
      <c r="D2889" t="s">
        <v>76</v>
      </c>
      <c r="E2889" t="s">
        <v>74</v>
      </c>
      <c r="F2889" t="s">
        <v>79</v>
      </c>
    </row>
    <row r="2890" spans="1:6" x14ac:dyDescent="0.45">
      <c r="A2890">
        <v>40</v>
      </c>
      <c r="B2890">
        <v>13</v>
      </c>
      <c r="C2890">
        <v>36000</v>
      </c>
      <c r="D2890" t="s">
        <v>71</v>
      </c>
      <c r="E2890" t="s">
        <v>74</v>
      </c>
      <c r="F2890" t="s">
        <v>79</v>
      </c>
    </row>
    <row r="2891" spans="1:6" x14ac:dyDescent="0.45">
      <c r="A2891">
        <v>40</v>
      </c>
      <c r="B2891">
        <v>13</v>
      </c>
      <c r="C2891">
        <v>36000</v>
      </c>
      <c r="D2891" t="s">
        <v>76</v>
      </c>
      <c r="E2891" t="s">
        <v>74</v>
      </c>
      <c r="F2891" t="s">
        <v>79</v>
      </c>
    </row>
    <row r="2892" spans="1:6" x14ac:dyDescent="0.45">
      <c r="A2892">
        <v>54</v>
      </c>
      <c r="B2892">
        <v>13</v>
      </c>
      <c r="C2892">
        <v>36000</v>
      </c>
      <c r="D2892" t="s">
        <v>71</v>
      </c>
      <c r="E2892" t="s">
        <v>74</v>
      </c>
      <c r="F2892" t="s">
        <v>79</v>
      </c>
    </row>
    <row r="2893" spans="1:6" x14ac:dyDescent="0.45">
      <c r="A2893">
        <v>38</v>
      </c>
      <c r="B2893">
        <v>13</v>
      </c>
      <c r="C2893">
        <v>36400</v>
      </c>
      <c r="D2893" t="s">
        <v>71</v>
      </c>
      <c r="E2893" t="s">
        <v>72</v>
      </c>
      <c r="F2893" t="s">
        <v>79</v>
      </c>
    </row>
    <row r="2894" spans="1:6" x14ac:dyDescent="0.45">
      <c r="A2894">
        <v>40</v>
      </c>
      <c r="B2894">
        <v>13</v>
      </c>
      <c r="C2894">
        <v>36400</v>
      </c>
      <c r="D2894" t="s">
        <v>76</v>
      </c>
      <c r="E2894" t="s">
        <v>72</v>
      </c>
      <c r="F2894" t="s">
        <v>79</v>
      </c>
    </row>
    <row r="2895" spans="1:6" x14ac:dyDescent="0.45">
      <c r="A2895">
        <v>40</v>
      </c>
      <c r="B2895">
        <v>13</v>
      </c>
      <c r="C2895">
        <v>36400</v>
      </c>
      <c r="D2895" t="s">
        <v>76</v>
      </c>
      <c r="E2895" t="s">
        <v>72</v>
      </c>
      <c r="F2895" t="s">
        <v>79</v>
      </c>
    </row>
    <row r="2896" spans="1:6" x14ac:dyDescent="0.45">
      <c r="A2896">
        <v>40</v>
      </c>
      <c r="B2896">
        <v>13</v>
      </c>
      <c r="C2896">
        <v>36400</v>
      </c>
      <c r="D2896" t="s">
        <v>76</v>
      </c>
      <c r="E2896" t="s">
        <v>72</v>
      </c>
      <c r="F2896" t="s">
        <v>79</v>
      </c>
    </row>
    <row r="2897" spans="1:6" x14ac:dyDescent="0.45">
      <c r="A2897">
        <v>48</v>
      </c>
      <c r="B2897">
        <v>13</v>
      </c>
      <c r="C2897">
        <v>36400</v>
      </c>
      <c r="D2897" t="s">
        <v>71</v>
      </c>
      <c r="E2897" t="s">
        <v>74</v>
      </c>
      <c r="F2897" t="s">
        <v>79</v>
      </c>
    </row>
    <row r="2898" spans="1:6" x14ac:dyDescent="0.45">
      <c r="A2898">
        <v>46</v>
      </c>
      <c r="B2898">
        <v>13</v>
      </c>
      <c r="C2898">
        <v>36440</v>
      </c>
      <c r="D2898" t="s">
        <v>71</v>
      </c>
      <c r="E2898" t="s">
        <v>72</v>
      </c>
      <c r="F2898" t="s">
        <v>79</v>
      </c>
    </row>
    <row r="2899" spans="1:6" x14ac:dyDescent="0.45">
      <c r="A2899">
        <v>44</v>
      </c>
      <c r="B2899">
        <v>13</v>
      </c>
      <c r="C2899">
        <v>36500</v>
      </c>
      <c r="D2899" t="s">
        <v>76</v>
      </c>
      <c r="E2899" t="s">
        <v>74</v>
      </c>
      <c r="F2899" t="s">
        <v>79</v>
      </c>
    </row>
    <row r="2900" spans="1:6" x14ac:dyDescent="0.45">
      <c r="A2900">
        <v>58</v>
      </c>
      <c r="B2900">
        <v>13</v>
      </c>
      <c r="C2900">
        <v>36500</v>
      </c>
      <c r="D2900" t="s">
        <v>71</v>
      </c>
      <c r="E2900" t="s">
        <v>72</v>
      </c>
      <c r="F2900" t="s">
        <v>79</v>
      </c>
    </row>
    <row r="2901" spans="1:6" x14ac:dyDescent="0.45">
      <c r="A2901">
        <v>45</v>
      </c>
      <c r="B2901">
        <v>13</v>
      </c>
      <c r="C2901">
        <v>36500</v>
      </c>
      <c r="D2901" t="s">
        <v>71</v>
      </c>
      <c r="E2901" t="s">
        <v>74</v>
      </c>
      <c r="F2901" t="s">
        <v>79</v>
      </c>
    </row>
    <row r="2902" spans="1:6" x14ac:dyDescent="0.45">
      <c r="A2902">
        <v>40</v>
      </c>
      <c r="B2902">
        <v>13</v>
      </c>
      <c r="C2902">
        <v>37000</v>
      </c>
      <c r="D2902" t="s">
        <v>76</v>
      </c>
      <c r="E2902" t="s">
        <v>72</v>
      </c>
      <c r="F2902" t="s">
        <v>79</v>
      </c>
    </row>
    <row r="2903" spans="1:6" x14ac:dyDescent="0.45">
      <c r="A2903">
        <v>40</v>
      </c>
      <c r="B2903">
        <v>13</v>
      </c>
      <c r="C2903">
        <v>37000</v>
      </c>
      <c r="D2903" t="s">
        <v>71</v>
      </c>
      <c r="E2903" t="s">
        <v>74</v>
      </c>
      <c r="F2903" t="s">
        <v>79</v>
      </c>
    </row>
    <row r="2904" spans="1:6" x14ac:dyDescent="0.45">
      <c r="A2904">
        <v>40</v>
      </c>
      <c r="B2904">
        <v>13</v>
      </c>
      <c r="C2904">
        <v>37000</v>
      </c>
      <c r="D2904" t="s">
        <v>71</v>
      </c>
      <c r="E2904" t="s">
        <v>74</v>
      </c>
      <c r="F2904" t="s">
        <v>79</v>
      </c>
    </row>
    <row r="2905" spans="1:6" x14ac:dyDescent="0.45">
      <c r="A2905">
        <v>45</v>
      </c>
      <c r="B2905">
        <v>13</v>
      </c>
      <c r="C2905">
        <v>37000</v>
      </c>
      <c r="D2905" t="s">
        <v>71</v>
      </c>
      <c r="E2905" t="s">
        <v>74</v>
      </c>
      <c r="F2905" t="s">
        <v>79</v>
      </c>
    </row>
    <row r="2906" spans="1:6" x14ac:dyDescent="0.45">
      <c r="A2906">
        <v>40</v>
      </c>
      <c r="B2906">
        <v>13</v>
      </c>
      <c r="C2906">
        <v>37000</v>
      </c>
      <c r="D2906" t="s">
        <v>71</v>
      </c>
      <c r="E2906" t="s">
        <v>72</v>
      </c>
      <c r="F2906" t="s">
        <v>79</v>
      </c>
    </row>
    <row r="2907" spans="1:6" x14ac:dyDescent="0.45">
      <c r="A2907">
        <v>40</v>
      </c>
      <c r="B2907">
        <v>13</v>
      </c>
      <c r="C2907">
        <v>37000</v>
      </c>
      <c r="D2907" t="s">
        <v>71</v>
      </c>
      <c r="E2907" t="s">
        <v>72</v>
      </c>
      <c r="F2907" t="s">
        <v>79</v>
      </c>
    </row>
    <row r="2908" spans="1:6" x14ac:dyDescent="0.45">
      <c r="A2908">
        <v>40</v>
      </c>
      <c r="B2908">
        <v>13</v>
      </c>
      <c r="C2908">
        <v>37000</v>
      </c>
      <c r="D2908" t="s">
        <v>71</v>
      </c>
      <c r="E2908" t="s">
        <v>74</v>
      </c>
      <c r="F2908" t="s">
        <v>79</v>
      </c>
    </row>
    <row r="2909" spans="1:6" x14ac:dyDescent="0.45">
      <c r="A2909">
        <v>60</v>
      </c>
      <c r="B2909">
        <v>13</v>
      </c>
      <c r="C2909">
        <v>37000</v>
      </c>
      <c r="D2909" t="s">
        <v>71</v>
      </c>
      <c r="E2909" t="s">
        <v>74</v>
      </c>
      <c r="F2909" t="s">
        <v>79</v>
      </c>
    </row>
    <row r="2910" spans="1:6" x14ac:dyDescent="0.45">
      <c r="A2910">
        <v>55</v>
      </c>
      <c r="B2910">
        <v>13</v>
      </c>
      <c r="C2910">
        <v>37000</v>
      </c>
      <c r="D2910" t="s">
        <v>76</v>
      </c>
      <c r="E2910" t="s">
        <v>74</v>
      </c>
      <c r="F2910" t="s">
        <v>79</v>
      </c>
    </row>
    <row r="2911" spans="1:6" x14ac:dyDescent="0.45">
      <c r="A2911">
        <v>72</v>
      </c>
      <c r="B2911">
        <v>13</v>
      </c>
      <c r="C2911">
        <v>37000</v>
      </c>
      <c r="D2911" t="s">
        <v>71</v>
      </c>
      <c r="E2911" t="s">
        <v>74</v>
      </c>
      <c r="F2911" t="s">
        <v>79</v>
      </c>
    </row>
    <row r="2912" spans="1:6" x14ac:dyDescent="0.45">
      <c r="A2912">
        <v>40</v>
      </c>
      <c r="B2912">
        <v>13</v>
      </c>
      <c r="C2912">
        <v>37440</v>
      </c>
      <c r="D2912" t="s">
        <v>71</v>
      </c>
      <c r="E2912" t="s">
        <v>74</v>
      </c>
      <c r="F2912" t="s">
        <v>79</v>
      </c>
    </row>
    <row r="2913" spans="1:6" x14ac:dyDescent="0.45">
      <c r="A2913">
        <v>40</v>
      </c>
      <c r="B2913">
        <v>13</v>
      </c>
      <c r="C2913">
        <v>37500</v>
      </c>
      <c r="D2913" t="s">
        <v>71</v>
      </c>
      <c r="E2913" t="s">
        <v>74</v>
      </c>
      <c r="F2913" t="s">
        <v>79</v>
      </c>
    </row>
    <row r="2914" spans="1:6" x14ac:dyDescent="0.45">
      <c r="A2914">
        <v>40</v>
      </c>
      <c r="B2914">
        <v>13</v>
      </c>
      <c r="C2914">
        <v>37990</v>
      </c>
      <c r="D2914" t="s">
        <v>71</v>
      </c>
      <c r="E2914" t="s">
        <v>72</v>
      </c>
      <c r="F2914" t="s">
        <v>79</v>
      </c>
    </row>
    <row r="2915" spans="1:6" x14ac:dyDescent="0.45">
      <c r="A2915">
        <v>50</v>
      </c>
      <c r="B2915">
        <v>13</v>
      </c>
      <c r="C2915">
        <v>38000</v>
      </c>
      <c r="D2915" t="s">
        <v>71</v>
      </c>
      <c r="E2915" t="s">
        <v>74</v>
      </c>
      <c r="F2915" t="s">
        <v>79</v>
      </c>
    </row>
    <row r="2916" spans="1:6" x14ac:dyDescent="0.45">
      <c r="A2916">
        <v>40</v>
      </c>
      <c r="B2916">
        <v>13</v>
      </c>
      <c r="C2916">
        <v>38000</v>
      </c>
      <c r="D2916" t="s">
        <v>71</v>
      </c>
      <c r="E2916" t="s">
        <v>72</v>
      </c>
      <c r="F2916" t="s">
        <v>79</v>
      </c>
    </row>
    <row r="2917" spans="1:6" x14ac:dyDescent="0.45">
      <c r="A2917">
        <v>40</v>
      </c>
      <c r="B2917">
        <v>13</v>
      </c>
      <c r="C2917">
        <v>38000</v>
      </c>
      <c r="D2917" t="s">
        <v>71</v>
      </c>
      <c r="E2917" t="s">
        <v>74</v>
      </c>
      <c r="F2917" t="s">
        <v>79</v>
      </c>
    </row>
    <row r="2918" spans="1:6" x14ac:dyDescent="0.45">
      <c r="A2918">
        <v>49</v>
      </c>
      <c r="B2918">
        <v>13</v>
      </c>
      <c r="C2918">
        <v>38000</v>
      </c>
      <c r="D2918" t="s">
        <v>71</v>
      </c>
      <c r="E2918" t="s">
        <v>72</v>
      </c>
      <c r="F2918" t="s">
        <v>79</v>
      </c>
    </row>
    <row r="2919" spans="1:6" x14ac:dyDescent="0.45">
      <c r="A2919">
        <v>40</v>
      </c>
      <c r="B2919">
        <v>13</v>
      </c>
      <c r="C2919">
        <v>38000</v>
      </c>
      <c r="D2919" t="s">
        <v>71</v>
      </c>
      <c r="E2919" t="s">
        <v>74</v>
      </c>
      <c r="F2919" t="s">
        <v>79</v>
      </c>
    </row>
    <row r="2920" spans="1:6" x14ac:dyDescent="0.45">
      <c r="A2920">
        <v>40</v>
      </c>
      <c r="B2920">
        <v>13</v>
      </c>
      <c r="C2920">
        <v>38000</v>
      </c>
      <c r="D2920" t="s">
        <v>71</v>
      </c>
      <c r="E2920" t="s">
        <v>72</v>
      </c>
      <c r="F2920" t="s">
        <v>79</v>
      </c>
    </row>
    <row r="2921" spans="1:6" x14ac:dyDescent="0.45">
      <c r="A2921">
        <v>40</v>
      </c>
      <c r="B2921">
        <v>13</v>
      </c>
      <c r="C2921">
        <v>38000</v>
      </c>
      <c r="D2921" t="s">
        <v>71</v>
      </c>
      <c r="E2921" t="s">
        <v>74</v>
      </c>
      <c r="F2921" t="s">
        <v>79</v>
      </c>
    </row>
    <row r="2922" spans="1:6" x14ac:dyDescent="0.45">
      <c r="A2922">
        <v>40</v>
      </c>
      <c r="B2922">
        <v>13</v>
      </c>
      <c r="C2922">
        <v>38000</v>
      </c>
      <c r="D2922" t="s">
        <v>71</v>
      </c>
      <c r="E2922" t="s">
        <v>74</v>
      </c>
      <c r="F2922" t="s">
        <v>79</v>
      </c>
    </row>
    <row r="2923" spans="1:6" x14ac:dyDescent="0.45">
      <c r="A2923">
        <v>40</v>
      </c>
      <c r="B2923">
        <v>13</v>
      </c>
      <c r="C2923">
        <v>38000</v>
      </c>
      <c r="D2923" t="s">
        <v>71</v>
      </c>
      <c r="E2923" t="s">
        <v>74</v>
      </c>
      <c r="F2923" t="s">
        <v>79</v>
      </c>
    </row>
    <row r="2924" spans="1:6" x14ac:dyDescent="0.45">
      <c r="A2924">
        <v>60</v>
      </c>
      <c r="B2924">
        <v>13</v>
      </c>
      <c r="C2924">
        <v>38000</v>
      </c>
      <c r="D2924" t="s">
        <v>76</v>
      </c>
      <c r="E2924" t="s">
        <v>74</v>
      </c>
      <c r="F2924" t="s">
        <v>79</v>
      </c>
    </row>
    <row r="2925" spans="1:6" x14ac:dyDescent="0.45">
      <c r="A2925">
        <v>38</v>
      </c>
      <c r="B2925">
        <v>13</v>
      </c>
      <c r="C2925">
        <v>38000</v>
      </c>
      <c r="D2925" t="s">
        <v>71</v>
      </c>
      <c r="E2925" t="s">
        <v>74</v>
      </c>
      <c r="F2925" t="s">
        <v>79</v>
      </c>
    </row>
    <row r="2926" spans="1:6" x14ac:dyDescent="0.45">
      <c r="A2926">
        <v>55</v>
      </c>
      <c r="B2926">
        <v>13</v>
      </c>
      <c r="C2926">
        <v>38000</v>
      </c>
      <c r="D2926" t="s">
        <v>71</v>
      </c>
      <c r="E2926" t="s">
        <v>72</v>
      </c>
      <c r="F2926" t="s">
        <v>79</v>
      </c>
    </row>
    <row r="2927" spans="1:6" x14ac:dyDescent="0.45">
      <c r="A2927">
        <v>40</v>
      </c>
      <c r="B2927">
        <v>13</v>
      </c>
      <c r="C2927">
        <v>38000</v>
      </c>
      <c r="D2927" t="s">
        <v>76</v>
      </c>
      <c r="E2927" t="s">
        <v>72</v>
      </c>
      <c r="F2927" t="s">
        <v>79</v>
      </c>
    </row>
    <row r="2928" spans="1:6" x14ac:dyDescent="0.45">
      <c r="A2928">
        <v>40</v>
      </c>
      <c r="B2928">
        <v>13</v>
      </c>
      <c r="C2928">
        <v>38000</v>
      </c>
      <c r="D2928" t="s">
        <v>71</v>
      </c>
      <c r="E2928" t="s">
        <v>74</v>
      </c>
      <c r="F2928" t="s">
        <v>79</v>
      </c>
    </row>
    <row r="2929" spans="1:6" x14ac:dyDescent="0.45">
      <c r="A2929">
        <v>0</v>
      </c>
      <c r="B2929">
        <v>13</v>
      </c>
      <c r="C2929">
        <v>38072</v>
      </c>
      <c r="D2929" t="s">
        <v>71</v>
      </c>
      <c r="E2929" t="s">
        <v>74</v>
      </c>
      <c r="F2929" t="s">
        <v>79</v>
      </c>
    </row>
    <row r="2930" spans="1:6" x14ac:dyDescent="0.45">
      <c r="A2930">
        <v>50</v>
      </c>
      <c r="B2930">
        <v>13</v>
      </c>
      <c r="C2930">
        <v>38500</v>
      </c>
      <c r="D2930" t="s">
        <v>71</v>
      </c>
      <c r="E2930" t="s">
        <v>72</v>
      </c>
      <c r="F2930" t="s">
        <v>79</v>
      </c>
    </row>
    <row r="2931" spans="1:6" x14ac:dyDescent="0.45">
      <c r="A2931">
        <v>55</v>
      </c>
      <c r="B2931">
        <v>13</v>
      </c>
      <c r="C2931">
        <v>38800</v>
      </c>
      <c r="D2931" t="s">
        <v>71</v>
      </c>
      <c r="E2931" t="s">
        <v>74</v>
      </c>
      <c r="F2931" t="s">
        <v>79</v>
      </c>
    </row>
    <row r="2932" spans="1:6" x14ac:dyDescent="0.45">
      <c r="A2932">
        <v>40</v>
      </c>
      <c r="B2932">
        <v>13</v>
      </c>
      <c r="C2932">
        <v>38900</v>
      </c>
      <c r="D2932" t="s">
        <v>71</v>
      </c>
      <c r="E2932" t="s">
        <v>74</v>
      </c>
      <c r="F2932" t="s">
        <v>79</v>
      </c>
    </row>
    <row r="2933" spans="1:6" x14ac:dyDescent="0.45">
      <c r="A2933">
        <v>45</v>
      </c>
      <c r="B2933">
        <v>13</v>
      </c>
      <c r="C2933">
        <v>38990</v>
      </c>
      <c r="D2933" t="s">
        <v>71</v>
      </c>
      <c r="E2933" t="s">
        <v>74</v>
      </c>
      <c r="F2933" t="s">
        <v>79</v>
      </c>
    </row>
    <row r="2934" spans="1:6" x14ac:dyDescent="0.45">
      <c r="A2934">
        <v>40</v>
      </c>
      <c r="B2934">
        <v>13</v>
      </c>
      <c r="C2934">
        <v>39000</v>
      </c>
      <c r="D2934" t="s">
        <v>71</v>
      </c>
      <c r="E2934" t="s">
        <v>74</v>
      </c>
      <c r="F2934" t="s">
        <v>79</v>
      </c>
    </row>
    <row r="2935" spans="1:6" x14ac:dyDescent="0.45">
      <c r="A2935">
        <v>40</v>
      </c>
      <c r="B2935">
        <v>13</v>
      </c>
      <c r="C2935">
        <v>39000</v>
      </c>
      <c r="D2935" t="s">
        <v>71</v>
      </c>
      <c r="E2935" t="s">
        <v>74</v>
      </c>
      <c r="F2935" t="s">
        <v>79</v>
      </c>
    </row>
    <row r="2936" spans="1:6" x14ac:dyDescent="0.45">
      <c r="A2936">
        <v>40</v>
      </c>
      <c r="B2936">
        <v>13</v>
      </c>
      <c r="C2936">
        <v>39000</v>
      </c>
      <c r="D2936" t="s">
        <v>71</v>
      </c>
      <c r="E2936" t="s">
        <v>74</v>
      </c>
      <c r="F2936" t="s">
        <v>79</v>
      </c>
    </row>
    <row r="2937" spans="1:6" x14ac:dyDescent="0.45">
      <c r="A2937">
        <v>55</v>
      </c>
      <c r="B2937">
        <v>13</v>
      </c>
      <c r="C2937">
        <v>39000</v>
      </c>
      <c r="D2937" t="s">
        <v>71</v>
      </c>
      <c r="E2937" t="s">
        <v>74</v>
      </c>
      <c r="F2937" t="s">
        <v>79</v>
      </c>
    </row>
    <row r="2938" spans="1:6" x14ac:dyDescent="0.45">
      <c r="A2938">
        <v>40</v>
      </c>
      <c r="B2938">
        <v>13</v>
      </c>
      <c r="C2938">
        <v>39000</v>
      </c>
      <c r="D2938" t="s">
        <v>71</v>
      </c>
      <c r="E2938" t="s">
        <v>74</v>
      </c>
      <c r="F2938" t="s">
        <v>79</v>
      </c>
    </row>
    <row r="2939" spans="1:6" x14ac:dyDescent="0.45">
      <c r="A2939">
        <v>40</v>
      </c>
      <c r="B2939">
        <v>13</v>
      </c>
      <c r="C2939">
        <v>39000</v>
      </c>
      <c r="D2939" t="s">
        <v>71</v>
      </c>
      <c r="E2939" t="s">
        <v>74</v>
      </c>
      <c r="F2939" t="s">
        <v>79</v>
      </c>
    </row>
    <row r="2940" spans="1:6" x14ac:dyDescent="0.45">
      <c r="A2940">
        <v>40</v>
      </c>
      <c r="B2940">
        <v>13</v>
      </c>
      <c r="C2940">
        <v>39000</v>
      </c>
      <c r="D2940" t="s">
        <v>71</v>
      </c>
      <c r="E2940" t="s">
        <v>74</v>
      </c>
      <c r="F2940" t="s">
        <v>79</v>
      </c>
    </row>
    <row r="2941" spans="1:6" x14ac:dyDescent="0.45">
      <c r="A2941">
        <v>40</v>
      </c>
      <c r="B2941">
        <v>13</v>
      </c>
      <c r="C2941">
        <v>39000</v>
      </c>
      <c r="D2941" t="s">
        <v>71</v>
      </c>
      <c r="E2941" t="s">
        <v>74</v>
      </c>
      <c r="F2941" t="s">
        <v>79</v>
      </c>
    </row>
    <row r="2942" spans="1:6" x14ac:dyDescent="0.45">
      <c r="A2942">
        <v>40</v>
      </c>
      <c r="B2942">
        <v>13</v>
      </c>
      <c r="C2942">
        <v>39400</v>
      </c>
      <c r="D2942" t="s">
        <v>71</v>
      </c>
      <c r="E2942" t="s">
        <v>72</v>
      </c>
      <c r="F2942" t="s">
        <v>79</v>
      </c>
    </row>
    <row r="2943" spans="1:6" x14ac:dyDescent="0.45">
      <c r="A2943">
        <v>40</v>
      </c>
      <c r="B2943">
        <v>13</v>
      </c>
      <c r="C2943">
        <v>39400</v>
      </c>
      <c r="D2943" t="s">
        <v>71</v>
      </c>
      <c r="E2943" t="s">
        <v>72</v>
      </c>
      <c r="F2943" t="s">
        <v>79</v>
      </c>
    </row>
    <row r="2944" spans="1:6" x14ac:dyDescent="0.45">
      <c r="A2944">
        <v>40</v>
      </c>
      <c r="B2944">
        <v>13</v>
      </c>
      <c r="C2944">
        <v>39500</v>
      </c>
      <c r="D2944" t="s">
        <v>71</v>
      </c>
      <c r="E2944" t="s">
        <v>72</v>
      </c>
      <c r="F2944" t="s">
        <v>79</v>
      </c>
    </row>
    <row r="2945" spans="1:6" x14ac:dyDescent="0.45">
      <c r="A2945">
        <v>36</v>
      </c>
      <c r="B2945">
        <v>13</v>
      </c>
      <c r="C2945">
        <v>39500</v>
      </c>
      <c r="D2945" t="s">
        <v>71</v>
      </c>
      <c r="E2945" t="s">
        <v>72</v>
      </c>
      <c r="F2945" t="s">
        <v>79</v>
      </c>
    </row>
    <row r="2946" spans="1:6" x14ac:dyDescent="0.45">
      <c r="A2946">
        <v>50</v>
      </c>
      <c r="B2946">
        <v>13</v>
      </c>
      <c r="C2946">
        <v>40000</v>
      </c>
      <c r="D2946" t="s">
        <v>71</v>
      </c>
      <c r="E2946" t="s">
        <v>72</v>
      </c>
      <c r="F2946" t="s">
        <v>79</v>
      </c>
    </row>
    <row r="2947" spans="1:6" x14ac:dyDescent="0.45">
      <c r="A2947">
        <v>0</v>
      </c>
      <c r="B2947">
        <v>13</v>
      </c>
      <c r="C2947">
        <v>40000</v>
      </c>
      <c r="D2947" t="s">
        <v>76</v>
      </c>
      <c r="E2947" t="s">
        <v>72</v>
      </c>
      <c r="F2947" t="s">
        <v>79</v>
      </c>
    </row>
    <row r="2948" spans="1:6" x14ac:dyDescent="0.45">
      <c r="A2948">
        <v>42</v>
      </c>
      <c r="B2948">
        <v>13</v>
      </c>
      <c r="C2948">
        <v>40000</v>
      </c>
      <c r="D2948" t="s">
        <v>71</v>
      </c>
      <c r="E2948" t="s">
        <v>74</v>
      </c>
      <c r="F2948" t="s">
        <v>79</v>
      </c>
    </row>
    <row r="2949" spans="1:6" x14ac:dyDescent="0.45">
      <c r="A2949">
        <v>40</v>
      </c>
      <c r="B2949">
        <v>13</v>
      </c>
      <c r="C2949">
        <v>40000</v>
      </c>
      <c r="D2949" t="s">
        <v>71</v>
      </c>
      <c r="E2949" t="s">
        <v>74</v>
      </c>
      <c r="F2949" t="s">
        <v>79</v>
      </c>
    </row>
    <row r="2950" spans="1:6" x14ac:dyDescent="0.45">
      <c r="A2950">
        <v>40</v>
      </c>
      <c r="B2950">
        <v>13</v>
      </c>
      <c r="C2950">
        <v>40000</v>
      </c>
      <c r="D2950" t="s">
        <v>71</v>
      </c>
      <c r="E2950" t="s">
        <v>72</v>
      </c>
      <c r="F2950" t="s">
        <v>79</v>
      </c>
    </row>
    <row r="2951" spans="1:6" x14ac:dyDescent="0.45">
      <c r="A2951">
        <v>36</v>
      </c>
      <c r="B2951">
        <v>13</v>
      </c>
      <c r="C2951">
        <v>40000</v>
      </c>
      <c r="D2951" t="s">
        <v>71</v>
      </c>
      <c r="E2951" t="s">
        <v>72</v>
      </c>
      <c r="F2951" t="s">
        <v>79</v>
      </c>
    </row>
    <row r="2952" spans="1:6" x14ac:dyDescent="0.45">
      <c r="A2952">
        <v>40</v>
      </c>
      <c r="B2952">
        <v>13</v>
      </c>
      <c r="C2952">
        <v>40000</v>
      </c>
      <c r="D2952" t="s">
        <v>71</v>
      </c>
      <c r="E2952" t="s">
        <v>74</v>
      </c>
      <c r="F2952" t="s">
        <v>79</v>
      </c>
    </row>
    <row r="2953" spans="1:6" x14ac:dyDescent="0.45">
      <c r="A2953">
        <v>40</v>
      </c>
      <c r="B2953">
        <v>13</v>
      </c>
      <c r="C2953">
        <v>40000</v>
      </c>
      <c r="D2953" t="s">
        <v>71</v>
      </c>
      <c r="E2953" t="s">
        <v>74</v>
      </c>
      <c r="F2953" t="s">
        <v>79</v>
      </c>
    </row>
    <row r="2954" spans="1:6" x14ac:dyDescent="0.45">
      <c r="A2954">
        <v>45</v>
      </c>
      <c r="B2954">
        <v>13</v>
      </c>
      <c r="C2954">
        <v>40000</v>
      </c>
      <c r="D2954" t="s">
        <v>71</v>
      </c>
      <c r="E2954" t="s">
        <v>74</v>
      </c>
      <c r="F2954" t="s">
        <v>79</v>
      </c>
    </row>
    <row r="2955" spans="1:6" x14ac:dyDescent="0.45">
      <c r="A2955">
        <v>40</v>
      </c>
      <c r="B2955">
        <v>13</v>
      </c>
      <c r="C2955">
        <v>40000</v>
      </c>
      <c r="D2955" t="s">
        <v>76</v>
      </c>
      <c r="E2955" t="s">
        <v>74</v>
      </c>
      <c r="F2955" t="s">
        <v>79</v>
      </c>
    </row>
    <row r="2956" spans="1:6" x14ac:dyDescent="0.45">
      <c r="A2956">
        <v>35</v>
      </c>
      <c r="B2956">
        <v>13</v>
      </c>
      <c r="C2956">
        <v>40000</v>
      </c>
      <c r="D2956" t="s">
        <v>71</v>
      </c>
      <c r="E2956" t="s">
        <v>74</v>
      </c>
      <c r="F2956" t="s">
        <v>79</v>
      </c>
    </row>
    <row r="2957" spans="1:6" x14ac:dyDescent="0.45">
      <c r="A2957">
        <v>40</v>
      </c>
      <c r="B2957">
        <v>13</v>
      </c>
      <c r="C2957">
        <v>40000</v>
      </c>
      <c r="D2957" t="s">
        <v>71</v>
      </c>
      <c r="E2957" t="s">
        <v>74</v>
      </c>
      <c r="F2957" t="s">
        <v>79</v>
      </c>
    </row>
    <row r="2958" spans="1:6" x14ac:dyDescent="0.45">
      <c r="A2958">
        <v>0</v>
      </c>
      <c r="B2958">
        <v>13</v>
      </c>
      <c r="C2958">
        <v>40000</v>
      </c>
      <c r="D2958" t="s">
        <v>71</v>
      </c>
      <c r="E2958" t="s">
        <v>74</v>
      </c>
      <c r="F2958" t="s">
        <v>79</v>
      </c>
    </row>
    <row r="2959" spans="1:6" x14ac:dyDescent="0.45">
      <c r="A2959">
        <v>50</v>
      </c>
      <c r="B2959">
        <v>13</v>
      </c>
      <c r="C2959">
        <v>40000</v>
      </c>
      <c r="D2959" t="s">
        <v>71</v>
      </c>
      <c r="E2959" t="s">
        <v>74</v>
      </c>
      <c r="F2959" t="s">
        <v>79</v>
      </c>
    </row>
    <row r="2960" spans="1:6" x14ac:dyDescent="0.45">
      <c r="A2960">
        <v>40</v>
      </c>
      <c r="B2960">
        <v>13</v>
      </c>
      <c r="C2960">
        <v>40000</v>
      </c>
      <c r="D2960" t="s">
        <v>71</v>
      </c>
      <c r="E2960" t="s">
        <v>74</v>
      </c>
      <c r="F2960" t="s">
        <v>79</v>
      </c>
    </row>
    <row r="2961" spans="1:6" x14ac:dyDescent="0.45">
      <c r="A2961">
        <v>35</v>
      </c>
      <c r="B2961">
        <v>13</v>
      </c>
      <c r="C2961">
        <v>40000</v>
      </c>
      <c r="D2961" t="s">
        <v>71</v>
      </c>
      <c r="E2961" t="s">
        <v>72</v>
      </c>
      <c r="F2961" t="s">
        <v>79</v>
      </c>
    </row>
    <row r="2962" spans="1:6" x14ac:dyDescent="0.45">
      <c r="A2962">
        <v>40</v>
      </c>
      <c r="B2962">
        <v>13</v>
      </c>
      <c r="C2962">
        <v>40000</v>
      </c>
      <c r="D2962" t="s">
        <v>71</v>
      </c>
      <c r="E2962" t="s">
        <v>74</v>
      </c>
      <c r="F2962" t="s">
        <v>79</v>
      </c>
    </row>
    <row r="2963" spans="1:6" x14ac:dyDescent="0.45">
      <c r="A2963">
        <v>40</v>
      </c>
      <c r="B2963">
        <v>13</v>
      </c>
      <c r="C2963">
        <v>40000</v>
      </c>
      <c r="D2963" t="s">
        <v>71</v>
      </c>
      <c r="E2963" t="s">
        <v>72</v>
      </c>
      <c r="F2963" t="s">
        <v>79</v>
      </c>
    </row>
    <row r="2964" spans="1:6" x14ac:dyDescent="0.45">
      <c r="A2964">
        <v>50</v>
      </c>
      <c r="B2964">
        <v>13</v>
      </c>
      <c r="C2964">
        <v>40000</v>
      </c>
      <c r="D2964" t="s">
        <v>71</v>
      </c>
      <c r="E2964" t="s">
        <v>74</v>
      </c>
      <c r="F2964" t="s">
        <v>79</v>
      </c>
    </row>
    <row r="2965" spans="1:6" x14ac:dyDescent="0.45">
      <c r="A2965">
        <v>45</v>
      </c>
      <c r="B2965">
        <v>13</v>
      </c>
      <c r="C2965">
        <v>40000</v>
      </c>
      <c r="D2965" t="s">
        <v>71</v>
      </c>
      <c r="E2965" t="s">
        <v>74</v>
      </c>
      <c r="F2965" t="s">
        <v>79</v>
      </c>
    </row>
    <row r="2966" spans="1:6" x14ac:dyDescent="0.45">
      <c r="A2966">
        <v>50</v>
      </c>
      <c r="B2966">
        <v>13</v>
      </c>
      <c r="C2966">
        <v>40000</v>
      </c>
      <c r="D2966" t="s">
        <v>71</v>
      </c>
      <c r="E2966" t="s">
        <v>74</v>
      </c>
      <c r="F2966" t="s">
        <v>79</v>
      </c>
    </row>
    <row r="2967" spans="1:6" x14ac:dyDescent="0.45">
      <c r="A2967">
        <v>65</v>
      </c>
      <c r="B2967">
        <v>13</v>
      </c>
      <c r="C2967">
        <v>40000</v>
      </c>
      <c r="D2967" t="s">
        <v>71</v>
      </c>
      <c r="E2967" t="s">
        <v>74</v>
      </c>
      <c r="F2967" t="s">
        <v>79</v>
      </c>
    </row>
    <row r="2968" spans="1:6" x14ac:dyDescent="0.45">
      <c r="A2968">
        <v>40</v>
      </c>
      <c r="B2968">
        <v>13</v>
      </c>
      <c r="C2968">
        <v>40000</v>
      </c>
      <c r="D2968" t="s">
        <v>71</v>
      </c>
      <c r="E2968" t="s">
        <v>74</v>
      </c>
      <c r="F2968" t="s">
        <v>79</v>
      </c>
    </row>
    <row r="2969" spans="1:6" x14ac:dyDescent="0.45">
      <c r="A2969">
        <v>40</v>
      </c>
      <c r="B2969">
        <v>13</v>
      </c>
      <c r="C2969">
        <v>40000</v>
      </c>
      <c r="D2969" t="s">
        <v>71</v>
      </c>
      <c r="E2969" t="s">
        <v>72</v>
      </c>
      <c r="F2969" t="s">
        <v>79</v>
      </c>
    </row>
    <row r="2970" spans="1:6" x14ac:dyDescent="0.45">
      <c r="A2970">
        <v>40</v>
      </c>
      <c r="B2970">
        <v>13</v>
      </c>
      <c r="C2970">
        <v>40000</v>
      </c>
      <c r="D2970" t="s">
        <v>71</v>
      </c>
      <c r="E2970" t="s">
        <v>74</v>
      </c>
      <c r="F2970" t="s">
        <v>79</v>
      </c>
    </row>
    <row r="2971" spans="1:6" x14ac:dyDescent="0.45">
      <c r="A2971">
        <v>40</v>
      </c>
      <c r="B2971">
        <v>13</v>
      </c>
      <c r="C2971">
        <v>40000</v>
      </c>
      <c r="D2971" t="s">
        <v>75</v>
      </c>
      <c r="E2971" t="s">
        <v>72</v>
      </c>
      <c r="F2971" t="s">
        <v>79</v>
      </c>
    </row>
    <row r="2972" spans="1:6" x14ac:dyDescent="0.45">
      <c r="A2972">
        <v>43</v>
      </c>
      <c r="B2972">
        <v>13</v>
      </c>
      <c r="C2972">
        <v>40000</v>
      </c>
      <c r="D2972" t="s">
        <v>71</v>
      </c>
      <c r="E2972" t="s">
        <v>74</v>
      </c>
      <c r="F2972" t="s">
        <v>79</v>
      </c>
    </row>
    <row r="2973" spans="1:6" x14ac:dyDescent="0.45">
      <c r="A2973">
        <v>45</v>
      </c>
      <c r="B2973">
        <v>13</v>
      </c>
      <c r="C2973">
        <v>40000</v>
      </c>
      <c r="D2973" t="s">
        <v>71</v>
      </c>
      <c r="E2973" t="s">
        <v>74</v>
      </c>
      <c r="F2973" t="s">
        <v>79</v>
      </c>
    </row>
    <row r="2974" spans="1:6" x14ac:dyDescent="0.45">
      <c r="A2974">
        <v>50</v>
      </c>
      <c r="B2974">
        <v>13</v>
      </c>
      <c r="C2974">
        <v>40000</v>
      </c>
      <c r="D2974" t="s">
        <v>71</v>
      </c>
      <c r="E2974" t="s">
        <v>72</v>
      </c>
      <c r="F2974" t="s">
        <v>79</v>
      </c>
    </row>
    <row r="2975" spans="1:6" x14ac:dyDescent="0.45">
      <c r="A2975">
        <v>40</v>
      </c>
      <c r="B2975">
        <v>13</v>
      </c>
      <c r="C2975">
        <v>40000</v>
      </c>
      <c r="D2975" t="s">
        <v>71</v>
      </c>
      <c r="E2975" t="s">
        <v>74</v>
      </c>
      <c r="F2975" t="s">
        <v>79</v>
      </c>
    </row>
    <row r="2976" spans="1:6" x14ac:dyDescent="0.45">
      <c r="A2976">
        <v>60</v>
      </c>
      <c r="B2976">
        <v>13</v>
      </c>
      <c r="C2976">
        <v>40000</v>
      </c>
      <c r="D2976" t="s">
        <v>71</v>
      </c>
      <c r="E2976" t="s">
        <v>74</v>
      </c>
      <c r="F2976" t="s">
        <v>79</v>
      </c>
    </row>
    <row r="2977" spans="1:6" x14ac:dyDescent="0.45">
      <c r="A2977">
        <v>40</v>
      </c>
      <c r="B2977">
        <v>13</v>
      </c>
      <c r="C2977">
        <v>40000</v>
      </c>
      <c r="D2977" t="s">
        <v>76</v>
      </c>
      <c r="E2977" t="s">
        <v>72</v>
      </c>
      <c r="F2977" t="s">
        <v>79</v>
      </c>
    </row>
    <row r="2978" spans="1:6" x14ac:dyDescent="0.45">
      <c r="A2978">
        <v>43</v>
      </c>
      <c r="B2978">
        <v>13</v>
      </c>
      <c r="C2978">
        <v>40000</v>
      </c>
      <c r="D2978" t="s">
        <v>71</v>
      </c>
      <c r="E2978" t="s">
        <v>72</v>
      </c>
      <c r="F2978" t="s">
        <v>79</v>
      </c>
    </row>
    <row r="2979" spans="1:6" x14ac:dyDescent="0.45">
      <c r="A2979">
        <v>60</v>
      </c>
      <c r="B2979">
        <v>13</v>
      </c>
      <c r="C2979">
        <v>40000</v>
      </c>
      <c r="D2979" t="s">
        <v>71</v>
      </c>
      <c r="E2979" t="s">
        <v>74</v>
      </c>
      <c r="F2979" t="s">
        <v>79</v>
      </c>
    </row>
    <row r="2980" spans="1:6" x14ac:dyDescent="0.45">
      <c r="A2980">
        <v>40</v>
      </c>
      <c r="B2980">
        <v>13</v>
      </c>
      <c r="C2980">
        <v>40000</v>
      </c>
      <c r="D2980" t="s">
        <v>76</v>
      </c>
      <c r="E2980" t="s">
        <v>74</v>
      </c>
      <c r="F2980" t="s">
        <v>79</v>
      </c>
    </row>
    <row r="2981" spans="1:6" x14ac:dyDescent="0.45">
      <c r="A2981">
        <v>37</v>
      </c>
      <c r="B2981">
        <v>13</v>
      </c>
      <c r="C2981">
        <v>40000</v>
      </c>
      <c r="D2981" t="s">
        <v>71</v>
      </c>
      <c r="E2981" t="s">
        <v>72</v>
      </c>
      <c r="F2981" t="s">
        <v>79</v>
      </c>
    </row>
    <row r="2982" spans="1:6" x14ac:dyDescent="0.45">
      <c r="A2982">
        <v>60</v>
      </c>
      <c r="B2982">
        <v>13</v>
      </c>
      <c r="C2982">
        <v>40000</v>
      </c>
      <c r="D2982" t="s">
        <v>71</v>
      </c>
      <c r="E2982" t="s">
        <v>74</v>
      </c>
      <c r="F2982" t="s">
        <v>79</v>
      </c>
    </row>
    <row r="2983" spans="1:6" x14ac:dyDescent="0.45">
      <c r="A2983">
        <v>40</v>
      </c>
      <c r="B2983">
        <v>13</v>
      </c>
      <c r="C2983">
        <v>40000</v>
      </c>
      <c r="D2983" t="s">
        <v>71</v>
      </c>
      <c r="E2983" t="s">
        <v>72</v>
      </c>
      <c r="F2983" t="s">
        <v>79</v>
      </c>
    </row>
    <row r="2984" spans="1:6" x14ac:dyDescent="0.45">
      <c r="A2984">
        <v>0</v>
      </c>
      <c r="B2984">
        <v>13</v>
      </c>
      <c r="C2984">
        <v>40000</v>
      </c>
      <c r="D2984" t="s">
        <v>71</v>
      </c>
      <c r="E2984" t="s">
        <v>74</v>
      </c>
      <c r="F2984" t="s">
        <v>79</v>
      </c>
    </row>
    <row r="2985" spans="1:6" x14ac:dyDescent="0.45">
      <c r="A2985">
        <v>45</v>
      </c>
      <c r="B2985">
        <v>13</v>
      </c>
      <c r="C2985">
        <v>40000</v>
      </c>
      <c r="D2985" t="s">
        <v>71</v>
      </c>
      <c r="E2985" t="s">
        <v>74</v>
      </c>
      <c r="F2985" t="s">
        <v>79</v>
      </c>
    </row>
    <row r="2986" spans="1:6" x14ac:dyDescent="0.45">
      <c r="A2986">
        <v>40</v>
      </c>
      <c r="B2986">
        <v>13</v>
      </c>
      <c r="C2986">
        <v>40000</v>
      </c>
      <c r="D2986" t="s">
        <v>71</v>
      </c>
      <c r="E2986" t="s">
        <v>72</v>
      </c>
      <c r="F2986" t="s">
        <v>79</v>
      </c>
    </row>
    <row r="2987" spans="1:6" x14ac:dyDescent="0.45">
      <c r="A2987">
        <v>40</v>
      </c>
      <c r="B2987">
        <v>13</v>
      </c>
      <c r="C2987">
        <v>40000</v>
      </c>
      <c r="D2987" t="s">
        <v>71</v>
      </c>
      <c r="E2987" t="s">
        <v>74</v>
      </c>
      <c r="F2987" t="s">
        <v>79</v>
      </c>
    </row>
    <row r="2988" spans="1:6" x14ac:dyDescent="0.45">
      <c r="A2988">
        <v>50</v>
      </c>
      <c r="B2988">
        <v>13</v>
      </c>
      <c r="C2988">
        <v>40000</v>
      </c>
      <c r="D2988" t="s">
        <v>76</v>
      </c>
      <c r="E2988" t="s">
        <v>72</v>
      </c>
      <c r="F2988" t="s">
        <v>79</v>
      </c>
    </row>
    <row r="2989" spans="1:6" x14ac:dyDescent="0.45">
      <c r="A2989">
        <v>40</v>
      </c>
      <c r="B2989">
        <v>13</v>
      </c>
      <c r="C2989">
        <v>40000</v>
      </c>
      <c r="D2989" t="s">
        <v>76</v>
      </c>
      <c r="E2989" t="s">
        <v>72</v>
      </c>
      <c r="F2989" t="s">
        <v>79</v>
      </c>
    </row>
    <row r="2990" spans="1:6" x14ac:dyDescent="0.45">
      <c r="A2990">
        <v>40</v>
      </c>
      <c r="B2990">
        <v>13</v>
      </c>
      <c r="C2990">
        <v>40000</v>
      </c>
      <c r="D2990" t="s">
        <v>71</v>
      </c>
      <c r="E2990" t="s">
        <v>74</v>
      </c>
      <c r="F2990" t="s">
        <v>79</v>
      </c>
    </row>
    <row r="2991" spans="1:6" x14ac:dyDescent="0.45">
      <c r="A2991">
        <v>40</v>
      </c>
      <c r="B2991">
        <v>13</v>
      </c>
      <c r="C2991">
        <v>40000</v>
      </c>
      <c r="D2991" t="s">
        <v>71</v>
      </c>
      <c r="E2991" t="s">
        <v>74</v>
      </c>
      <c r="F2991" t="s">
        <v>79</v>
      </c>
    </row>
    <row r="2992" spans="1:6" x14ac:dyDescent="0.45">
      <c r="A2992">
        <v>75</v>
      </c>
      <c r="B2992">
        <v>13</v>
      </c>
      <c r="C2992">
        <v>40000</v>
      </c>
      <c r="D2992" t="s">
        <v>71</v>
      </c>
      <c r="E2992" t="s">
        <v>74</v>
      </c>
      <c r="F2992" t="s">
        <v>79</v>
      </c>
    </row>
    <row r="2993" spans="1:6" x14ac:dyDescent="0.45">
      <c r="A2993">
        <v>40</v>
      </c>
      <c r="B2993">
        <v>13</v>
      </c>
      <c r="C2993">
        <v>40000</v>
      </c>
      <c r="D2993" t="s">
        <v>71</v>
      </c>
      <c r="E2993" t="s">
        <v>74</v>
      </c>
      <c r="F2993" t="s">
        <v>79</v>
      </c>
    </row>
    <row r="2994" spans="1:6" x14ac:dyDescent="0.45">
      <c r="A2994">
        <v>40</v>
      </c>
      <c r="B2994">
        <v>13</v>
      </c>
      <c r="C2994">
        <v>40000</v>
      </c>
      <c r="D2994" t="s">
        <v>76</v>
      </c>
      <c r="E2994" t="s">
        <v>72</v>
      </c>
      <c r="F2994" t="s">
        <v>79</v>
      </c>
    </row>
    <row r="2995" spans="1:6" x14ac:dyDescent="0.45">
      <c r="A2995">
        <v>50</v>
      </c>
      <c r="B2995">
        <v>13</v>
      </c>
      <c r="C2995">
        <v>40000</v>
      </c>
      <c r="D2995" t="s">
        <v>71</v>
      </c>
      <c r="E2995" t="s">
        <v>72</v>
      </c>
      <c r="F2995" t="s">
        <v>79</v>
      </c>
    </row>
    <row r="2996" spans="1:6" x14ac:dyDescent="0.45">
      <c r="A2996">
        <v>40</v>
      </c>
      <c r="B2996">
        <v>13</v>
      </c>
      <c r="C2996">
        <v>40000</v>
      </c>
      <c r="D2996" t="s">
        <v>71</v>
      </c>
      <c r="E2996" t="s">
        <v>74</v>
      </c>
      <c r="F2996" t="s">
        <v>79</v>
      </c>
    </row>
    <row r="2997" spans="1:6" x14ac:dyDescent="0.45">
      <c r="A2997">
        <v>40</v>
      </c>
      <c r="B2997">
        <v>13</v>
      </c>
      <c r="C2997">
        <v>40000</v>
      </c>
      <c r="D2997" t="s">
        <v>71</v>
      </c>
      <c r="E2997" t="s">
        <v>74</v>
      </c>
      <c r="F2997" t="s">
        <v>79</v>
      </c>
    </row>
    <row r="2998" spans="1:6" x14ac:dyDescent="0.45">
      <c r="A2998">
        <v>40</v>
      </c>
      <c r="B2998">
        <v>13</v>
      </c>
      <c r="C2998">
        <v>40000</v>
      </c>
      <c r="D2998" t="s">
        <v>71</v>
      </c>
      <c r="E2998" t="s">
        <v>74</v>
      </c>
      <c r="F2998" t="s">
        <v>79</v>
      </c>
    </row>
    <row r="2999" spans="1:6" x14ac:dyDescent="0.45">
      <c r="A2999">
        <v>55</v>
      </c>
      <c r="B2999">
        <v>13</v>
      </c>
      <c r="C2999">
        <v>40000</v>
      </c>
      <c r="D2999" t="s">
        <v>71</v>
      </c>
      <c r="E2999" t="s">
        <v>74</v>
      </c>
      <c r="F2999" t="s">
        <v>79</v>
      </c>
    </row>
    <row r="3000" spans="1:6" x14ac:dyDescent="0.45">
      <c r="A3000">
        <v>48</v>
      </c>
      <c r="B3000">
        <v>13</v>
      </c>
      <c r="C3000">
        <v>40000</v>
      </c>
      <c r="D3000" t="s">
        <v>71</v>
      </c>
      <c r="E3000" t="s">
        <v>74</v>
      </c>
      <c r="F3000" t="s">
        <v>79</v>
      </c>
    </row>
    <row r="3001" spans="1:6" x14ac:dyDescent="0.45">
      <c r="A3001">
        <v>45</v>
      </c>
      <c r="B3001">
        <v>13</v>
      </c>
      <c r="C3001">
        <v>40000</v>
      </c>
      <c r="D3001" t="s">
        <v>71</v>
      </c>
      <c r="E3001" t="s">
        <v>74</v>
      </c>
      <c r="F3001" t="s">
        <v>79</v>
      </c>
    </row>
    <row r="3002" spans="1:6" x14ac:dyDescent="0.45">
      <c r="A3002">
        <v>45</v>
      </c>
      <c r="B3002">
        <v>13</v>
      </c>
      <c r="C3002">
        <v>40000</v>
      </c>
      <c r="D3002" t="s">
        <v>71</v>
      </c>
      <c r="E3002" t="s">
        <v>72</v>
      </c>
      <c r="F3002" t="s">
        <v>79</v>
      </c>
    </row>
    <row r="3003" spans="1:6" x14ac:dyDescent="0.45">
      <c r="A3003">
        <v>40</v>
      </c>
      <c r="B3003">
        <v>13</v>
      </c>
      <c r="C3003">
        <v>40000</v>
      </c>
      <c r="D3003" t="s">
        <v>71</v>
      </c>
      <c r="E3003" t="s">
        <v>74</v>
      </c>
      <c r="F3003" t="s">
        <v>79</v>
      </c>
    </row>
    <row r="3004" spans="1:6" x14ac:dyDescent="0.45">
      <c r="A3004">
        <v>45</v>
      </c>
      <c r="B3004">
        <v>13</v>
      </c>
      <c r="C3004">
        <v>40000</v>
      </c>
      <c r="D3004" t="s">
        <v>71</v>
      </c>
      <c r="E3004" t="s">
        <v>74</v>
      </c>
      <c r="F3004" t="s">
        <v>79</v>
      </c>
    </row>
    <row r="3005" spans="1:6" x14ac:dyDescent="0.45">
      <c r="A3005">
        <v>40</v>
      </c>
      <c r="B3005">
        <v>13</v>
      </c>
      <c r="C3005">
        <v>40560</v>
      </c>
      <c r="D3005" t="s">
        <v>71</v>
      </c>
      <c r="E3005" t="s">
        <v>74</v>
      </c>
      <c r="F3005" t="s">
        <v>79</v>
      </c>
    </row>
    <row r="3006" spans="1:6" x14ac:dyDescent="0.45">
      <c r="A3006">
        <v>45</v>
      </c>
      <c r="B3006">
        <v>13</v>
      </c>
      <c r="C3006">
        <v>41000</v>
      </c>
      <c r="D3006" t="s">
        <v>71</v>
      </c>
      <c r="E3006" t="s">
        <v>74</v>
      </c>
      <c r="F3006" t="s">
        <v>79</v>
      </c>
    </row>
    <row r="3007" spans="1:6" x14ac:dyDescent="0.45">
      <c r="A3007">
        <v>0</v>
      </c>
      <c r="B3007">
        <v>13</v>
      </c>
      <c r="C3007">
        <v>41000</v>
      </c>
      <c r="D3007" t="s">
        <v>71</v>
      </c>
      <c r="E3007" t="s">
        <v>74</v>
      </c>
      <c r="F3007" t="s">
        <v>79</v>
      </c>
    </row>
    <row r="3008" spans="1:6" x14ac:dyDescent="0.45">
      <c r="A3008">
        <v>40</v>
      </c>
      <c r="B3008">
        <v>13</v>
      </c>
      <c r="C3008">
        <v>41000</v>
      </c>
      <c r="D3008" t="s">
        <v>71</v>
      </c>
      <c r="E3008" t="s">
        <v>74</v>
      </c>
      <c r="F3008" t="s">
        <v>79</v>
      </c>
    </row>
    <row r="3009" spans="1:6" x14ac:dyDescent="0.45">
      <c r="A3009">
        <v>40</v>
      </c>
      <c r="B3009">
        <v>13</v>
      </c>
      <c r="C3009">
        <v>41000</v>
      </c>
      <c r="D3009" t="s">
        <v>76</v>
      </c>
      <c r="E3009" t="s">
        <v>74</v>
      </c>
      <c r="F3009" t="s">
        <v>79</v>
      </c>
    </row>
    <row r="3010" spans="1:6" x14ac:dyDescent="0.45">
      <c r="A3010">
        <v>40</v>
      </c>
      <c r="B3010">
        <v>13</v>
      </c>
      <c r="C3010">
        <v>41000</v>
      </c>
      <c r="D3010" t="s">
        <v>71</v>
      </c>
      <c r="E3010" t="s">
        <v>72</v>
      </c>
      <c r="F3010" t="s">
        <v>79</v>
      </c>
    </row>
    <row r="3011" spans="1:6" x14ac:dyDescent="0.45">
      <c r="A3011">
        <v>40</v>
      </c>
      <c r="B3011">
        <v>13</v>
      </c>
      <c r="C3011">
        <v>41000</v>
      </c>
      <c r="D3011" t="s">
        <v>71</v>
      </c>
      <c r="E3011" t="s">
        <v>74</v>
      </c>
      <c r="F3011" t="s">
        <v>79</v>
      </c>
    </row>
    <row r="3012" spans="1:6" x14ac:dyDescent="0.45">
      <c r="A3012">
        <v>60</v>
      </c>
      <c r="B3012">
        <v>13</v>
      </c>
      <c r="C3012">
        <v>41000</v>
      </c>
      <c r="D3012" t="s">
        <v>71</v>
      </c>
      <c r="E3012" t="s">
        <v>74</v>
      </c>
      <c r="F3012" t="s">
        <v>79</v>
      </c>
    </row>
    <row r="3013" spans="1:6" x14ac:dyDescent="0.45">
      <c r="A3013">
        <v>55</v>
      </c>
      <c r="B3013">
        <v>13</v>
      </c>
      <c r="C3013">
        <v>41000</v>
      </c>
      <c r="D3013" t="s">
        <v>71</v>
      </c>
      <c r="E3013" t="s">
        <v>72</v>
      </c>
      <c r="F3013" t="s">
        <v>79</v>
      </c>
    </row>
    <row r="3014" spans="1:6" x14ac:dyDescent="0.45">
      <c r="A3014">
        <v>0</v>
      </c>
      <c r="B3014">
        <v>13</v>
      </c>
      <c r="C3014">
        <v>41000</v>
      </c>
      <c r="D3014" t="s">
        <v>71</v>
      </c>
      <c r="E3014" t="s">
        <v>74</v>
      </c>
      <c r="F3014" t="s">
        <v>79</v>
      </c>
    </row>
    <row r="3015" spans="1:6" x14ac:dyDescent="0.45">
      <c r="A3015">
        <v>40</v>
      </c>
      <c r="B3015">
        <v>13</v>
      </c>
      <c r="C3015">
        <v>41066</v>
      </c>
      <c r="D3015" t="s">
        <v>71</v>
      </c>
      <c r="E3015" t="s">
        <v>74</v>
      </c>
      <c r="F3015" t="s">
        <v>79</v>
      </c>
    </row>
    <row r="3016" spans="1:6" x14ac:dyDescent="0.45">
      <c r="A3016">
        <v>45</v>
      </c>
      <c r="B3016">
        <v>13</v>
      </c>
      <c r="C3016">
        <v>41100</v>
      </c>
      <c r="D3016" t="s">
        <v>71</v>
      </c>
      <c r="E3016" t="s">
        <v>74</v>
      </c>
      <c r="F3016" t="s">
        <v>79</v>
      </c>
    </row>
    <row r="3017" spans="1:6" x14ac:dyDescent="0.45">
      <c r="A3017">
        <v>40</v>
      </c>
      <c r="B3017">
        <v>13</v>
      </c>
      <c r="C3017">
        <v>41200</v>
      </c>
      <c r="D3017" t="s">
        <v>71</v>
      </c>
      <c r="E3017" t="s">
        <v>72</v>
      </c>
      <c r="F3017" t="s">
        <v>79</v>
      </c>
    </row>
    <row r="3018" spans="1:6" x14ac:dyDescent="0.45">
      <c r="A3018">
        <v>40</v>
      </c>
      <c r="B3018">
        <v>13</v>
      </c>
      <c r="C3018">
        <v>41291</v>
      </c>
      <c r="D3018" t="s">
        <v>71</v>
      </c>
      <c r="E3018" t="s">
        <v>72</v>
      </c>
      <c r="F3018" t="s">
        <v>79</v>
      </c>
    </row>
    <row r="3019" spans="1:6" x14ac:dyDescent="0.45">
      <c r="A3019">
        <v>40</v>
      </c>
      <c r="B3019">
        <v>13</v>
      </c>
      <c r="C3019">
        <v>41344</v>
      </c>
      <c r="D3019" t="s">
        <v>71</v>
      </c>
      <c r="E3019" t="s">
        <v>74</v>
      </c>
      <c r="F3019" t="s">
        <v>79</v>
      </c>
    </row>
    <row r="3020" spans="1:6" x14ac:dyDescent="0.45">
      <c r="A3020">
        <v>40</v>
      </c>
      <c r="B3020">
        <v>13</v>
      </c>
      <c r="C3020">
        <v>41374</v>
      </c>
      <c r="D3020" t="s">
        <v>71</v>
      </c>
      <c r="E3020" t="s">
        <v>74</v>
      </c>
      <c r="F3020" t="s">
        <v>79</v>
      </c>
    </row>
    <row r="3021" spans="1:6" x14ac:dyDescent="0.45">
      <c r="A3021">
        <v>40</v>
      </c>
      <c r="B3021">
        <v>13</v>
      </c>
      <c r="C3021">
        <v>41500</v>
      </c>
      <c r="D3021" t="s">
        <v>71</v>
      </c>
      <c r="E3021" t="s">
        <v>74</v>
      </c>
      <c r="F3021" t="s">
        <v>79</v>
      </c>
    </row>
    <row r="3022" spans="1:6" x14ac:dyDescent="0.45">
      <c r="A3022">
        <v>50</v>
      </c>
      <c r="B3022">
        <v>13</v>
      </c>
      <c r="C3022">
        <v>41500</v>
      </c>
      <c r="D3022" t="s">
        <v>71</v>
      </c>
      <c r="E3022" t="s">
        <v>74</v>
      </c>
      <c r="F3022" t="s">
        <v>79</v>
      </c>
    </row>
    <row r="3023" spans="1:6" x14ac:dyDescent="0.45">
      <c r="A3023">
        <v>0</v>
      </c>
      <c r="B3023">
        <v>13</v>
      </c>
      <c r="C3023">
        <v>41600</v>
      </c>
      <c r="D3023" t="s">
        <v>71</v>
      </c>
      <c r="E3023" t="s">
        <v>74</v>
      </c>
      <c r="F3023" t="s">
        <v>79</v>
      </c>
    </row>
    <row r="3024" spans="1:6" x14ac:dyDescent="0.45">
      <c r="A3024">
        <v>50</v>
      </c>
      <c r="B3024">
        <v>13</v>
      </c>
      <c r="C3024">
        <v>41600</v>
      </c>
      <c r="D3024" t="s">
        <v>71</v>
      </c>
      <c r="E3024" t="s">
        <v>74</v>
      </c>
      <c r="F3024" t="s">
        <v>79</v>
      </c>
    </row>
    <row r="3025" spans="1:6" x14ac:dyDescent="0.45">
      <c r="A3025">
        <v>40</v>
      </c>
      <c r="B3025">
        <v>13</v>
      </c>
      <c r="C3025">
        <v>41600</v>
      </c>
      <c r="D3025" t="s">
        <v>71</v>
      </c>
      <c r="E3025" t="s">
        <v>72</v>
      </c>
      <c r="F3025" t="s">
        <v>79</v>
      </c>
    </row>
    <row r="3026" spans="1:6" x14ac:dyDescent="0.45">
      <c r="A3026">
        <v>56</v>
      </c>
      <c r="B3026">
        <v>13</v>
      </c>
      <c r="C3026">
        <v>41800</v>
      </c>
      <c r="D3026" t="s">
        <v>71</v>
      </c>
      <c r="E3026" t="s">
        <v>72</v>
      </c>
      <c r="F3026" t="s">
        <v>79</v>
      </c>
    </row>
    <row r="3027" spans="1:6" x14ac:dyDescent="0.45">
      <c r="A3027">
        <v>40</v>
      </c>
      <c r="B3027">
        <v>13</v>
      </c>
      <c r="C3027">
        <v>42000</v>
      </c>
      <c r="D3027" t="s">
        <v>71</v>
      </c>
      <c r="E3027" t="s">
        <v>72</v>
      </c>
      <c r="F3027" t="s">
        <v>79</v>
      </c>
    </row>
    <row r="3028" spans="1:6" x14ac:dyDescent="0.45">
      <c r="A3028">
        <v>50</v>
      </c>
      <c r="B3028">
        <v>13</v>
      </c>
      <c r="C3028">
        <v>42000</v>
      </c>
      <c r="D3028" t="s">
        <v>71</v>
      </c>
      <c r="E3028" t="s">
        <v>74</v>
      </c>
      <c r="F3028" t="s">
        <v>79</v>
      </c>
    </row>
    <row r="3029" spans="1:6" x14ac:dyDescent="0.45">
      <c r="A3029">
        <v>40</v>
      </c>
      <c r="B3029">
        <v>13</v>
      </c>
      <c r="C3029">
        <v>42000</v>
      </c>
      <c r="D3029" t="s">
        <v>71</v>
      </c>
      <c r="E3029" t="s">
        <v>74</v>
      </c>
      <c r="F3029" t="s">
        <v>79</v>
      </c>
    </row>
    <row r="3030" spans="1:6" x14ac:dyDescent="0.45">
      <c r="A3030">
        <v>40</v>
      </c>
      <c r="B3030">
        <v>13</v>
      </c>
      <c r="C3030">
        <v>42000</v>
      </c>
      <c r="D3030" t="s">
        <v>76</v>
      </c>
      <c r="E3030" t="s">
        <v>74</v>
      </c>
      <c r="F3030" t="s">
        <v>79</v>
      </c>
    </row>
    <row r="3031" spans="1:6" x14ac:dyDescent="0.45">
      <c r="A3031">
        <v>40</v>
      </c>
      <c r="B3031">
        <v>13</v>
      </c>
      <c r="C3031">
        <v>42000</v>
      </c>
      <c r="D3031" t="s">
        <v>71</v>
      </c>
      <c r="E3031" t="s">
        <v>72</v>
      </c>
      <c r="F3031" t="s">
        <v>79</v>
      </c>
    </row>
    <row r="3032" spans="1:6" x14ac:dyDescent="0.45">
      <c r="A3032">
        <v>40</v>
      </c>
      <c r="B3032">
        <v>13</v>
      </c>
      <c r="C3032">
        <v>42000</v>
      </c>
      <c r="D3032" t="s">
        <v>71</v>
      </c>
      <c r="E3032" t="s">
        <v>72</v>
      </c>
      <c r="F3032" t="s">
        <v>79</v>
      </c>
    </row>
    <row r="3033" spans="1:6" x14ac:dyDescent="0.45">
      <c r="A3033">
        <v>44</v>
      </c>
      <c r="B3033">
        <v>13</v>
      </c>
      <c r="C3033">
        <v>42000</v>
      </c>
      <c r="D3033" t="s">
        <v>71</v>
      </c>
      <c r="E3033" t="s">
        <v>74</v>
      </c>
      <c r="F3033" t="s">
        <v>79</v>
      </c>
    </row>
    <row r="3034" spans="1:6" x14ac:dyDescent="0.45">
      <c r="A3034">
        <v>0</v>
      </c>
      <c r="B3034">
        <v>13</v>
      </c>
      <c r="C3034">
        <v>42000</v>
      </c>
      <c r="D3034" t="s">
        <v>71</v>
      </c>
      <c r="E3034" t="s">
        <v>74</v>
      </c>
      <c r="F3034" t="s">
        <v>79</v>
      </c>
    </row>
    <row r="3035" spans="1:6" x14ac:dyDescent="0.45">
      <c r="A3035">
        <v>40</v>
      </c>
      <c r="B3035">
        <v>13</v>
      </c>
      <c r="C3035">
        <v>42000</v>
      </c>
      <c r="D3035" t="s">
        <v>71</v>
      </c>
      <c r="E3035" t="s">
        <v>74</v>
      </c>
      <c r="F3035" t="s">
        <v>79</v>
      </c>
    </row>
    <row r="3036" spans="1:6" x14ac:dyDescent="0.45">
      <c r="A3036">
        <v>0</v>
      </c>
      <c r="B3036">
        <v>13</v>
      </c>
      <c r="C3036">
        <v>42000</v>
      </c>
      <c r="D3036" t="s">
        <v>71</v>
      </c>
      <c r="E3036" t="s">
        <v>74</v>
      </c>
      <c r="F3036" t="s">
        <v>79</v>
      </c>
    </row>
    <row r="3037" spans="1:6" x14ac:dyDescent="0.45">
      <c r="A3037">
        <v>60</v>
      </c>
      <c r="B3037">
        <v>13</v>
      </c>
      <c r="C3037">
        <v>42000</v>
      </c>
      <c r="D3037" t="s">
        <v>71</v>
      </c>
      <c r="E3037" t="s">
        <v>74</v>
      </c>
      <c r="F3037" t="s">
        <v>79</v>
      </c>
    </row>
    <row r="3038" spans="1:6" x14ac:dyDescent="0.45">
      <c r="A3038">
        <v>40</v>
      </c>
      <c r="B3038">
        <v>13</v>
      </c>
      <c r="C3038">
        <v>42000</v>
      </c>
      <c r="D3038" t="s">
        <v>71</v>
      </c>
      <c r="E3038" t="s">
        <v>74</v>
      </c>
      <c r="F3038" t="s">
        <v>79</v>
      </c>
    </row>
    <row r="3039" spans="1:6" x14ac:dyDescent="0.45">
      <c r="A3039">
        <v>45</v>
      </c>
      <c r="B3039">
        <v>13</v>
      </c>
      <c r="C3039">
        <v>42000</v>
      </c>
      <c r="D3039" t="s">
        <v>71</v>
      </c>
      <c r="E3039" t="s">
        <v>74</v>
      </c>
      <c r="F3039" t="s">
        <v>79</v>
      </c>
    </row>
    <row r="3040" spans="1:6" x14ac:dyDescent="0.45">
      <c r="A3040">
        <v>40</v>
      </c>
      <c r="B3040">
        <v>13</v>
      </c>
      <c r="C3040">
        <v>42000</v>
      </c>
      <c r="D3040" t="s">
        <v>71</v>
      </c>
      <c r="E3040" t="s">
        <v>72</v>
      </c>
      <c r="F3040" t="s">
        <v>79</v>
      </c>
    </row>
    <row r="3041" spans="1:6" x14ac:dyDescent="0.45">
      <c r="A3041">
        <v>55</v>
      </c>
      <c r="B3041">
        <v>13</v>
      </c>
      <c r="C3041">
        <v>42000</v>
      </c>
      <c r="D3041" t="s">
        <v>71</v>
      </c>
      <c r="E3041" t="s">
        <v>74</v>
      </c>
      <c r="F3041" t="s">
        <v>79</v>
      </c>
    </row>
    <row r="3042" spans="1:6" x14ac:dyDescent="0.45">
      <c r="A3042">
        <v>40</v>
      </c>
      <c r="B3042">
        <v>13</v>
      </c>
      <c r="C3042">
        <v>42000</v>
      </c>
      <c r="D3042" t="s">
        <v>71</v>
      </c>
      <c r="E3042" t="s">
        <v>74</v>
      </c>
      <c r="F3042" t="s">
        <v>79</v>
      </c>
    </row>
    <row r="3043" spans="1:6" x14ac:dyDescent="0.45">
      <c r="A3043">
        <v>40</v>
      </c>
      <c r="B3043">
        <v>13</v>
      </c>
      <c r="C3043">
        <v>42000</v>
      </c>
      <c r="D3043" t="s">
        <v>76</v>
      </c>
      <c r="E3043" t="s">
        <v>72</v>
      </c>
      <c r="F3043" t="s">
        <v>79</v>
      </c>
    </row>
    <row r="3044" spans="1:6" x14ac:dyDescent="0.45">
      <c r="A3044">
        <v>40</v>
      </c>
      <c r="B3044">
        <v>13</v>
      </c>
      <c r="C3044">
        <v>42000</v>
      </c>
      <c r="D3044" t="s">
        <v>76</v>
      </c>
      <c r="E3044" t="s">
        <v>72</v>
      </c>
      <c r="F3044" t="s">
        <v>79</v>
      </c>
    </row>
    <row r="3045" spans="1:6" x14ac:dyDescent="0.45">
      <c r="A3045">
        <v>40</v>
      </c>
      <c r="B3045">
        <v>13</v>
      </c>
      <c r="C3045">
        <v>42000</v>
      </c>
      <c r="D3045" t="s">
        <v>71</v>
      </c>
      <c r="E3045" t="s">
        <v>74</v>
      </c>
      <c r="F3045" t="s">
        <v>79</v>
      </c>
    </row>
    <row r="3046" spans="1:6" x14ac:dyDescent="0.45">
      <c r="A3046">
        <v>0</v>
      </c>
      <c r="B3046">
        <v>13</v>
      </c>
      <c r="C3046">
        <v>42000</v>
      </c>
      <c r="D3046" t="s">
        <v>71</v>
      </c>
      <c r="E3046" t="s">
        <v>74</v>
      </c>
      <c r="F3046" t="s">
        <v>79</v>
      </c>
    </row>
    <row r="3047" spans="1:6" x14ac:dyDescent="0.45">
      <c r="A3047">
        <v>40</v>
      </c>
      <c r="B3047">
        <v>13</v>
      </c>
      <c r="C3047">
        <v>42000</v>
      </c>
      <c r="D3047" t="s">
        <v>71</v>
      </c>
      <c r="E3047" t="s">
        <v>74</v>
      </c>
      <c r="F3047" t="s">
        <v>79</v>
      </c>
    </row>
    <row r="3048" spans="1:6" x14ac:dyDescent="0.45">
      <c r="A3048">
        <v>40</v>
      </c>
      <c r="B3048">
        <v>13</v>
      </c>
      <c r="C3048">
        <v>42000</v>
      </c>
      <c r="D3048" t="s">
        <v>71</v>
      </c>
      <c r="E3048" t="s">
        <v>74</v>
      </c>
      <c r="F3048" t="s">
        <v>79</v>
      </c>
    </row>
    <row r="3049" spans="1:6" x14ac:dyDescent="0.45">
      <c r="A3049">
        <v>45</v>
      </c>
      <c r="B3049">
        <v>13</v>
      </c>
      <c r="C3049">
        <v>42200</v>
      </c>
      <c r="D3049" t="s">
        <v>71</v>
      </c>
      <c r="E3049" t="s">
        <v>74</v>
      </c>
      <c r="F3049" t="s">
        <v>79</v>
      </c>
    </row>
    <row r="3050" spans="1:6" x14ac:dyDescent="0.45">
      <c r="A3050">
        <v>40</v>
      </c>
      <c r="B3050">
        <v>13</v>
      </c>
      <c r="C3050">
        <v>42500</v>
      </c>
      <c r="D3050" t="s">
        <v>71</v>
      </c>
      <c r="E3050" t="s">
        <v>74</v>
      </c>
      <c r="F3050" t="s">
        <v>79</v>
      </c>
    </row>
    <row r="3051" spans="1:6" x14ac:dyDescent="0.45">
      <c r="A3051">
        <v>40</v>
      </c>
      <c r="B3051">
        <v>13</v>
      </c>
      <c r="C3051">
        <v>42500</v>
      </c>
      <c r="D3051" t="s">
        <v>76</v>
      </c>
      <c r="E3051" t="s">
        <v>72</v>
      </c>
      <c r="F3051" t="s">
        <v>79</v>
      </c>
    </row>
    <row r="3052" spans="1:6" x14ac:dyDescent="0.45">
      <c r="A3052">
        <v>60</v>
      </c>
      <c r="B3052">
        <v>13</v>
      </c>
      <c r="C3052">
        <v>43000</v>
      </c>
      <c r="D3052" t="s">
        <v>71</v>
      </c>
      <c r="E3052" t="s">
        <v>74</v>
      </c>
      <c r="F3052" t="s">
        <v>79</v>
      </c>
    </row>
    <row r="3053" spans="1:6" x14ac:dyDescent="0.45">
      <c r="A3053">
        <v>50</v>
      </c>
      <c r="B3053">
        <v>13</v>
      </c>
      <c r="C3053">
        <v>43000</v>
      </c>
      <c r="D3053" t="s">
        <v>71</v>
      </c>
      <c r="E3053" t="s">
        <v>74</v>
      </c>
      <c r="F3053" t="s">
        <v>79</v>
      </c>
    </row>
    <row r="3054" spans="1:6" x14ac:dyDescent="0.45">
      <c r="A3054">
        <v>40</v>
      </c>
      <c r="B3054">
        <v>13</v>
      </c>
      <c r="C3054">
        <v>43000</v>
      </c>
      <c r="D3054" t="s">
        <v>71</v>
      </c>
      <c r="E3054" t="s">
        <v>72</v>
      </c>
      <c r="F3054" t="s">
        <v>79</v>
      </c>
    </row>
    <row r="3055" spans="1:6" x14ac:dyDescent="0.45">
      <c r="A3055">
        <v>55</v>
      </c>
      <c r="B3055">
        <v>13</v>
      </c>
      <c r="C3055">
        <v>43000</v>
      </c>
      <c r="D3055" t="s">
        <v>71</v>
      </c>
      <c r="E3055" t="s">
        <v>74</v>
      </c>
      <c r="F3055" t="s">
        <v>79</v>
      </c>
    </row>
    <row r="3056" spans="1:6" x14ac:dyDescent="0.45">
      <c r="A3056">
        <v>51</v>
      </c>
      <c r="B3056">
        <v>13</v>
      </c>
      <c r="C3056">
        <v>43000</v>
      </c>
      <c r="D3056" t="s">
        <v>71</v>
      </c>
      <c r="E3056" t="s">
        <v>74</v>
      </c>
      <c r="F3056" t="s">
        <v>79</v>
      </c>
    </row>
    <row r="3057" spans="1:6" x14ac:dyDescent="0.45">
      <c r="A3057">
        <v>55</v>
      </c>
      <c r="B3057">
        <v>13</v>
      </c>
      <c r="C3057">
        <v>43000</v>
      </c>
      <c r="D3057" t="s">
        <v>71</v>
      </c>
      <c r="E3057" t="s">
        <v>72</v>
      </c>
      <c r="F3057" t="s">
        <v>79</v>
      </c>
    </row>
    <row r="3058" spans="1:6" x14ac:dyDescent="0.45">
      <c r="A3058">
        <v>45</v>
      </c>
      <c r="B3058">
        <v>13</v>
      </c>
      <c r="C3058">
        <v>43000</v>
      </c>
      <c r="D3058" t="s">
        <v>71</v>
      </c>
      <c r="E3058" t="s">
        <v>74</v>
      </c>
      <c r="F3058" t="s">
        <v>79</v>
      </c>
    </row>
    <row r="3059" spans="1:6" x14ac:dyDescent="0.45">
      <c r="A3059">
        <v>50</v>
      </c>
      <c r="B3059">
        <v>13</v>
      </c>
      <c r="C3059">
        <v>43000</v>
      </c>
      <c r="D3059" t="s">
        <v>71</v>
      </c>
      <c r="E3059" t="s">
        <v>74</v>
      </c>
      <c r="F3059" t="s">
        <v>79</v>
      </c>
    </row>
    <row r="3060" spans="1:6" x14ac:dyDescent="0.45">
      <c r="A3060">
        <v>40</v>
      </c>
      <c r="B3060">
        <v>13</v>
      </c>
      <c r="C3060">
        <v>43275</v>
      </c>
      <c r="D3060" t="s">
        <v>71</v>
      </c>
      <c r="E3060" t="s">
        <v>74</v>
      </c>
      <c r="F3060" t="s">
        <v>79</v>
      </c>
    </row>
    <row r="3061" spans="1:6" x14ac:dyDescent="0.45">
      <c r="A3061">
        <v>48</v>
      </c>
      <c r="B3061">
        <v>13</v>
      </c>
      <c r="C3061">
        <v>43500</v>
      </c>
      <c r="D3061" t="s">
        <v>71</v>
      </c>
      <c r="E3061" t="s">
        <v>74</v>
      </c>
      <c r="F3061" t="s">
        <v>79</v>
      </c>
    </row>
    <row r="3062" spans="1:6" x14ac:dyDescent="0.45">
      <c r="A3062">
        <v>45</v>
      </c>
      <c r="B3062">
        <v>13</v>
      </c>
      <c r="C3062">
        <v>43600</v>
      </c>
      <c r="D3062" t="s">
        <v>71</v>
      </c>
      <c r="E3062" t="s">
        <v>74</v>
      </c>
      <c r="F3062" t="s">
        <v>79</v>
      </c>
    </row>
    <row r="3063" spans="1:6" x14ac:dyDescent="0.45">
      <c r="A3063">
        <v>40</v>
      </c>
      <c r="B3063">
        <v>13</v>
      </c>
      <c r="C3063">
        <v>43808</v>
      </c>
      <c r="D3063" t="s">
        <v>71</v>
      </c>
      <c r="E3063" t="s">
        <v>72</v>
      </c>
      <c r="F3063" t="s">
        <v>79</v>
      </c>
    </row>
    <row r="3064" spans="1:6" x14ac:dyDescent="0.45">
      <c r="A3064">
        <v>40</v>
      </c>
      <c r="B3064">
        <v>13</v>
      </c>
      <c r="C3064">
        <v>44000</v>
      </c>
      <c r="D3064" t="s">
        <v>71</v>
      </c>
      <c r="E3064" t="s">
        <v>74</v>
      </c>
      <c r="F3064" t="s">
        <v>79</v>
      </c>
    </row>
    <row r="3065" spans="1:6" x14ac:dyDescent="0.45">
      <c r="A3065">
        <v>50</v>
      </c>
      <c r="B3065">
        <v>13</v>
      </c>
      <c r="C3065">
        <v>44000</v>
      </c>
      <c r="D3065" t="s">
        <v>71</v>
      </c>
      <c r="E3065" t="s">
        <v>74</v>
      </c>
      <c r="F3065" t="s">
        <v>79</v>
      </c>
    </row>
    <row r="3066" spans="1:6" x14ac:dyDescent="0.45">
      <c r="A3066">
        <v>42</v>
      </c>
      <c r="B3066">
        <v>13</v>
      </c>
      <c r="C3066">
        <v>44000</v>
      </c>
      <c r="D3066" t="s">
        <v>71</v>
      </c>
      <c r="E3066" t="s">
        <v>72</v>
      </c>
      <c r="F3066" t="s">
        <v>79</v>
      </c>
    </row>
    <row r="3067" spans="1:6" x14ac:dyDescent="0.45">
      <c r="A3067">
        <v>40</v>
      </c>
      <c r="B3067">
        <v>13</v>
      </c>
      <c r="C3067">
        <v>44000</v>
      </c>
      <c r="D3067" t="s">
        <v>71</v>
      </c>
      <c r="E3067" t="s">
        <v>72</v>
      </c>
      <c r="F3067" t="s">
        <v>79</v>
      </c>
    </row>
    <row r="3068" spans="1:6" x14ac:dyDescent="0.45">
      <c r="A3068">
        <v>60</v>
      </c>
      <c r="B3068">
        <v>13</v>
      </c>
      <c r="C3068">
        <v>44000</v>
      </c>
      <c r="D3068" t="s">
        <v>71</v>
      </c>
      <c r="E3068" t="s">
        <v>72</v>
      </c>
      <c r="F3068" t="s">
        <v>79</v>
      </c>
    </row>
    <row r="3069" spans="1:6" x14ac:dyDescent="0.45">
      <c r="A3069">
        <v>40</v>
      </c>
      <c r="B3069">
        <v>13</v>
      </c>
      <c r="C3069">
        <v>44000</v>
      </c>
      <c r="D3069" t="s">
        <v>71</v>
      </c>
      <c r="E3069" t="s">
        <v>74</v>
      </c>
      <c r="F3069" t="s">
        <v>79</v>
      </c>
    </row>
    <row r="3070" spans="1:6" x14ac:dyDescent="0.45">
      <c r="A3070">
        <v>55</v>
      </c>
      <c r="B3070">
        <v>13</v>
      </c>
      <c r="C3070">
        <v>44400</v>
      </c>
      <c r="D3070" t="s">
        <v>71</v>
      </c>
      <c r="E3070" t="s">
        <v>74</v>
      </c>
      <c r="F3070" t="s">
        <v>79</v>
      </c>
    </row>
    <row r="3071" spans="1:6" x14ac:dyDescent="0.45">
      <c r="A3071">
        <v>0</v>
      </c>
      <c r="B3071">
        <v>13</v>
      </c>
      <c r="C3071">
        <v>44800</v>
      </c>
      <c r="D3071" t="s">
        <v>71</v>
      </c>
      <c r="E3071" t="s">
        <v>74</v>
      </c>
      <c r="F3071" t="s">
        <v>79</v>
      </c>
    </row>
    <row r="3072" spans="1:6" x14ac:dyDescent="0.45">
      <c r="A3072">
        <v>40</v>
      </c>
      <c r="B3072">
        <v>13</v>
      </c>
      <c r="C3072">
        <v>44900</v>
      </c>
      <c r="D3072" t="s">
        <v>71</v>
      </c>
      <c r="E3072" t="s">
        <v>74</v>
      </c>
      <c r="F3072" t="s">
        <v>79</v>
      </c>
    </row>
    <row r="3073" spans="1:6" x14ac:dyDescent="0.45">
      <c r="A3073">
        <v>40</v>
      </c>
      <c r="B3073">
        <v>13</v>
      </c>
      <c r="C3073">
        <v>45000</v>
      </c>
      <c r="D3073" t="s">
        <v>71</v>
      </c>
      <c r="E3073" t="s">
        <v>74</v>
      </c>
      <c r="F3073" t="s">
        <v>79</v>
      </c>
    </row>
    <row r="3074" spans="1:6" x14ac:dyDescent="0.45">
      <c r="A3074">
        <v>40</v>
      </c>
      <c r="B3074">
        <v>13</v>
      </c>
      <c r="C3074">
        <v>45000</v>
      </c>
      <c r="D3074" t="s">
        <v>71</v>
      </c>
      <c r="E3074" t="s">
        <v>74</v>
      </c>
      <c r="F3074" t="s">
        <v>79</v>
      </c>
    </row>
    <row r="3075" spans="1:6" x14ac:dyDescent="0.45">
      <c r="A3075">
        <v>40</v>
      </c>
      <c r="B3075">
        <v>13</v>
      </c>
      <c r="C3075">
        <v>45000</v>
      </c>
      <c r="D3075" t="s">
        <v>71</v>
      </c>
      <c r="E3075" t="s">
        <v>74</v>
      </c>
      <c r="F3075" t="s">
        <v>79</v>
      </c>
    </row>
    <row r="3076" spans="1:6" x14ac:dyDescent="0.45">
      <c r="A3076">
        <v>40</v>
      </c>
      <c r="B3076">
        <v>13</v>
      </c>
      <c r="C3076">
        <v>45000</v>
      </c>
      <c r="D3076" t="s">
        <v>71</v>
      </c>
      <c r="E3076" t="s">
        <v>74</v>
      </c>
      <c r="F3076" t="s">
        <v>79</v>
      </c>
    </row>
    <row r="3077" spans="1:6" x14ac:dyDescent="0.45">
      <c r="A3077">
        <v>40</v>
      </c>
      <c r="B3077">
        <v>13</v>
      </c>
      <c r="C3077">
        <v>45000</v>
      </c>
      <c r="D3077" t="s">
        <v>71</v>
      </c>
      <c r="E3077" t="s">
        <v>74</v>
      </c>
      <c r="F3077" t="s">
        <v>79</v>
      </c>
    </row>
    <row r="3078" spans="1:6" x14ac:dyDescent="0.45">
      <c r="A3078">
        <v>60</v>
      </c>
      <c r="B3078">
        <v>13</v>
      </c>
      <c r="C3078">
        <v>45000</v>
      </c>
      <c r="D3078" t="s">
        <v>71</v>
      </c>
      <c r="E3078" t="s">
        <v>72</v>
      </c>
      <c r="F3078" t="s">
        <v>79</v>
      </c>
    </row>
    <row r="3079" spans="1:6" x14ac:dyDescent="0.45">
      <c r="A3079">
        <v>40</v>
      </c>
      <c r="B3079">
        <v>13</v>
      </c>
      <c r="C3079">
        <v>45000</v>
      </c>
      <c r="D3079" t="s">
        <v>71</v>
      </c>
      <c r="E3079" t="s">
        <v>74</v>
      </c>
      <c r="F3079" t="s">
        <v>79</v>
      </c>
    </row>
    <row r="3080" spans="1:6" x14ac:dyDescent="0.45">
      <c r="A3080">
        <v>40</v>
      </c>
      <c r="B3080">
        <v>13</v>
      </c>
      <c r="C3080">
        <v>45000</v>
      </c>
      <c r="D3080" t="s">
        <v>71</v>
      </c>
      <c r="E3080" t="s">
        <v>72</v>
      </c>
      <c r="F3080" t="s">
        <v>79</v>
      </c>
    </row>
    <row r="3081" spans="1:6" x14ac:dyDescent="0.45">
      <c r="A3081">
        <v>45</v>
      </c>
      <c r="B3081">
        <v>13</v>
      </c>
      <c r="C3081">
        <v>45000</v>
      </c>
      <c r="D3081" t="s">
        <v>71</v>
      </c>
      <c r="E3081" t="s">
        <v>74</v>
      </c>
      <c r="F3081" t="s">
        <v>79</v>
      </c>
    </row>
    <row r="3082" spans="1:6" x14ac:dyDescent="0.45">
      <c r="A3082">
        <v>40</v>
      </c>
      <c r="B3082">
        <v>13</v>
      </c>
      <c r="C3082">
        <v>45000</v>
      </c>
      <c r="D3082" t="s">
        <v>71</v>
      </c>
      <c r="E3082" t="s">
        <v>74</v>
      </c>
      <c r="F3082" t="s">
        <v>79</v>
      </c>
    </row>
    <row r="3083" spans="1:6" x14ac:dyDescent="0.45">
      <c r="A3083">
        <v>0</v>
      </c>
      <c r="B3083">
        <v>13</v>
      </c>
      <c r="C3083">
        <v>45000</v>
      </c>
      <c r="D3083" t="s">
        <v>71</v>
      </c>
      <c r="E3083" t="s">
        <v>72</v>
      </c>
      <c r="F3083" t="s">
        <v>79</v>
      </c>
    </row>
    <row r="3084" spans="1:6" x14ac:dyDescent="0.45">
      <c r="A3084">
        <v>60</v>
      </c>
      <c r="B3084">
        <v>13</v>
      </c>
      <c r="C3084">
        <v>45000</v>
      </c>
      <c r="D3084" t="s">
        <v>71</v>
      </c>
      <c r="E3084" t="s">
        <v>74</v>
      </c>
      <c r="F3084" t="s">
        <v>79</v>
      </c>
    </row>
    <row r="3085" spans="1:6" x14ac:dyDescent="0.45">
      <c r="A3085">
        <v>40</v>
      </c>
      <c r="B3085">
        <v>13</v>
      </c>
      <c r="C3085">
        <v>45000</v>
      </c>
      <c r="D3085" t="s">
        <v>71</v>
      </c>
      <c r="E3085" t="s">
        <v>74</v>
      </c>
      <c r="F3085" t="s">
        <v>79</v>
      </c>
    </row>
    <row r="3086" spans="1:6" x14ac:dyDescent="0.45">
      <c r="A3086">
        <v>50</v>
      </c>
      <c r="B3086">
        <v>13</v>
      </c>
      <c r="C3086">
        <v>45000</v>
      </c>
      <c r="D3086" t="s">
        <v>71</v>
      </c>
      <c r="E3086" t="s">
        <v>74</v>
      </c>
      <c r="F3086" t="s">
        <v>79</v>
      </c>
    </row>
    <row r="3087" spans="1:6" x14ac:dyDescent="0.45">
      <c r="A3087">
        <v>40</v>
      </c>
      <c r="B3087">
        <v>13</v>
      </c>
      <c r="C3087">
        <v>45000</v>
      </c>
      <c r="D3087" t="s">
        <v>71</v>
      </c>
      <c r="E3087" t="s">
        <v>74</v>
      </c>
      <c r="F3087" t="s">
        <v>79</v>
      </c>
    </row>
    <row r="3088" spans="1:6" x14ac:dyDescent="0.45">
      <c r="A3088">
        <v>45</v>
      </c>
      <c r="B3088">
        <v>13</v>
      </c>
      <c r="C3088">
        <v>45000</v>
      </c>
      <c r="D3088" t="s">
        <v>76</v>
      </c>
      <c r="E3088" t="s">
        <v>72</v>
      </c>
      <c r="F3088" t="s">
        <v>79</v>
      </c>
    </row>
    <row r="3089" spans="1:6" x14ac:dyDescent="0.45">
      <c r="A3089">
        <v>50</v>
      </c>
      <c r="B3089">
        <v>13</v>
      </c>
      <c r="C3089">
        <v>45000</v>
      </c>
      <c r="D3089" t="s">
        <v>71</v>
      </c>
      <c r="E3089" t="s">
        <v>74</v>
      </c>
      <c r="F3089" t="s">
        <v>79</v>
      </c>
    </row>
    <row r="3090" spans="1:6" x14ac:dyDescent="0.45">
      <c r="A3090">
        <v>48</v>
      </c>
      <c r="B3090">
        <v>13</v>
      </c>
      <c r="C3090">
        <v>45000</v>
      </c>
      <c r="D3090" t="s">
        <v>71</v>
      </c>
      <c r="E3090" t="s">
        <v>72</v>
      </c>
      <c r="F3090" t="s">
        <v>79</v>
      </c>
    </row>
    <row r="3091" spans="1:6" x14ac:dyDescent="0.45">
      <c r="A3091">
        <v>45</v>
      </c>
      <c r="B3091">
        <v>13</v>
      </c>
      <c r="C3091">
        <v>45000</v>
      </c>
      <c r="D3091" t="s">
        <v>71</v>
      </c>
      <c r="E3091" t="s">
        <v>74</v>
      </c>
      <c r="F3091" t="s">
        <v>79</v>
      </c>
    </row>
    <row r="3092" spans="1:6" x14ac:dyDescent="0.45">
      <c r="A3092">
        <v>40</v>
      </c>
      <c r="B3092">
        <v>13</v>
      </c>
      <c r="C3092">
        <v>45000</v>
      </c>
      <c r="D3092" t="s">
        <v>71</v>
      </c>
      <c r="E3092" t="s">
        <v>74</v>
      </c>
      <c r="F3092" t="s">
        <v>79</v>
      </c>
    </row>
    <row r="3093" spans="1:6" x14ac:dyDescent="0.45">
      <c r="A3093">
        <v>40</v>
      </c>
      <c r="B3093">
        <v>13</v>
      </c>
      <c r="C3093">
        <v>45000</v>
      </c>
      <c r="D3093" t="s">
        <v>71</v>
      </c>
      <c r="E3093" t="s">
        <v>74</v>
      </c>
      <c r="F3093" t="s">
        <v>79</v>
      </c>
    </row>
    <row r="3094" spans="1:6" x14ac:dyDescent="0.45">
      <c r="A3094">
        <v>36</v>
      </c>
      <c r="B3094">
        <v>13</v>
      </c>
      <c r="C3094">
        <v>45000</v>
      </c>
      <c r="D3094" t="s">
        <v>71</v>
      </c>
      <c r="E3094" t="s">
        <v>72</v>
      </c>
      <c r="F3094" t="s">
        <v>79</v>
      </c>
    </row>
    <row r="3095" spans="1:6" x14ac:dyDescent="0.45">
      <c r="A3095">
        <v>40</v>
      </c>
      <c r="B3095">
        <v>13</v>
      </c>
      <c r="C3095">
        <v>45000</v>
      </c>
      <c r="D3095" t="s">
        <v>71</v>
      </c>
      <c r="E3095" t="s">
        <v>74</v>
      </c>
      <c r="F3095" t="s">
        <v>79</v>
      </c>
    </row>
    <row r="3096" spans="1:6" x14ac:dyDescent="0.45">
      <c r="A3096">
        <v>65</v>
      </c>
      <c r="B3096">
        <v>13</v>
      </c>
      <c r="C3096">
        <v>45000</v>
      </c>
      <c r="D3096" t="s">
        <v>71</v>
      </c>
      <c r="E3096" t="s">
        <v>74</v>
      </c>
      <c r="F3096" t="s">
        <v>79</v>
      </c>
    </row>
    <row r="3097" spans="1:6" x14ac:dyDescent="0.45">
      <c r="A3097">
        <v>45</v>
      </c>
      <c r="B3097">
        <v>13</v>
      </c>
      <c r="C3097">
        <v>45000</v>
      </c>
      <c r="D3097" t="s">
        <v>71</v>
      </c>
      <c r="E3097" t="s">
        <v>74</v>
      </c>
      <c r="F3097" t="s">
        <v>79</v>
      </c>
    </row>
    <row r="3098" spans="1:6" x14ac:dyDescent="0.45">
      <c r="A3098">
        <v>40</v>
      </c>
      <c r="B3098">
        <v>13</v>
      </c>
      <c r="C3098">
        <v>45000</v>
      </c>
      <c r="D3098" t="s">
        <v>71</v>
      </c>
      <c r="E3098" t="s">
        <v>74</v>
      </c>
      <c r="F3098" t="s">
        <v>79</v>
      </c>
    </row>
    <row r="3099" spans="1:6" x14ac:dyDescent="0.45">
      <c r="A3099">
        <v>40</v>
      </c>
      <c r="B3099">
        <v>13</v>
      </c>
      <c r="C3099">
        <v>45000</v>
      </c>
      <c r="D3099" t="s">
        <v>71</v>
      </c>
      <c r="E3099" t="s">
        <v>72</v>
      </c>
      <c r="F3099" t="s">
        <v>79</v>
      </c>
    </row>
    <row r="3100" spans="1:6" x14ac:dyDescent="0.45">
      <c r="A3100">
        <v>40</v>
      </c>
      <c r="B3100">
        <v>13</v>
      </c>
      <c r="C3100">
        <v>45000</v>
      </c>
      <c r="D3100" t="s">
        <v>71</v>
      </c>
      <c r="E3100" t="s">
        <v>74</v>
      </c>
      <c r="F3100" t="s">
        <v>79</v>
      </c>
    </row>
    <row r="3101" spans="1:6" x14ac:dyDescent="0.45">
      <c r="A3101">
        <v>45</v>
      </c>
      <c r="B3101">
        <v>13</v>
      </c>
      <c r="C3101">
        <v>45000</v>
      </c>
      <c r="D3101" t="s">
        <v>71</v>
      </c>
      <c r="E3101" t="s">
        <v>74</v>
      </c>
      <c r="F3101" t="s">
        <v>79</v>
      </c>
    </row>
    <row r="3102" spans="1:6" x14ac:dyDescent="0.45">
      <c r="A3102">
        <v>45</v>
      </c>
      <c r="B3102">
        <v>13</v>
      </c>
      <c r="C3102">
        <v>45000</v>
      </c>
      <c r="D3102" t="s">
        <v>71</v>
      </c>
      <c r="E3102" t="s">
        <v>72</v>
      </c>
      <c r="F3102" t="s">
        <v>79</v>
      </c>
    </row>
    <row r="3103" spans="1:6" x14ac:dyDescent="0.45">
      <c r="A3103">
        <v>45</v>
      </c>
      <c r="B3103">
        <v>13</v>
      </c>
      <c r="C3103">
        <v>45000</v>
      </c>
      <c r="D3103" t="s">
        <v>71</v>
      </c>
      <c r="E3103" t="s">
        <v>74</v>
      </c>
      <c r="F3103" t="s">
        <v>79</v>
      </c>
    </row>
    <row r="3104" spans="1:6" x14ac:dyDescent="0.45">
      <c r="A3104">
        <v>40</v>
      </c>
      <c r="B3104">
        <v>13</v>
      </c>
      <c r="C3104">
        <v>45000</v>
      </c>
      <c r="D3104" t="s">
        <v>71</v>
      </c>
      <c r="E3104" t="s">
        <v>74</v>
      </c>
      <c r="F3104" t="s">
        <v>79</v>
      </c>
    </row>
    <row r="3105" spans="1:6" x14ac:dyDescent="0.45">
      <c r="A3105">
        <v>0</v>
      </c>
      <c r="B3105">
        <v>13</v>
      </c>
      <c r="C3105">
        <v>45240</v>
      </c>
      <c r="D3105" t="s">
        <v>71</v>
      </c>
      <c r="E3105" t="s">
        <v>74</v>
      </c>
      <c r="F3105" t="s">
        <v>79</v>
      </c>
    </row>
    <row r="3106" spans="1:6" x14ac:dyDescent="0.45">
      <c r="A3106">
        <v>68</v>
      </c>
      <c r="B3106">
        <v>13</v>
      </c>
      <c r="C3106">
        <v>45400</v>
      </c>
      <c r="D3106" t="s">
        <v>71</v>
      </c>
      <c r="E3106" t="s">
        <v>74</v>
      </c>
      <c r="F3106" t="s">
        <v>79</v>
      </c>
    </row>
    <row r="3107" spans="1:6" x14ac:dyDescent="0.45">
      <c r="A3107">
        <v>45</v>
      </c>
      <c r="B3107">
        <v>13</v>
      </c>
      <c r="C3107">
        <v>45500</v>
      </c>
      <c r="D3107" t="s">
        <v>71</v>
      </c>
      <c r="E3107" t="s">
        <v>72</v>
      </c>
      <c r="F3107" t="s">
        <v>79</v>
      </c>
    </row>
    <row r="3108" spans="1:6" x14ac:dyDescent="0.45">
      <c r="A3108">
        <v>0</v>
      </c>
      <c r="B3108">
        <v>13</v>
      </c>
      <c r="C3108">
        <v>45562</v>
      </c>
      <c r="D3108" t="s">
        <v>71</v>
      </c>
      <c r="E3108" t="s">
        <v>74</v>
      </c>
      <c r="F3108" t="s">
        <v>79</v>
      </c>
    </row>
    <row r="3109" spans="1:6" x14ac:dyDescent="0.45">
      <c r="A3109">
        <v>46</v>
      </c>
      <c r="B3109">
        <v>13</v>
      </c>
      <c r="C3109">
        <v>45760</v>
      </c>
      <c r="D3109" t="s">
        <v>71</v>
      </c>
      <c r="E3109" t="s">
        <v>74</v>
      </c>
      <c r="F3109" t="s">
        <v>79</v>
      </c>
    </row>
    <row r="3110" spans="1:6" x14ac:dyDescent="0.45">
      <c r="A3110">
        <v>0</v>
      </c>
      <c r="B3110">
        <v>13</v>
      </c>
      <c r="C3110">
        <v>46000</v>
      </c>
      <c r="D3110" t="s">
        <v>71</v>
      </c>
      <c r="E3110" t="s">
        <v>72</v>
      </c>
      <c r="F3110" t="s">
        <v>79</v>
      </c>
    </row>
    <row r="3111" spans="1:6" x14ac:dyDescent="0.45">
      <c r="A3111">
        <v>50</v>
      </c>
      <c r="B3111">
        <v>13</v>
      </c>
      <c r="C3111">
        <v>46000</v>
      </c>
      <c r="D3111" t="s">
        <v>71</v>
      </c>
      <c r="E3111" t="s">
        <v>72</v>
      </c>
      <c r="F3111" t="s">
        <v>79</v>
      </c>
    </row>
    <row r="3112" spans="1:6" x14ac:dyDescent="0.45">
      <c r="A3112">
        <v>48</v>
      </c>
      <c r="B3112">
        <v>13</v>
      </c>
      <c r="C3112">
        <v>46000</v>
      </c>
      <c r="D3112" t="s">
        <v>76</v>
      </c>
      <c r="E3112" t="s">
        <v>74</v>
      </c>
      <c r="F3112" t="s">
        <v>79</v>
      </c>
    </row>
    <row r="3113" spans="1:6" x14ac:dyDescent="0.45">
      <c r="A3113">
        <v>40</v>
      </c>
      <c r="B3113">
        <v>13</v>
      </c>
      <c r="C3113">
        <v>46000</v>
      </c>
      <c r="D3113" t="s">
        <v>71</v>
      </c>
      <c r="E3113" t="s">
        <v>74</v>
      </c>
      <c r="F3113" t="s">
        <v>79</v>
      </c>
    </row>
    <row r="3114" spans="1:6" x14ac:dyDescent="0.45">
      <c r="A3114">
        <v>0</v>
      </c>
      <c r="B3114">
        <v>13</v>
      </c>
      <c r="C3114">
        <v>46000</v>
      </c>
      <c r="D3114" t="s">
        <v>71</v>
      </c>
      <c r="E3114" t="s">
        <v>72</v>
      </c>
      <c r="F3114" t="s">
        <v>79</v>
      </c>
    </row>
    <row r="3115" spans="1:6" x14ac:dyDescent="0.45">
      <c r="A3115">
        <v>40</v>
      </c>
      <c r="B3115">
        <v>13</v>
      </c>
      <c r="C3115">
        <v>46000</v>
      </c>
      <c r="D3115" t="s">
        <v>71</v>
      </c>
      <c r="E3115" t="s">
        <v>74</v>
      </c>
      <c r="F3115" t="s">
        <v>79</v>
      </c>
    </row>
    <row r="3116" spans="1:6" x14ac:dyDescent="0.45">
      <c r="A3116">
        <v>40</v>
      </c>
      <c r="B3116">
        <v>13</v>
      </c>
      <c r="C3116">
        <v>46000</v>
      </c>
      <c r="D3116" t="s">
        <v>71</v>
      </c>
      <c r="E3116" t="s">
        <v>74</v>
      </c>
      <c r="F3116" t="s">
        <v>79</v>
      </c>
    </row>
    <row r="3117" spans="1:6" x14ac:dyDescent="0.45">
      <c r="A3117">
        <v>50</v>
      </c>
      <c r="B3117">
        <v>13</v>
      </c>
      <c r="C3117">
        <v>46000</v>
      </c>
      <c r="D3117" t="s">
        <v>71</v>
      </c>
      <c r="E3117" t="s">
        <v>74</v>
      </c>
      <c r="F3117" t="s">
        <v>79</v>
      </c>
    </row>
    <row r="3118" spans="1:6" x14ac:dyDescent="0.45">
      <c r="A3118">
        <v>60</v>
      </c>
      <c r="B3118">
        <v>13</v>
      </c>
      <c r="C3118">
        <v>46500</v>
      </c>
      <c r="D3118" t="s">
        <v>71</v>
      </c>
      <c r="E3118" t="s">
        <v>74</v>
      </c>
      <c r="F3118" t="s">
        <v>79</v>
      </c>
    </row>
    <row r="3119" spans="1:6" x14ac:dyDescent="0.45">
      <c r="A3119">
        <v>40</v>
      </c>
      <c r="B3119">
        <v>13</v>
      </c>
      <c r="C3119">
        <v>46636</v>
      </c>
      <c r="D3119" t="s">
        <v>71</v>
      </c>
      <c r="E3119" t="s">
        <v>74</v>
      </c>
      <c r="F3119" t="s">
        <v>79</v>
      </c>
    </row>
    <row r="3120" spans="1:6" x14ac:dyDescent="0.45">
      <c r="A3120">
        <v>0</v>
      </c>
      <c r="B3120">
        <v>13</v>
      </c>
      <c r="C3120">
        <v>46636</v>
      </c>
      <c r="D3120" t="s">
        <v>71</v>
      </c>
      <c r="E3120" t="s">
        <v>74</v>
      </c>
      <c r="F3120" t="s">
        <v>79</v>
      </c>
    </row>
    <row r="3121" spans="1:6" x14ac:dyDescent="0.45">
      <c r="A3121">
        <v>40</v>
      </c>
      <c r="B3121">
        <v>13</v>
      </c>
      <c r="C3121">
        <v>46821</v>
      </c>
      <c r="D3121" t="s">
        <v>71</v>
      </c>
      <c r="E3121" t="s">
        <v>74</v>
      </c>
      <c r="F3121" t="s">
        <v>79</v>
      </c>
    </row>
    <row r="3122" spans="1:6" x14ac:dyDescent="0.45">
      <c r="A3122">
        <v>40</v>
      </c>
      <c r="B3122">
        <v>13</v>
      </c>
      <c r="C3122">
        <v>47000</v>
      </c>
      <c r="D3122" t="s">
        <v>71</v>
      </c>
      <c r="E3122" t="s">
        <v>74</v>
      </c>
      <c r="F3122" t="s">
        <v>79</v>
      </c>
    </row>
    <row r="3123" spans="1:6" x14ac:dyDescent="0.45">
      <c r="A3123">
        <v>40</v>
      </c>
      <c r="B3123">
        <v>13</v>
      </c>
      <c r="C3123">
        <v>47635</v>
      </c>
      <c r="D3123" t="s">
        <v>71</v>
      </c>
      <c r="E3123" t="s">
        <v>72</v>
      </c>
      <c r="F3123" t="s">
        <v>79</v>
      </c>
    </row>
    <row r="3124" spans="1:6" x14ac:dyDescent="0.45">
      <c r="A3124">
        <v>65</v>
      </c>
      <c r="B3124">
        <v>13</v>
      </c>
      <c r="C3124">
        <v>47800</v>
      </c>
      <c r="D3124" t="s">
        <v>71</v>
      </c>
      <c r="E3124" t="s">
        <v>74</v>
      </c>
      <c r="F3124" t="s">
        <v>79</v>
      </c>
    </row>
    <row r="3125" spans="1:6" x14ac:dyDescent="0.45">
      <c r="A3125">
        <v>40</v>
      </c>
      <c r="B3125">
        <v>13</v>
      </c>
      <c r="C3125">
        <v>48000</v>
      </c>
      <c r="D3125" t="s">
        <v>76</v>
      </c>
      <c r="E3125" t="s">
        <v>72</v>
      </c>
      <c r="F3125" t="s">
        <v>79</v>
      </c>
    </row>
    <row r="3126" spans="1:6" x14ac:dyDescent="0.45">
      <c r="A3126">
        <v>0</v>
      </c>
      <c r="B3126">
        <v>13</v>
      </c>
      <c r="C3126">
        <v>48000</v>
      </c>
      <c r="D3126" t="s">
        <v>71</v>
      </c>
      <c r="E3126" t="s">
        <v>74</v>
      </c>
      <c r="F3126" t="s">
        <v>79</v>
      </c>
    </row>
    <row r="3127" spans="1:6" x14ac:dyDescent="0.45">
      <c r="A3127">
        <v>40</v>
      </c>
      <c r="B3127">
        <v>13</v>
      </c>
      <c r="C3127">
        <v>48000</v>
      </c>
      <c r="D3127" t="s">
        <v>71</v>
      </c>
      <c r="E3127" t="s">
        <v>74</v>
      </c>
      <c r="F3127" t="s">
        <v>79</v>
      </c>
    </row>
    <row r="3128" spans="1:6" x14ac:dyDescent="0.45">
      <c r="A3128">
        <v>40</v>
      </c>
      <c r="B3128">
        <v>13</v>
      </c>
      <c r="C3128">
        <v>48000</v>
      </c>
      <c r="D3128" t="s">
        <v>71</v>
      </c>
      <c r="E3128" t="s">
        <v>74</v>
      </c>
      <c r="F3128" t="s">
        <v>79</v>
      </c>
    </row>
    <row r="3129" spans="1:6" x14ac:dyDescent="0.45">
      <c r="A3129">
        <v>45</v>
      </c>
      <c r="B3129">
        <v>13</v>
      </c>
      <c r="C3129">
        <v>48000</v>
      </c>
      <c r="D3129" t="s">
        <v>71</v>
      </c>
      <c r="E3129" t="s">
        <v>74</v>
      </c>
      <c r="F3129" t="s">
        <v>79</v>
      </c>
    </row>
    <row r="3130" spans="1:6" x14ac:dyDescent="0.45">
      <c r="A3130">
        <v>50</v>
      </c>
      <c r="B3130">
        <v>13</v>
      </c>
      <c r="C3130">
        <v>48000</v>
      </c>
      <c r="D3130" t="s">
        <v>71</v>
      </c>
      <c r="E3130" t="s">
        <v>74</v>
      </c>
      <c r="F3130" t="s">
        <v>79</v>
      </c>
    </row>
    <row r="3131" spans="1:6" x14ac:dyDescent="0.45">
      <c r="A3131">
        <v>70</v>
      </c>
      <c r="B3131">
        <v>13</v>
      </c>
      <c r="C3131">
        <v>48000</v>
      </c>
      <c r="D3131" t="s">
        <v>71</v>
      </c>
      <c r="E3131" t="s">
        <v>74</v>
      </c>
      <c r="F3131" t="s">
        <v>79</v>
      </c>
    </row>
    <row r="3132" spans="1:6" x14ac:dyDescent="0.45">
      <c r="A3132">
        <v>50</v>
      </c>
      <c r="B3132">
        <v>13</v>
      </c>
      <c r="C3132">
        <v>48000</v>
      </c>
      <c r="D3132" t="s">
        <v>71</v>
      </c>
      <c r="E3132" t="s">
        <v>74</v>
      </c>
      <c r="F3132" t="s">
        <v>79</v>
      </c>
    </row>
    <row r="3133" spans="1:6" x14ac:dyDescent="0.45">
      <c r="A3133">
        <v>40</v>
      </c>
      <c r="B3133">
        <v>13</v>
      </c>
      <c r="C3133">
        <v>48000</v>
      </c>
      <c r="D3133" t="s">
        <v>71</v>
      </c>
      <c r="E3133" t="s">
        <v>72</v>
      </c>
      <c r="F3133" t="s">
        <v>79</v>
      </c>
    </row>
    <row r="3134" spans="1:6" x14ac:dyDescent="0.45">
      <c r="A3134">
        <v>56</v>
      </c>
      <c r="B3134">
        <v>13</v>
      </c>
      <c r="C3134">
        <v>48000</v>
      </c>
      <c r="D3134" t="s">
        <v>71</v>
      </c>
      <c r="E3134" t="s">
        <v>74</v>
      </c>
      <c r="F3134" t="s">
        <v>79</v>
      </c>
    </row>
    <row r="3135" spans="1:6" x14ac:dyDescent="0.45">
      <c r="A3135">
        <v>56</v>
      </c>
      <c r="B3135">
        <v>13</v>
      </c>
      <c r="C3135">
        <v>48000</v>
      </c>
      <c r="D3135" t="s">
        <v>71</v>
      </c>
      <c r="E3135" t="s">
        <v>74</v>
      </c>
      <c r="F3135" t="s">
        <v>79</v>
      </c>
    </row>
    <row r="3136" spans="1:6" x14ac:dyDescent="0.45">
      <c r="A3136">
        <v>42</v>
      </c>
      <c r="B3136">
        <v>13</v>
      </c>
      <c r="C3136">
        <v>48500</v>
      </c>
      <c r="D3136" t="s">
        <v>71</v>
      </c>
      <c r="E3136" t="s">
        <v>74</v>
      </c>
      <c r="F3136" t="s">
        <v>79</v>
      </c>
    </row>
    <row r="3137" spans="1:6" x14ac:dyDescent="0.45">
      <c r="A3137">
        <v>40</v>
      </c>
      <c r="B3137">
        <v>13</v>
      </c>
      <c r="C3137">
        <v>48916</v>
      </c>
      <c r="D3137" t="s">
        <v>71</v>
      </c>
      <c r="E3137" t="s">
        <v>74</v>
      </c>
      <c r="F3137" t="s">
        <v>79</v>
      </c>
    </row>
    <row r="3138" spans="1:6" x14ac:dyDescent="0.45">
      <c r="A3138">
        <v>50</v>
      </c>
      <c r="B3138">
        <v>13</v>
      </c>
      <c r="C3138">
        <v>48916</v>
      </c>
      <c r="D3138" t="s">
        <v>71</v>
      </c>
      <c r="E3138" t="s">
        <v>74</v>
      </c>
      <c r="F3138" t="s">
        <v>79</v>
      </c>
    </row>
    <row r="3139" spans="1:6" x14ac:dyDescent="0.45">
      <c r="A3139">
        <v>45</v>
      </c>
      <c r="B3139">
        <v>13</v>
      </c>
      <c r="C3139">
        <v>49000</v>
      </c>
      <c r="D3139" t="s">
        <v>71</v>
      </c>
      <c r="E3139" t="s">
        <v>74</v>
      </c>
      <c r="F3139" t="s">
        <v>79</v>
      </c>
    </row>
    <row r="3140" spans="1:6" x14ac:dyDescent="0.45">
      <c r="A3140">
        <v>50</v>
      </c>
      <c r="B3140">
        <v>13</v>
      </c>
      <c r="C3140">
        <v>49000</v>
      </c>
      <c r="D3140" t="s">
        <v>71</v>
      </c>
      <c r="E3140" t="s">
        <v>74</v>
      </c>
      <c r="F3140" t="s">
        <v>79</v>
      </c>
    </row>
    <row r="3141" spans="1:6" x14ac:dyDescent="0.45">
      <c r="A3141">
        <v>40</v>
      </c>
      <c r="B3141">
        <v>13</v>
      </c>
      <c r="C3141">
        <v>49000</v>
      </c>
      <c r="D3141" t="s">
        <v>71</v>
      </c>
      <c r="E3141" t="s">
        <v>74</v>
      </c>
      <c r="F3141" t="s">
        <v>79</v>
      </c>
    </row>
    <row r="3142" spans="1:6" x14ac:dyDescent="0.45">
      <c r="A3142">
        <v>40</v>
      </c>
      <c r="B3142">
        <v>13</v>
      </c>
      <c r="C3142">
        <v>49000</v>
      </c>
      <c r="D3142" t="s">
        <v>76</v>
      </c>
      <c r="E3142" t="s">
        <v>72</v>
      </c>
      <c r="F3142" t="s">
        <v>79</v>
      </c>
    </row>
    <row r="3143" spans="1:6" x14ac:dyDescent="0.45">
      <c r="A3143">
        <v>50</v>
      </c>
      <c r="B3143">
        <v>13</v>
      </c>
      <c r="C3143">
        <v>49000</v>
      </c>
      <c r="D3143" t="s">
        <v>71</v>
      </c>
      <c r="E3143" t="s">
        <v>74</v>
      </c>
      <c r="F3143" t="s">
        <v>79</v>
      </c>
    </row>
    <row r="3144" spans="1:6" x14ac:dyDescent="0.45">
      <c r="A3144">
        <v>40</v>
      </c>
      <c r="B3144">
        <v>13</v>
      </c>
      <c r="C3144">
        <v>49000</v>
      </c>
      <c r="D3144" t="s">
        <v>71</v>
      </c>
      <c r="E3144" t="s">
        <v>72</v>
      </c>
      <c r="F3144" t="s">
        <v>79</v>
      </c>
    </row>
    <row r="3145" spans="1:6" x14ac:dyDescent="0.45">
      <c r="A3145">
        <v>40</v>
      </c>
      <c r="B3145">
        <v>13</v>
      </c>
      <c r="C3145">
        <v>49800</v>
      </c>
      <c r="D3145" t="s">
        <v>71</v>
      </c>
      <c r="E3145" t="s">
        <v>74</v>
      </c>
      <c r="F3145" t="s">
        <v>79</v>
      </c>
    </row>
    <row r="3146" spans="1:6" x14ac:dyDescent="0.45">
      <c r="A3146">
        <v>40</v>
      </c>
      <c r="B3146">
        <v>13</v>
      </c>
      <c r="C3146">
        <v>50000</v>
      </c>
      <c r="D3146" t="s">
        <v>71</v>
      </c>
      <c r="E3146" t="s">
        <v>74</v>
      </c>
      <c r="F3146" t="s">
        <v>79</v>
      </c>
    </row>
    <row r="3147" spans="1:6" x14ac:dyDescent="0.45">
      <c r="A3147">
        <v>45</v>
      </c>
      <c r="B3147">
        <v>13</v>
      </c>
      <c r="C3147">
        <v>50000</v>
      </c>
      <c r="D3147" t="s">
        <v>71</v>
      </c>
      <c r="E3147" t="s">
        <v>74</v>
      </c>
      <c r="F3147" t="s">
        <v>79</v>
      </c>
    </row>
    <row r="3148" spans="1:6" x14ac:dyDescent="0.45">
      <c r="A3148">
        <v>40</v>
      </c>
      <c r="B3148">
        <v>13</v>
      </c>
      <c r="C3148">
        <v>50000</v>
      </c>
      <c r="D3148" t="s">
        <v>71</v>
      </c>
      <c r="E3148" t="s">
        <v>74</v>
      </c>
      <c r="F3148" t="s">
        <v>79</v>
      </c>
    </row>
    <row r="3149" spans="1:6" x14ac:dyDescent="0.45">
      <c r="A3149">
        <v>40</v>
      </c>
      <c r="B3149">
        <v>13</v>
      </c>
      <c r="C3149">
        <v>50000</v>
      </c>
      <c r="D3149" t="s">
        <v>71</v>
      </c>
      <c r="E3149" t="s">
        <v>74</v>
      </c>
      <c r="F3149" t="s">
        <v>79</v>
      </c>
    </row>
    <row r="3150" spans="1:6" x14ac:dyDescent="0.45">
      <c r="A3150">
        <v>40</v>
      </c>
      <c r="B3150">
        <v>13</v>
      </c>
      <c r="C3150">
        <v>50000</v>
      </c>
      <c r="D3150" t="s">
        <v>71</v>
      </c>
      <c r="E3150" t="s">
        <v>74</v>
      </c>
      <c r="F3150" t="s">
        <v>79</v>
      </c>
    </row>
    <row r="3151" spans="1:6" x14ac:dyDescent="0.45">
      <c r="A3151">
        <v>45</v>
      </c>
      <c r="B3151">
        <v>13</v>
      </c>
      <c r="C3151">
        <v>50000</v>
      </c>
      <c r="D3151" t="s">
        <v>71</v>
      </c>
      <c r="E3151" t="s">
        <v>72</v>
      </c>
      <c r="F3151" t="s">
        <v>79</v>
      </c>
    </row>
    <row r="3152" spans="1:6" x14ac:dyDescent="0.45">
      <c r="A3152">
        <v>36</v>
      </c>
      <c r="B3152">
        <v>13</v>
      </c>
      <c r="C3152">
        <v>50000</v>
      </c>
      <c r="D3152" t="s">
        <v>71</v>
      </c>
      <c r="E3152" t="s">
        <v>72</v>
      </c>
      <c r="F3152" t="s">
        <v>79</v>
      </c>
    </row>
    <row r="3153" spans="1:6" x14ac:dyDescent="0.45">
      <c r="A3153">
        <v>50</v>
      </c>
      <c r="B3153">
        <v>13</v>
      </c>
      <c r="C3153">
        <v>50000</v>
      </c>
      <c r="D3153" t="s">
        <v>71</v>
      </c>
      <c r="E3153" t="s">
        <v>74</v>
      </c>
      <c r="F3153" t="s">
        <v>79</v>
      </c>
    </row>
    <row r="3154" spans="1:6" x14ac:dyDescent="0.45">
      <c r="A3154">
        <v>40</v>
      </c>
      <c r="B3154">
        <v>13</v>
      </c>
      <c r="C3154">
        <v>50000</v>
      </c>
      <c r="D3154" t="s">
        <v>75</v>
      </c>
      <c r="E3154" t="s">
        <v>72</v>
      </c>
      <c r="F3154" t="s">
        <v>79</v>
      </c>
    </row>
    <row r="3155" spans="1:6" x14ac:dyDescent="0.45">
      <c r="A3155">
        <v>40</v>
      </c>
      <c r="B3155">
        <v>13</v>
      </c>
      <c r="C3155">
        <v>50000</v>
      </c>
      <c r="D3155" t="s">
        <v>71</v>
      </c>
      <c r="E3155" t="s">
        <v>74</v>
      </c>
      <c r="F3155" t="s">
        <v>79</v>
      </c>
    </row>
    <row r="3156" spans="1:6" x14ac:dyDescent="0.45">
      <c r="A3156">
        <v>40</v>
      </c>
      <c r="B3156">
        <v>13</v>
      </c>
      <c r="C3156">
        <v>50000</v>
      </c>
      <c r="D3156" t="s">
        <v>76</v>
      </c>
      <c r="E3156" t="s">
        <v>72</v>
      </c>
      <c r="F3156" t="s">
        <v>79</v>
      </c>
    </row>
    <row r="3157" spans="1:6" x14ac:dyDescent="0.45">
      <c r="A3157">
        <v>40</v>
      </c>
      <c r="B3157">
        <v>13</v>
      </c>
      <c r="C3157">
        <v>50000</v>
      </c>
      <c r="D3157" t="s">
        <v>71</v>
      </c>
      <c r="E3157" t="s">
        <v>74</v>
      </c>
      <c r="F3157" t="s">
        <v>79</v>
      </c>
    </row>
    <row r="3158" spans="1:6" x14ac:dyDescent="0.45">
      <c r="A3158">
        <v>60</v>
      </c>
      <c r="B3158">
        <v>13</v>
      </c>
      <c r="C3158">
        <v>50000</v>
      </c>
      <c r="D3158" t="s">
        <v>71</v>
      </c>
      <c r="E3158" t="s">
        <v>74</v>
      </c>
      <c r="F3158" t="s">
        <v>79</v>
      </c>
    </row>
    <row r="3159" spans="1:6" x14ac:dyDescent="0.45">
      <c r="A3159">
        <v>40</v>
      </c>
      <c r="B3159">
        <v>13</v>
      </c>
      <c r="C3159">
        <v>50000</v>
      </c>
      <c r="D3159" t="s">
        <v>71</v>
      </c>
      <c r="E3159" t="s">
        <v>74</v>
      </c>
      <c r="F3159" t="s">
        <v>79</v>
      </c>
    </row>
    <row r="3160" spans="1:6" x14ac:dyDescent="0.45">
      <c r="A3160">
        <v>40</v>
      </c>
      <c r="B3160">
        <v>13</v>
      </c>
      <c r="C3160">
        <v>50000</v>
      </c>
      <c r="D3160" t="s">
        <v>71</v>
      </c>
      <c r="E3160" t="s">
        <v>74</v>
      </c>
      <c r="F3160" t="s">
        <v>79</v>
      </c>
    </row>
    <row r="3161" spans="1:6" x14ac:dyDescent="0.45">
      <c r="A3161">
        <v>52</v>
      </c>
      <c r="B3161">
        <v>13</v>
      </c>
      <c r="C3161">
        <v>50000</v>
      </c>
      <c r="D3161" t="s">
        <v>71</v>
      </c>
      <c r="E3161" t="s">
        <v>74</v>
      </c>
      <c r="F3161" t="s">
        <v>79</v>
      </c>
    </row>
    <row r="3162" spans="1:6" x14ac:dyDescent="0.45">
      <c r="A3162">
        <v>50</v>
      </c>
      <c r="B3162">
        <v>13</v>
      </c>
      <c r="C3162">
        <v>50000</v>
      </c>
      <c r="D3162" t="s">
        <v>71</v>
      </c>
      <c r="E3162" t="s">
        <v>74</v>
      </c>
      <c r="F3162" t="s">
        <v>79</v>
      </c>
    </row>
    <row r="3163" spans="1:6" x14ac:dyDescent="0.45">
      <c r="A3163">
        <v>40</v>
      </c>
      <c r="B3163">
        <v>13</v>
      </c>
      <c r="C3163">
        <v>50000</v>
      </c>
      <c r="D3163" t="s">
        <v>71</v>
      </c>
      <c r="E3163" t="s">
        <v>74</v>
      </c>
      <c r="F3163" t="s">
        <v>79</v>
      </c>
    </row>
    <row r="3164" spans="1:6" x14ac:dyDescent="0.45">
      <c r="A3164">
        <v>0</v>
      </c>
      <c r="B3164">
        <v>13</v>
      </c>
      <c r="C3164">
        <v>50000</v>
      </c>
      <c r="D3164" t="s">
        <v>71</v>
      </c>
      <c r="E3164" t="s">
        <v>74</v>
      </c>
      <c r="F3164" t="s">
        <v>79</v>
      </c>
    </row>
    <row r="3165" spans="1:6" x14ac:dyDescent="0.45">
      <c r="A3165">
        <v>40</v>
      </c>
      <c r="B3165">
        <v>13</v>
      </c>
      <c r="C3165">
        <v>50000</v>
      </c>
      <c r="D3165" t="s">
        <v>76</v>
      </c>
      <c r="E3165" t="s">
        <v>74</v>
      </c>
      <c r="F3165" t="s">
        <v>79</v>
      </c>
    </row>
    <row r="3166" spans="1:6" x14ac:dyDescent="0.45">
      <c r="A3166">
        <v>40</v>
      </c>
      <c r="B3166">
        <v>13</v>
      </c>
      <c r="C3166">
        <v>50000</v>
      </c>
      <c r="D3166" t="s">
        <v>76</v>
      </c>
      <c r="E3166" t="s">
        <v>74</v>
      </c>
      <c r="F3166" t="s">
        <v>79</v>
      </c>
    </row>
    <row r="3167" spans="1:6" x14ac:dyDescent="0.45">
      <c r="A3167">
        <v>40</v>
      </c>
      <c r="B3167">
        <v>13</v>
      </c>
      <c r="C3167">
        <v>50000</v>
      </c>
      <c r="D3167" t="s">
        <v>71</v>
      </c>
      <c r="E3167" t="s">
        <v>74</v>
      </c>
      <c r="F3167" t="s">
        <v>79</v>
      </c>
    </row>
    <row r="3168" spans="1:6" x14ac:dyDescent="0.45">
      <c r="A3168">
        <v>50</v>
      </c>
      <c r="B3168">
        <v>13</v>
      </c>
      <c r="C3168">
        <v>50000</v>
      </c>
      <c r="D3168" t="s">
        <v>71</v>
      </c>
      <c r="E3168" t="s">
        <v>72</v>
      </c>
      <c r="F3168" t="s">
        <v>79</v>
      </c>
    </row>
    <row r="3169" spans="1:6" x14ac:dyDescent="0.45">
      <c r="A3169">
        <v>40</v>
      </c>
      <c r="B3169">
        <v>13</v>
      </c>
      <c r="C3169">
        <v>50000</v>
      </c>
      <c r="D3169" t="s">
        <v>71</v>
      </c>
      <c r="E3169" t="s">
        <v>74</v>
      </c>
      <c r="F3169" t="s">
        <v>79</v>
      </c>
    </row>
    <row r="3170" spans="1:6" x14ac:dyDescent="0.45">
      <c r="A3170">
        <v>40</v>
      </c>
      <c r="B3170">
        <v>13</v>
      </c>
      <c r="C3170">
        <v>50000</v>
      </c>
      <c r="D3170" t="s">
        <v>71</v>
      </c>
      <c r="E3170" t="s">
        <v>74</v>
      </c>
      <c r="F3170" t="s">
        <v>79</v>
      </c>
    </row>
    <row r="3171" spans="1:6" x14ac:dyDescent="0.45">
      <c r="A3171">
        <v>55</v>
      </c>
      <c r="B3171">
        <v>13</v>
      </c>
      <c r="C3171">
        <v>50000</v>
      </c>
      <c r="D3171" t="s">
        <v>71</v>
      </c>
      <c r="E3171" t="s">
        <v>74</v>
      </c>
      <c r="F3171" t="s">
        <v>79</v>
      </c>
    </row>
    <row r="3172" spans="1:6" x14ac:dyDescent="0.45">
      <c r="A3172">
        <v>40</v>
      </c>
      <c r="B3172">
        <v>13</v>
      </c>
      <c r="C3172">
        <v>50000</v>
      </c>
      <c r="D3172" t="s">
        <v>76</v>
      </c>
      <c r="E3172" t="s">
        <v>74</v>
      </c>
      <c r="F3172" t="s">
        <v>79</v>
      </c>
    </row>
    <row r="3173" spans="1:6" x14ac:dyDescent="0.45">
      <c r="A3173">
        <v>40</v>
      </c>
      <c r="B3173">
        <v>13</v>
      </c>
      <c r="C3173">
        <v>50000</v>
      </c>
      <c r="D3173" t="s">
        <v>76</v>
      </c>
      <c r="E3173" t="s">
        <v>72</v>
      </c>
      <c r="F3173" t="s">
        <v>79</v>
      </c>
    </row>
    <row r="3174" spans="1:6" x14ac:dyDescent="0.45">
      <c r="A3174">
        <v>60</v>
      </c>
      <c r="B3174">
        <v>13</v>
      </c>
      <c r="C3174">
        <v>50000</v>
      </c>
      <c r="D3174" t="s">
        <v>71</v>
      </c>
      <c r="E3174" t="s">
        <v>74</v>
      </c>
      <c r="F3174" t="s">
        <v>79</v>
      </c>
    </row>
    <row r="3175" spans="1:6" x14ac:dyDescent="0.45">
      <c r="A3175">
        <v>50</v>
      </c>
      <c r="B3175">
        <v>13</v>
      </c>
      <c r="C3175">
        <v>50000</v>
      </c>
      <c r="D3175" t="s">
        <v>71</v>
      </c>
      <c r="E3175" t="s">
        <v>74</v>
      </c>
      <c r="F3175" t="s">
        <v>79</v>
      </c>
    </row>
    <row r="3176" spans="1:6" x14ac:dyDescent="0.45">
      <c r="A3176">
        <v>40</v>
      </c>
      <c r="B3176">
        <v>13</v>
      </c>
      <c r="C3176">
        <v>50000</v>
      </c>
      <c r="D3176" t="s">
        <v>71</v>
      </c>
      <c r="E3176" t="s">
        <v>72</v>
      </c>
      <c r="F3176" t="s">
        <v>79</v>
      </c>
    </row>
    <row r="3177" spans="1:6" x14ac:dyDescent="0.45">
      <c r="A3177">
        <v>35</v>
      </c>
      <c r="B3177">
        <v>13</v>
      </c>
      <c r="C3177">
        <v>50000</v>
      </c>
      <c r="D3177" t="s">
        <v>71</v>
      </c>
      <c r="E3177" t="s">
        <v>72</v>
      </c>
      <c r="F3177" t="s">
        <v>79</v>
      </c>
    </row>
    <row r="3178" spans="1:6" x14ac:dyDescent="0.45">
      <c r="A3178">
        <v>70</v>
      </c>
      <c r="B3178">
        <v>13</v>
      </c>
      <c r="C3178">
        <v>50000</v>
      </c>
      <c r="D3178" t="s">
        <v>71</v>
      </c>
      <c r="E3178" t="s">
        <v>74</v>
      </c>
      <c r="F3178" t="s">
        <v>79</v>
      </c>
    </row>
    <row r="3179" spans="1:6" x14ac:dyDescent="0.45">
      <c r="A3179">
        <v>40</v>
      </c>
      <c r="B3179">
        <v>13</v>
      </c>
      <c r="C3179">
        <v>50000</v>
      </c>
      <c r="D3179" t="s">
        <v>71</v>
      </c>
      <c r="E3179" t="s">
        <v>74</v>
      </c>
      <c r="F3179" t="s">
        <v>79</v>
      </c>
    </row>
    <row r="3180" spans="1:6" x14ac:dyDescent="0.45">
      <c r="A3180">
        <v>0</v>
      </c>
      <c r="B3180">
        <v>13</v>
      </c>
      <c r="C3180">
        <v>50000</v>
      </c>
      <c r="D3180" t="s">
        <v>71</v>
      </c>
      <c r="E3180" t="s">
        <v>74</v>
      </c>
      <c r="F3180" t="s">
        <v>79</v>
      </c>
    </row>
    <row r="3181" spans="1:6" x14ac:dyDescent="0.45">
      <c r="A3181">
        <v>50</v>
      </c>
      <c r="B3181">
        <v>13</v>
      </c>
      <c r="C3181">
        <v>50000</v>
      </c>
      <c r="D3181" t="s">
        <v>71</v>
      </c>
      <c r="E3181" t="s">
        <v>74</v>
      </c>
      <c r="F3181" t="s">
        <v>79</v>
      </c>
    </row>
    <row r="3182" spans="1:6" x14ac:dyDescent="0.45">
      <c r="A3182">
        <v>40</v>
      </c>
      <c r="B3182">
        <v>13</v>
      </c>
      <c r="C3182">
        <v>50000</v>
      </c>
      <c r="D3182" t="s">
        <v>71</v>
      </c>
      <c r="E3182" t="s">
        <v>74</v>
      </c>
      <c r="F3182" t="s">
        <v>79</v>
      </c>
    </row>
    <row r="3183" spans="1:6" x14ac:dyDescent="0.45">
      <c r="A3183">
        <v>45</v>
      </c>
      <c r="B3183">
        <v>13</v>
      </c>
      <c r="C3183">
        <v>50000</v>
      </c>
      <c r="D3183" t="s">
        <v>71</v>
      </c>
      <c r="E3183" t="s">
        <v>74</v>
      </c>
      <c r="F3183" t="s">
        <v>79</v>
      </c>
    </row>
    <row r="3184" spans="1:6" x14ac:dyDescent="0.45">
      <c r="A3184">
        <v>45</v>
      </c>
      <c r="B3184">
        <v>13</v>
      </c>
      <c r="C3184">
        <v>50000</v>
      </c>
      <c r="D3184" t="s">
        <v>71</v>
      </c>
      <c r="E3184" t="s">
        <v>74</v>
      </c>
      <c r="F3184" t="s">
        <v>79</v>
      </c>
    </row>
    <row r="3185" spans="1:6" x14ac:dyDescent="0.45">
      <c r="A3185">
        <v>40</v>
      </c>
      <c r="B3185">
        <v>13</v>
      </c>
      <c r="C3185">
        <v>50000</v>
      </c>
      <c r="D3185" t="s">
        <v>71</v>
      </c>
      <c r="E3185" t="s">
        <v>72</v>
      </c>
      <c r="F3185" t="s">
        <v>79</v>
      </c>
    </row>
    <row r="3186" spans="1:6" x14ac:dyDescent="0.45">
      <c r="A3186">
        <v>60</v>
      </c>
      <c r="B3186">
        <v>13</v>
      </c>
      <c r="C3186">
        <v>50000</v>
      </c>
      <c r="D3186" t="s">
        <v>71</v>
      </c>
      <c r="E3186" t="s">
        <v>74</v>
      </c>
      <c r="F3186" t="s">
        <v>79</v>
      </c>
    </row>
    <row r="3187" spans="1:6" x14ac:dyDescent="0.45">
      <c r="A3187">
        <v>40</v>
      </c>
      <c r="B3187">
        <v>13</v>
      </c>
      <c r="C3187">
        <v>50000</v>
      </c>
      <c r="D3187" t="s">
        <v>71</v>
      </c>
      <c r="E3187" t="s">
        <v>74</v>
      </c>
      <c r="F3187" t="s">
        <v>79</v>
      </c>
    </row>
    <row r="3188" spans="1:6" x14ac:dyDescent="0.45">
      <c r="A3188">
        <v>56</v>
      </c>
      <c r="B3188">
        <v>13</v>
      </c>
      <c r="C3188">
        <v>50000</v>
      </c>
      <c r="D3188" t="s">
        <v>71</v>
      </c>
      <c r="E3188" t="s">
        <v>74</v>
      </c>
      <c r="F3188" t="s">
        <v>79</v>
      </c>
    </row>
    <row r="3189" spans="1:6" x14ac:dyDescent="0.45">
      <c r="A3189">
        <v>45</v>
      </c>
      <c r="B3189">
        <v>13</v>
      </c>
      <c r="C3189">
        <v>50000</v>
      </c>
      <c r="D3189" t="s">
        <v>71</v>
      </c>
      <c r="E3189" t="s">
        <v>74</v>
      </c>
      <c r="F3189" t="s">
        <v>79</v>
      </c>
    </row>
    <row r="3190" spans="1:6" x14ac:dyDescent="0.45">
      <c r="A3190">
        <v>40</v>
      </c>
      <c r="B3190">
        <v>13</v>
      </c>
      <c r="C3190">
        <v>50000</v>
      </c>
      <c r="D3190" t="s">
        <v>71</v>
      </c>
      <c r="E3190" t="s">
        <v>74</v>
      </c>
      <c r="F3190" t="s">
        <v>79</v>
      </c>
    </row>
    <row r="3191" spans="1:6" x14ac:dyDescent="0.45">
      <c r="A3191">
        <v>80</v>
      </c>
      <c r="B3191">
        <v>13</v>
      </c>
      <c r="C3191">
        <v>50000</v>
      </c>
      <c r="D3191" t="s">
        <v>71</v>
      </c>
      <c r="E3191" t="s">
        <v>74</v>
      </c>
      <c r="F3191" t="s">
        <v>79</v>
      </c>
    </row>
    <row r="3192" spans="1:6" x14ac:dyDescent="0.45">
      <c r="A3192">
        <v>60</v>
      </c>
      <c r="B3192">
        <v>13</v>
      </c>
      <c r="C3192">
        <v>50150</v>
      </c>
      <c r="D3192" t="s">
        <v>76</v>
      </c>
      <c r="E3192" t="s">
        <v>74</v>
      </c>
      <c r="F3192" t="s">
        <v>79</v>
      </c>
    </row>
    <row r="3193" spans="1:6" x14ac:dyDescent="0.45">
      <c r="A3193">
        <v>60</v>
      </c>
      <c r="B3193">
        <v>13</v>
      </c>
      <c r="C3193">
        <v>51000</v>
      </c>
      <c r="D3193" t="s">
        <v>76</v>
      </c>
      <c r="E3193" t="s">
        <v>74</v>
      </c>
      <c r="F3193" t="s">
        <v>79</v>
      </c>
    </row>
    <row r="3194" spans="1:6" x14ac:dyDescent="0.45">
      <c r="A3194">
        <v>40</v>
      </c>
      <c r="B3194">
        <v>13</v>
      </c>
      <c r="C3194">
        <v>51000</v>
      </c>
      <c r="D3194" t="s">
        <v>71</v>
      </c>
      <c r="E3194" t="s">
        <v>74</v>
      </c>
      <c r="F3194" t="s">
        <v>79</v>
      </c>
    </row>
    <row r="3195" spans="1:6" x14ac:dyDescent="0.45">
      <c r="A3195">
        <v>50</v>
      </c>
      <c r="B3195">
        <v>13</v>
      </c>
      <c r="C3195">
        <v>51000</v>
      </c>
      <c r="D3195" t="s">
        <v>71</v>
      </c>
      <c r="E3195" t="s">
        <v>72</v>
      </c>
      <c r="F3195" t="s">
        <v>79</v>
      </c>
    </row>
    <row r="3196" spans="1:6" x14ac:dyDescent="0.45">
      <c r="A3196">
        <v>40</v>
      </c>
      <c r="B3196">
        <v>13</v>
      </c>
      <c r="C3196">
        <v>51000</v>
      </c>
      <c r="D3196" t="s">
        <v>71</v>
      </c>
      <c r="E3196" t="s">
        <v>74</v>
      </c>
      <c r="F3196" t="s">
        <v>79</v>
      </c>
    </row>
    <row r="3197" spans="1:6" x14ac:dyDescent="0.45">
      <c r="A3197">
        <v>40</v>
      </c>
      <c r="B3197">
        <v>13</v>
      </c>
      <c r="C3197">
        <v>51000</v>
      </c>
      <c r="D3197" t="s">
        <v>76</v>
      </c>
      <c r="E3197" t="s">
        <v>72</v>
      </c>
      <c r="F3197" t="s">
        <v>79</v>
      </c>
    </row>
    <row r="3198" spans="1:6" x14ac:dyDescent="0.45">
      <c r="A3198">
        <v>50</v>
      </c>
      <c r="B3198">
        <v>13</v>
      </c>
      <c r="C3198">
        <v>51000</v>
      </c>
      <c r="D3198" t="s">
        <v>71</v>
      </c>
      <c r="E3198" t="s">
        <v>74</v>
      </c>
      <c r="F3198" t="s">
        <v>79</v>
      </c>
    </row>
    <row r="3199" spans="1:6" x14ac:dyDescent="0.45">
      <c r="A3199">
        <v>50</v>
      </c>
      <c r="B3199">
        <v>13</v>
      </c>
      <c r="C3199">
        <v>51000</v>
      </c>
      <c r="D3199" t="s">
        <v>71</v>
      </c>
      <c r="E3199" t="s">
        <v>74</v>
      </c>
      <c r="F3199" t="s">
        <v>79</v>
      </c>
    </row>
    <row r="3200" spans="1:6" x14ac:dyDescent="0.45">
      <c r="A3200">
        <v>40</v>
      </c>
      <c r="B3200">
        <v>13</v>
      </c>
      <c r="C3200">
        <v>51500</v>
      </c>
      <c r="D3200" t="s">
        <v>71</v>
      </c>
      <c r="E3200" t="s">
        <v>74</v>
      </c>
      <c r="F3200" t="s">
        <v>79</v>
      </c>
    </row>
    <row r="3201" spans="1:6" x14ac:dyDescent="0.45">
      <c r="A3201">
        <v>40</v>
      </c>
      <c r="B3201">
        <v>13</v>
      </c>
      <c r="C3201">
        <v>52000</v>
      </c>
      <c r="D3201" t="s">
        <v>71</v>
      </c>
      <c r="E3201" t="s">
        <v>72</v>
      </c>
      <c r="F3201" t="s">
        <v>79</v>
      </c>
    </row>
    <row r="3202" spans="1:6" x14ac:dyDescent="0.45">
      <c r="A3202">
        <v>51</v>
      </c>
      <c r="B3202">
        <v>13</v>
      </c>
      <c r="C3202">
        <v>52000</v>
      </c>
      <c r="D3202" t="s">
        <v>77</v>
      </c>
      <c r="E3202" t="s">
        <v>74</v>
      </c>
      <c r="F3202" t="s">
        <v>79</v>
      </c>
    </row>
    <row r="3203" spans="1:6" x14ac:dyDescent="0.45">
      <c r="A3203">
        <v>40</v>
      </c>
      <c r="B3203">
        <v>13</v>
      </c>
      <c r="C3203">
        <v>52000</v>
      </c>
      <c r="D3203" t="s">
        <v>71</v>
      </c>
      <c r="E3203" t="s">
        <v>74</v>
      </c>
      <c r="F3203" t="s">
        <v>79</v>
      </c>
    </row>
    <row r="3204" spans="1:6" x14ac:dyDescent="0.45">
      <c r="A3204">
        <v>40</v>
      </c>
      <c r="B3204">
        <v>13</v>
      </c>
      <c r="C3204">
        <v>52000</v>
      </c>
      <c r="D3204" t="s">
        <v>71</v>
      </c>
      <c r="E3204" t="s">
        <v>74</v>
      </c>
      <c r="F3204" t="s">
        <v>79</v>
      </c>
    </row>
    <row r="3205" spans="1:6" x14ac:dyDescent="0.45">
      <c r="A3205">
        <v>50</v>
      </c>
      <c r="B3205">
        <v>13</v>
      </c>
      <c r="C3205">
        <v>52000</v>
      </c>
      <c r="D3205" t="s">
        <v>71</v>
      </c>
      <c r="E3205" t="s">
        <v>74</v>
      </c>
      <c r="F3205" t="s">
        <v>79</v>
      </c>
    </row>
    <row r="3206" spans="1:6" x14ac:dyDescent="0.45">
      <c r="A3206">
        <v>40</v>
      </c>
      <c r="B3206">
        <v>13</v>
      </c>
      <c r="C3206">
        <v>52000</v>
      </c>
      <c r="D3206" t="s">
        <v>71</v>
      </c>
      <c r="E3206" t="s">
        <v>74</v>
      </c>
      <c r="F3206" t="s">
        <v>79</v>
      </c>
    </row>
    <row r="3207" spans="1:6" x14ac:dyDescent="0.45">
      <c r="A3207">
        <v>40</v>
      </c>
      <c r="B3207">
        <v>13</v>
      </c>
      <c r="C3207">
        <v>52000</v>
      </c>
      <c r="D3207" t="s">
        <v>71</v>
      </c>
      <c r="E3207" t="s">
        <v>74</v>
      </c>
      <c r="F3207" t="s">
        <v>79</v>
      </c>
    </row>
    <row r="3208" spans="1:6" x14ac:dyDescent="0.45">
      <c r="A3208">
        <v>40</v>
      </c>
      <c r="B3208">
        <v>13</v>
      </c>
      <c r="C3208">
        <v>52000</v>
      </c>
      <c r="D3208" t="s">
        <v>71</v>
      </c>
      <c r="E3208" t="s">
        <v>74</v>
      </c>
      <c r="F3208" t="s">
        <v>79</v>
      </c>
    </row>
    <row r="3209" spans="1:6" x14ac:dyDescent="0.45">
      <c r="A3209">
        <v>40</v>
      </c>
      <c r="B3209">
        <v>13</v>
      </c>
      <c r="C3209">
        <v>52000</v>
      </c>
      <c r="D3209" t="s">
        <v>71</v>
      </c>
      <c r="E3209" t="s">
        <v>74</v>
      </c>
      <c r="F3209" t="s">
        <v>79</v>
      </c>
    </row>
    <row r="3210" spans="1:6" x14ac:dyDescent="0.45">
      <c r="A3210">
        <v>40</v>
      </c>
      <c r="B3210">
        <v>13</v>
      </c>
      <c r="C3210">
        <v>52000</v>
      </c>
      <c r="D3210" t="s">
        <v>71</v>
      </c>
      <c r="E3210" t="s">
        <v>74</v>
      </c>
      <c r="F3210" t="s">
        <v>79</v>
      </c>
    </row>
    <row r="3211" spans="1:6" x14ac:dyDescent="0.45">
      <c r="A3211">
        <v>45</v>
      </c>
      <c r="B3211">
        <v>13</v>
      </c>
      <c r="C3211">
        <v>52000</v>
      </c>
      <c r="D3211" t="s">
        <v>76</v>
      </c>
      <c r="E3211" t="s">
        <v>74</v>
      </c>
      <c r="F3211" t="s">
        <v>79</v>
      </c>
    </row>
    <row r="3212" spans="1:6" x14ac:dyDescent="0.45">
      <c r="A3212">
        <v>40</v>
      </c>
      <c r="B3212">
        <v>13</v>
      </c>
      <c r="C3212">
        <v>52000</v>
      </c>
      <c r="D3212" t="s">
        <v>71</v>
      </c>
      <c r="E3212" t="s">
        <v>72</v>
      </c>
      <c r="F3212" t="s">
        <v>79</v>
      </c>
    </row>
    <row r="3213" spans="1:6" x14ac:dyDescent="0.45">
      <c r="A3213">
        <v>50</v>
      </c>
      <c r="B3213">
        <v>13</v>
      </c>
      <c r="C3213">
        <v>52000</v>
      </c>
      <c r="D3213" t="s">
        <v>71</v>
      </c>
      <c r="E3213" t="s">
        <v>74</v>
      </c>
      <c r="F3213" t="s">
        <v>79</v>
      </c>
    </row>
    <row r="3214" spans="1:6" x14ac:dyDescent="0.45">
      <c r="A3214">
        <v>90</v>
      </c>
      <c r="B3214">
        <v>13</v>
      </c>
      <c r="C3214">
        <v>52000</v>
      </c>
      <c r="D3214" t="s">
        <v>71</v>
      </c>
      <c r="E3214" t="s">
        <v>72</v>
      </c>
      <c r="F3214" t="s">
        <v>79</v>
      </c>
    </row>
    <row r="3215" spans="1:6" x14ac:dyDescent="0.45">
      <c r="A3215">
        <v>40</v>
      </c>
      <c r="B3215">
        <v>13</v>
      </c>
      <c r="C3215">
        <v>52000</v>
      </c>
      <c r="D3215" t="s">
        <v>71</v>
      </c>
      <c r="E3215" t="s">
        <v>74</v>
      </c>
      <c r="F3215" t="s">
        <v>79</v>
      </c>
    </row>
    <row r="3216" spans="1:6" x14ac:dyDescent="0.45">
      <c r="A3216">
        <v>40</v>
      </c>
      <c r="B3216">
        <v>13</v>
      </c>
      <c r="C3216">
        <v>52000</v>
      </c>
      <c r="D3216" t="s">
        <v>71</v>
      </c>
      <c r="E3216" t="s">
        <v>72</v>
      </c>
      <c r="F3216" t="s">
        <v>79</v>
      </c>
    </row>
    <row r="3217" spans="1:6" x14ac:dyDescent="0.45">
      <c r="A3217">
        <v>45</v>
      </c>
      <c r="B3217">
        <v>13</v>
      </c>
      <c r="C3217">
        <v>52200</v>
      </c>
      <c r="D3217" t="s">
        <v>71</v>
      </c>
      <c r="E3217" t="s">
        <v>74</v>
      </c>
      <c r="F3217" t="s">
        <v>79</v>
      </c>
    </row>
    <row r="3218" spans="1:6" x14ac:dyDescent="0.45">
      <c r="A3218">
        <v>40</v>
      </c>
      <c r="B3218">
        <v>13</v>
      </c>
      <c r="C3218">
        <v>52322</v>
      </c>
      <c r="D3218" t="s">
        <v>71</v>
      </c>
      <c r="E3218" t="s">
        <v>72</v>
      </c>
      <c r="F3218" t="s">
        <v>79</v>
      </c>
    </row>
    <row r="3219" spans="1:6" x14ac:dyDescent="0.45">
      <c r="A3219">
        <v>64</v>
      </c>
      <c r="B3219">
        <v>13</v>
      </c>
      <c r="C3219">
        <v>53000</v>
      </c>
      <c r="D3219" t="s">
        <v>71</v>
      </c>
      <c r="E3219" t="s">
        <v>74</v>
      </c>
      <c r="F3219" t="s">
        <v>79</v>
      </c>
    </row>
    <row r="3220" spans="1:6" x14ac:dyDescent="0.45">
      <c r="A3220">
        <v>45</v>
      </c>
      <c r="B3220">
        <v>13</v>
      </c>
      <c r="C3220">
        <v>53000</v>
      </c>
      <c r="D3220" t="s">
        <v>71</v>
      </c>
      <c r="E3220" t="s">
        <v>74</v>
      </c>
      <c r="F3220" t="s">
        <v>79</v>
      </c>
    </row>
    <row r="3221" spans="1:6" x14ac:dyDescent="0.45">
      <c r="A3221">
        <v>50</v>
      </c>
      <c r="B3221">
        <v>13</v>
      </c>
      <c r="C3221">
        <v>53000</v>
      </c>
      <c r="D3221" t="s">
        <v>71</v>
      </c>
      <c r="E3221" t="s">
        <v>72</v>
      </c>
      <c r="F3221" t="s">
        <v>79</v>
      </c>
    </row>
    <row r="3222" spans="1:6" x14ac:dyDescent="0.45">
      <c r="A3222">
        <v>50</v>
      </c>
      <c r="B3222">
        <v>13</v>
      </c>
      <c r="C3222">
        <v>53000</v>
      </c>
      <c r="D3222" t="s">
        <v>71</v>
      </c>
      <c r="E3222" t="s">
        <v>74</v>
      </c>
      <c r="F3222" t="s">
        <v>79</v>
      </c>
    </row>
    <row r="3223" spans="1:6" x14ac:dyDescent="0.45">
      <c r="A3223">
        <v>44</v>
      </c>
      <c r="B3223">
        <v>13</v>
      </c>
      <c r="C3223">
        <v>53200</v>
      </c>
      <c r="D3223" t="s">
        <v>71</v>
      </c>
      <c r="E3223" t="s">
        <v>74</v>
      </c>
      <c r="F3223" t="s">
        <v>79</v>
      </c>
    </row>
    <row r="3224" spans="1:6" x14ac:dyDescent="0.45">
      <c r="A3224">
        <v>54</v>
      </c>
      <c r="B3224">
        <v>13</v>
      </c>
      <c r="C3224">
        <v>53300</v>
      </c>
      <c r="D3224" t="s">
        <v>71</v>
      </c>
      <c r="E3224" t="s">
        <v>74</v>
      </c>
      <c r="F3224" t="s">
        <v>79</v>
      </c>
    </row>
    <row r="3225" spans="1:6" x14ac:dyDescent="0.45">
      <c r="A3225">
        <v>46</v>
      </c>
      <c r="B3225">
        <v>13</v>
      </c>
      <c r="C3225">
        <v>53560</v>
      </c>
      <c r="D3225" t="s">
        <v>71</v>
      </c>
      <c r="E3225" t="s">
        <v>74</v>
      </c>
      <c r="F3225" t="s">
        <v>79</v>
      </c>
    </row>
    <row r="3226" spans="1:6" x14ac:dyDescent="0.45">
      <c r="A3226">
        <v>60</v>
      </c>
      <c r="B3226">
        <v>13</v>
      </c>
      <c r="C3226">
        <v>54000</v>
      </c>
      <c r="D3226" t="s">
        <v>71</v>
      </c>
      <c r="E3226" t="s">
        <v>74</v>
      </c>
      <c r="F3226" t="s">
        <v>79</v>
      </c>
    </row>
    <row r="3227" spans="1:6" x14ac:dyDescent="0.45">
      <c r="A3227">
        <v>0</v>
      </c>
      <c r="B3227">
        <v>13</v>
      </c>
      <c r="C3227">
        <v>54000</v>
      </c>
      <c r="D3227" t="s">
        <v>71</v>
      </c>
      <c r="E3227" t="s">
        <v>74</v>
      </c>
      <c r="F3227" t="s">
        <v>79</v>
      </c>
    </row>
    <row r="3228" spans="1:6" x14ac:dyDescent="0.45">
      <c r="A3228">
        <v>50</v>
      </c>
      <c r="B3228">
        <v>13</v>
      </c>
      <c r="C3228">
        <v>55000</v>
      </c>
      <c r="D3228" t="s">
        <v>76</v>
      </c>
      <c r="E3228" t="s">
        <v>74</v>
      </c>
      <c r="F3228" t="s">
        <v>79</v>
      </c>
    </row>
    <row r="3229" spans="1:6" x14ac:dyDescent="0.45">
      <c r="A3229">
        <v>48</v>
      </c>
      <c r="B3229">
        <v>13</v>
      </c>
      <c r="C3229">
        <v>55000</v>
      </c>
      <c r="D3229" t="s">
        <v>71</v>
      </c>
      <c r="E3229" t="s">
        <v>74</v>
      </c>
      <c r="F3229" t="s">
        <v>79</v>
      </c>
    </row>
    <row r="3230" spans="1:6" x14ac:dyDescent="0.45">
      <c r="A3230">
        <v>40</v>
      </c>
      <c r="B3230">
        <v>13</v>
      </c>
      <c r="C3230">
        <v>55000</v>
      </c>
      <c r="D3230" t="s">
        <v>71</v>
      </c>
      <c r="E3230" t="s">
        <v>74</v>
      </c>
      <c r="F3230" t="s">
        <v>79</v>
      </c>
    </row>
    <row r="3231" spans="1:6" x14ac:dyDescent="0.45">
      <c r="A3231">
        <v>40</v>
      </c>
      <c r="B3231">
        <v>13</v>
      </c>
      <c r="C3231">
        <v>55000</v>
      </c>
      <c r="D3231" t="s">
        <v>71</v>
      </c>
      <c r="E3231" t="s">
        <v>74</v>
      </c>
      <c r="F3231" t="s">
        <v>79</v>
      </c>
    </row>
    <row r="3232" spans="1:6" x14ac:dyDescent="0.45">
      <c r="A3232">
        <v>40</v>
      </c>
      <c r="B3232">
        <v>13</v>
      </c>
      <c r="C3232">
        <v>55000</v>
      </c>
      <c r="D3232" t="s">
        <v>71</v>
      </c>
      <c r="E3232" t="s">
        <v>74</v>
      </c>
      <c r="F3232" t="s">
        <v>79</v>
      </c>
    </row>
    <row r="3233" spans="1:6" x14ac:dyDescent="0.45">
      <c r="A3233">
        <v>40</v>
      </c>
      <c r="B3233">
        <v>13</v>
      </c>
      <c r="C3233">
        <v>55000</v>
      </c>
      <c r="D3233" t="s">
        <v>71</v>
      </c>
      <c r="E3233" t="s">
        <v>72</v>
      </c>
      <c r="F3233" t="s">
        <v>79</v>
      </c>
    </row>
    <row r="3234" spans="1:6" x14ac:dyDescent="0.45">
      <c r="A3234">
        <v>45</v>
      </c>
      <c r="B3234">
        <v>13</v>
      </c>
      <c r="C3234">
        <v>55000</v>
      </c>
      <c r="D3234" t="s">
        <v>71</v>
      </c>
      <c r="E3234" t="s">
        <v>74</v>
      </c>
      <c r="F3234" t="s">
        <v>79</v>
      </c>
    </row>
    <row r="3235" spans="1:6" x14ac:dyDescent="0.45">
      <c r="A3235">
        <v>50</v>
      </c>
      <c r="B3235">
        <v>13</v>
      </c>
      <c r="C3235">
        <v>55000</v>
      </c>
      <c r="D3235" t="s">
        <v>71</v>
      </c>
      <c r="E3235" t="s">
        <v>74</v>
      </c>
      <c r="F3235" t="s">
        <v>79</v>
      </c>
    </row>
    <row r="3236" spans="1:6" x14ac:dyDescent="0.45">
      <c r="A3236">
        <v>40</v>
      </c>
      <c r="B3236">
        <v>13</v>
      </c>
      <c r="C3236">
        <v>55000</v>
      </c>
      <c r="D3236" t="s">
        <v>71</v>
      </c>
      <c r="E3236" t="s">
        <v>74</v>
      </c>
      <c r="F3236" t="s">
        <v>79</v>
      </c>
    </row>
    <row r="3237" spans="1:6" x14ac:dyDescent="0.45">
      <c r="A3237">
        <v>40</v>
      </c>
      <c r="B3237">
        <v>13</v>
      </c>
      <c r="C3237">
        <v>55000</v>
      </c>
      <c r="D3237" t="s">
        <v>71</v>
      </c>
      <c r="E3237" t="s">
        <v>74</v>
      </c>
      <c r="F3237" t="s">
        <v>79</v>
      </c>
    </row>
    <row r="3238" spans="1:6" x14ac:dyDescent="0.45">
      <c r="A3238">
        <v>45</v>
      </c>
      <c r="B3238">
        <v>13</v>
      </c>
      <c r="C3238">
        <v>55000</v>
      </c>
      <c r="D3238" t="s">
        <v>71</v>
      </c>
      <c r="E3238" t="s">
        <v>74</v>
      </c>
      <c r="F3238" t="s">
        <v>79</v>
      </c>
    </row>
    <row r="3239" spans="1:6" x14ac:dyDescent="0.45">
      <c r="A3239">
        <v>40</v>
      </c>
      <c r="B3239">
        <v>13</v>
      </c>
      <c r="C3239">
        <v>55173</v>
      </c>
      <c r="D3239" t="s">
        <v>71</v>
      </c>
      <c r="E3239" t="s">
        <v>74</v>
      </c>
      <c r="F3239" t="s">
        <v>79</v>
      </c>
    </row>
    <row r="3240" spans="1:6" x14ac:dyDescent="0.45">
      <c r="A3240">
        <v>40</v>
      </c>
      <c r="B3240">
        <v>13</v>
      </c>
      <c r="C3240">
        <v>55200</v>
      </c>
      <c r="D3240" t="s">
        <v>71</v>
      </c>
      <c r="E3240" t="s">
        <v>72</v>
      </c>
      <c r="F3240" t="s">
        <v>79</v>
      </c>
    </row>
    <row r="3241" spans="1:6" x14ac:dyDescent="0.45">
      <c r="A3241">
        <v>47</v>
      </c>
      <c r="B3241">
        <v>13</v>
      </c>
      <c r="C3241">
        <v>55500</v>
      </c>
      <c r="D3241" t="s">
        <v>71</v>
      </c>
      <c r="E3241" t="s">
        <v>74</v>
      </c>
      <c r="F3241" t="s">
        <v>79</v>
      </c>
    </row>
    <row r="3242" spans="1:6" x14ac:dyDescent="0.45">
      <c r="A3242">
        <v>45</v>
      </c>
      <c r="B3242">
        <v>13</v>
      </c>
      <c r="C3242">
        <v>55992</v>
      </c>
      <c r="D3242" t="s">
        <v>71</v>
      </c>
      <c r="E3242" t="s">
        <v>74</v>
      </c>
      <c r="F3242" t="s">
        <v>79</v>
      </c>
    </row>
    <row r="3243" spans="1:6" x14ac:dyDescent="0.45">
      <c r="A3243">
        <v>40</v>
      </c>
      <c r="B3243">
        <v>13</v>
      </c>
      <c r="C3243">
        <v>56000</v>
      </c>
      <c r="D3243" t="s">
        <v>76</v>
      </c>
      <c r="E3243" t="s">
        <v>74</v>
      </c>
      <c r="F3243" t="s">
        <v>79</v>
      </c>
    </row>
    <row r="3244" spans="1:6" x14ac:dyDescent="0.45">
      <c r="A3244">
        <v>40</v>
      </c>
      <c r="B3244">
        <v>13</v>
      </c>
      <c r="C3244">
        <v>56000</v>
      </c>
      <c r="D3244" t="s">
        <v>71</v>
      </c>
      <c r="E3244" t="s">
        <v>74</v>
      </c>
      <c r="F3244" t="s">
        <v>79</v>
      </c>
    </row>
    <row r="3245" spans="1:6" x14ac:dyDescent="0.45">
      <c r="A3245">
        <v>40</v>
      </c>
      <c r="B3245">
        <v>13</v>
      </c>
      <c r="C3245">
        <v>56000</v>
      </c>
      <c r="D3245" t="s">
        <v>71</v>
      </c>
      <c r="E3245" t="s">
        <v>74</v>
      </c>
      <c r="F3245" t="s">
        <v>79</v>
      </c>
    </row>
    <row r="3246" spans="1:6" x14ac:dyDescent="0.45">
      <c r="A3246">
        <v>52</v>
      </c>
      <c r="B3246">
        <v>13</v>
      </c>
      <c r="C3246">
        <v>56402</v>
      </c>
      <c r="D3246" t="s">
        <v>71</v>
      </c>
      <c r="E3246" t="s">
        <v>74</v>
      </c>
      <c r="F3246" t="s">
        <v>79</v>
      </c>
    </row>
    <row r="3247" spans="1:6" x14ac:dyDescent="0.45">
      <c r="A3247">
        <v>40</v>
      </c>
      <c r="B3247">
        <v>13</v>
      </c>
      <c r="C3247">
        <v>56426</v>
      </c>
      <c r="D3247" t="s">
        <v>71</v>
      </c>
      <c r="E3247" t="s">
        <v>74</v>
      </c>
      <c r="F3247" t="s">
        <v>79</v>
      </c>
    </row>
    <row r="3248" spans="1:6" x14ac:dyDescent="0.45">
      <c r="A3248">
        <v>40</v>
      </c>
      <c r="B3248">
        <v>13</v>
      </c>
      <c r="C3248">
        <v>56842</v>
      </c>
      <c r="D3248" t="s">
        <v>71</v>
      </c>
      <c r="E3248" t="s">
        <v>74</v>
      </c>
      <c r="F3248" t="s">
        <v>79</v>
      </c>
    </row>
    <row r="3249" spans="1:6" x14ac:dyDescent="0.45">
      <c r="A3249">
        <v>38</v>
      </c>
      <c r="B3249">
        <v>13</v>
      </c>
      <c r="C3249">
        <v>57000</v>
      </c>
      <c r="D3249" t="s">
        <v>71</v>
      </c>
      <c r="E3249" t="s">
        <v>72</v>
      </c>
      <c r="F3249" t="s">
        <v>79</v>
      </c>
    </row>
    <row r="3250" spans="1:6" x14ac:dyDescent="0.45">
      <c r="A3250">
        <v>40</v>
      </c>
      <c r="B3250">
        <v>13</v>
      </c>
      <c r="C3250">
        <v>57000</v>
      </c>
      <c r="D3250" t="s">
        <v>71</v>
      </c>
      <c r="E3250" t="s">
        <v>72</v>
      </c>
      <c r="F3250" t="s">
        <v>79</v>
      </c>
    </row>
    <row r="3251" spans="1:6" x14ac:dyDescent="0.45">
      <c r="A3251">
        <v>45</v>
      </c>
      <c r="B3251">
        <v>13</v>
      </c>
      <c r="C3251">
        <v>57000</v>
      </c>
      <c r="D3251" t="s">
        <v>71</v>
      </c>
      <c r="E3251" t="s">
        <v>74</v>
      </c>
      <c r="F3251" t="s">
        <v>79</v>
      </c>
    </row>
    <row r="3252" spans="1:6" x14ac:dyDescent="0.45">
      <c r="A3252">
        <v>50</v>
      </c>
      <c r="B3252">
        <v>13</v>
      </c>
      <c r="C3252">
        <v>57000</v>
      </c>
      <c r="D3252" t="s">
        <v>71</v>
      </c>
      <c r="E3252" t="s">
        <v>74</v>
      </c>
      <c r="F3252" t="s">
        <v>79</v>
      </c>
    </row>
    <row r="3253" spans="1:6" x14ac:dyDescent="0.45">
      <c r="A3253">
        <v>55</v>
      </c>
      <c r="B3253">
        <v>13</v>
      </c>
      <c r="C3253">
        <v>57000</v>
      </c>
      <c r="D3253" t="s">
        <v>71</v>
      </c>
      <c r="E3253" t="s">
        <v>74</v>
      </c>
      <c r="F3253" t="s">
        <v>79</v>
      </c>
    </row>
    <row r="3254" spans="1:6" x14ac:dyDescent="0.45">
      <c r="A3254">
        <v>40</v>
      </c>
      <c r="B3254">
        <v>13</v>
      </c>
      <c r="C3254">
        <v>57000</v>
      </c>
      <c r="D3254" t="s">
        <v>71</v>
      </c>
      <c r="E3254" t="s">
        <v>74</v>
      </c>
      <c r="F3254" t="s">
        <v>79</v>
      </c>
    </row>
    <row r="3255" spans="1:6" x14ac:dyDescent="0.45">
      <c r="A3255">
        <v>55</v>
      </c>
      <c r="B3255">
        <v>13</v>
      </c>
      <c r="C3255">
        <v>58000</v>
      </c>
      <c r="D3255" t="s">
        <v>77</v>
      </c>
      <c r="E3255" t="s">
        <v>74</v>
      </c>
      <c r="F3255" t="s">
        <v>79</v>
      </c>
    </row>
    <row r="3256" spans="1:6" x14ac:dyDescent="0.45">
      <c r="A3256">
        <v>0</v>
      </c>
      <c r="B3256">
        <v>13</v>
      </c>
      <c r="C3256">
        <v>58000</v>
      </c>
      <c r="D3256" t="s">
        <v>71</v>
      </c>
      <c r="E3256" t="s">
        <v>74</v>
      </c>
      <c r="F3256" t="s">
        <v>79</v>
      </c>
    </row>
    <row r="3257" spans="1:6" x14ac:dyDescent="0.45">
      <c r="A3257">
        <v>40</v>
      </c>
      <c r="B3257">
        <v>13</v>
      </c>
      <c r="C3257">
        <v>58000</v>
      </c>
      <c r="D3257" t="s">
        <v>71</v>
      </c>
      <c r="E3257" t="s">
        <v>74</v>
      </c>
      <c r="F3257" t="s">
        <v>79</v>
      </c>
    </row>
    <row r="3258" spans="1:6" x14ac:dyDescent="0.45">
      <c r="A3258">
        <v>50</v>
      </c>
      <c r="B3258">
        <v>13</v>
      </c>
      <c r="C3258">
        <v>58000</v>
      </c>
      <c r="D3258" t="s">
        <v>71</v>
      </c>
      <c r="E3258" t="s">
        <v>74</v>
      </c>
      <c r="F3258" t="s">
        <v>79</v>
      </c>
    </row>
    <row r="3259" spans="1:6" x14ac:dyDescent="0.45">
      <c r="A3259">
        <v>40</v>
      </c>
      <c r="B3259">
        <v>13</v>
      </c>
      <c r="C3259">
        <v>58000</v>
      </c>
      <c r="D3259" t="s">
        <v>71</v>
      </c>
      <c r="E3259" t="s">
        <v>74</v>
      </c>
      <c r="F3259" t="s">
        <v>79</v>
      </c>
    </row>
    <row r="3260" spans="1:6" x14ac:dyDescent="0.45">
      <c r="A3260">
        <v>40</v>
      </c>
      <c r="B3260">
        <v>13</v>
      </c>
      <c r="C3260">
        <v>58000</v>
      </c>
      <c r="D3260" t="s">
        <v>71</v>
      </c>
      <c r="E3260" t="s">
        <v>74</v>
      </c>
      <c r="F3260" t="s">
        <v>79</v>
      </c>
    </row>
    <row r="3261" spans="1:6" x14ac:dyDescent="0.45">
      <c r="A3261">
        <v>40</v>
      </c>
      <c r="B3261">
        <v>13</v>
      </c>
      <c r="C3261">
        <v>58000</v>
      </c>
      <c r="D3261" t="s">
        <v>71</v>
      </c>
      <c r="E3261" t="s">
        <v>74</v>
      </c>
      <c r="F3261" t="s">
        <v>79</v>
      </c>
    </row>
    <row r="3262" spans="1:6" x14ac:dyDescent="0.45">
      <c r="A3262">
        <v>40</v>
      </c>
      <c r="B3262">
        <v>13</v>
      </c>
      <c r="C3262">
        <v>58000</v>
      </c>
      <c r="D3262" t="s">
        <v>71</v>
      </c>
      <c r="E3262" t="s">
        <v>74</v>
      </c>
      <c r="F3262" t="s">
        <v>79</v>
      </c>
    </row>
    <row r="3263" spans="1:6" x14ac:dyDescent="0.45">
      <c r="A3263">
        <v>40</v>
      </c>
      <c r="B3263">
        <v>13</v>
      </c>
      <c r="C3263">
        <v>58500</v>
      </c>
      <c r="D3263" t="s">
        <v>71</v>
      </c>
      <c r="E3263" t="s">
        <v>74</v>
      </c>
      <c r="F3263" t="s">
        <v>79</v>
      </c>
    </row>
    <row r="3264" spans="1:6" x14ac:dyDescent="0.45">
      <c r="A3264">
        <v>40</v>
      </c>
      <c r="B3264">
        <v>13</v>
      </c>
      <c r="C3264">
        <v>59000</v>
      </c>
      <c r="D3264" t="s">
        <v>76</v>
      </c>
      <c r="E3264" t="s">
        <v>74</v>
      </c>
      <c r="F3264" t="s">
        <v>79</v>
      </c>
    </row>
    <row r="3265" spans="1:6" x14ac:dyDescent="0.45">
      <c r="A3265">
        <v>40</v>
      </c>
      <c r="B3265">
        <v>13</v>
      </c>
      <c r="C3265">
        <v>59000</v>
      </c>
      <c r="D3265" t="s">
        <v>71</v>
      </c>
      <c r="E3265" t="s">
        <v>74</v>
      </c>
      <c r="F3265" t="s">
        <v>79</v>
      </c>
    </row>
    <row r="3266" spans="1:6" x14ac:dyDescent="0.45">
      <c r="A3266">
        <v>42</v>
      </c>
      <c r="B3266">
        <v>13</v>
      </c>
      <c r="C3266">
        <v>59000</v>
      </c>
      <c r="D3266" t="s">
        <v>71</v>
      </c>
      <c r="E3266" t="s">
        <v>74</v>
      </c>
      <c r="F3266" t="s">
        <v>79</v>
      </c>
    </row>
    <row r="3267" spans="1:6" x14ac:dyDescent="0.45">
      <c r="A3267">
        <v>50</v>
      </c>
      <c r="B3267">
        <v>13</v>
      </c>
      <c r="C3267">
        <v>59000</v>
      </c>
      <c r="D3267" t="s">
        <v>71</v>
      </c>
      <c r="E3267" t="s">
        <v>74</v>
      </c>
      <c r="F3267" t="s">
        <v>79</v>
      </c>
    </row>
    <row r="3268" spans="1:6" x14ac:dyDescent="0.45">
      <c r="A3268">
        <v>60</v>
      </c>
      <c r="B3268">
        <v>13</v>
      </c>
      <c r="C3268">
        <v>59000</v>
      </c>
      <c r="D3268" t="s">
        <v>71</v>
      </c>
      <c r="E3268" t="s">
        <v>74</v>
      </c>
      <c r="F3268" t="s">
        <v>79</v>
      </c>
    </row>
    <row r="3269" spans="1:6" x14ac:dyDescent="0.45">
      <c r="A3269">
        <v>40</v>
      </c>
      <c r="B3269">
        <v>13</v>
      </c>
      <c r="C3269">
        <v>59314</v>
      </c>
      <c r="D3269" t="s">
        <v>71</v>
      </c>
      <c r="E3269" t="s">
        <v>74</v>
      </c>
      <c r="F3269" t="s">
        <v>79</v>
      </c>
    </row>
    <row r="3270" spans="1:6" x14ac:dyDescent="0.45">
      <c r="A3270">
        <v>0</v>
      </c>
      <c r="B3270">
        <v>13</v>
      </c>
      <c r="C3270">
        <v>59925</v>
      </c>
      <c r="D3270" t="s">
        <v>71</v>
      </c>
      <c r="E3270" t="s">
        <v>74</v>
      </c>
      <c r="F3270" t="s">
        <v>79</v>
      </c>
    </row>
    <row r="3271" spans="1:6" x14ac:dyDescent="0.45">
      <c r="A3271">
        <v>40</v>
      </c>
      <c r="B3271">
        <v>13</v>
      </c>
      <c r="C3271">
        <v>59925</v>
      </c>
      <c r="D3271" t="s">
        <v>71</v>
      </c>
      <c r="E3271" t="s">
        <v>74</v>
      </c>
      <c r="F3271" t="s">
        <v>79</v>
      </c>
    </row>
    <row r="3272" spans="1:6" x14ac:dyDescent="0.45">
      <c r="A3272">
        <v>40</v>
      </c>
      <c r="B3272">
        <v>13</v>
      </c>
      <c r="C3272">
        <v>60000</v>
      </c>
      <c r="D3272" t="s">
        <v>71</v>
      </c>
      <c r="E3272" t="s">
        <v>74</v>
      </c>
      <c r="F3272" t="s">
        <v>79</v>
      </c>
    </row>
    <row r="3273" spans="1:6" x14ac:dyDescent="0.45">
      <c r="A3273">
        <v>48</v>
      </c>
      <c r="B3273">
        <v>13</v>
      </c>
      <c r="C3273">
        <v>60000</v>
      </c>
      <c r="D3273" t="s">
        <v>71</v>
      </c>
      <c r="E3273" t="s">
        <v>74</v>
      </c>
      <c r="F3273" t="s">
        <v>79</v>
      </c>
    </row>
    <row r="3274" spans="1:6" x14ac:dyDescent="0.45">
      <c r="A3274">
        <v>45</v>
      </c>
      <c r="B3274">
        <v>13</v>
      </c>
      <c r="C3274">
        <v>60000</v>
      </c>
      <c r="D3274" t="s">
        <v>71</v>
      </c>
      <c r="E3274" t="s">
        <v>72</v>
      </c>
      <c r="F3274" t="s">
        <v>79</v>
      </c>
    </row>
    <row r="3275" spans="1:6" x14ac:dyDescent="0.45">
      <c r="A3275">
        <v>40</v>
      </c>
      <c r="B3275">
        <v>13</v>
      </c>
      <c r="C3275">
        <v>60000</v>
      </c>
      <c r="D3275" t="s">
        <v>71</v>
      </c>
      <c r="E3275" t="s">
        <v>74</v>
      </c>
      <c r="F3275" t="s">
        <v>79</v>
      </c>
    </row>
    <row r="3276" spans="1:6" x14ac:dyDescent="0.45">
      <c r="A3276">
        <v>0</v>
      </c>
      <c r="B3276">
        <v>13</v>
      </c>
      <c r="C3276">
        <v>60000</v>
      </c>
      <c r="D3276" t="s">
        <v>76</v>
      </c>
      <c r="E3276" t="s">
        <v>74</v>
      </c>
      <c r="F3276" t="s">
        <v>79</v>
      </c>
    </row>
    <row r="3277" spans="1:6" x14ac:dyDescent="0.45">
      <c r="A3277">
        <v>40</v>
      </c>
      <c r="B3277">
        <v>13</v>
      </c>
      <c r="C3277">
        <v>60000</v>
      </c>
      <c r="D3277" t="s">
        <v>71</v>
      </c>
      <c r="E3277" t="s">
        <v>74</v>
      </c>
      <c r="F3277" t="s">
        <v>79</v>
      </c>
    </row>
    <row r="3278" spans="1:6" x14ac:dyDescent="0.45">
      <c r="A3278">
        <v>50</v>
      </c>
      <c r="B3278">
        <v>13</v>
      </c>
      <c r="C3278">
        <v>60000</v>
      </c>
      <c r="D3278" t="s">
        <v>71</v>
      </c>
      <c r="E3278" t="s">
        <v>74</v>
      </c>
      <c r="F3278" t="s">
        <v>79</v>
      </c>
    </row>
    <row r="3279" spans="1:6" x14ac:dyDescent="0.45">
      <c r="A3279">
        <v>45</v>
      </c>
      <c r="B3279">
        <v>13</v>
      </c>
      <c r="C3279">
        <v>60000</v>
      </c>
      <c r="D3279" t="s">
        <v>71</v>
      </c>
      <c r="E3279" t="s">
        <v>74</v>
      </c>
      <c r="F3279" t="s">
        <v>79</v>
      </c>
    </row>
    <row r="3280" spans="1:6" x14ac:dyDescent="0.45">
      <c r="A3280">
        <v>60</v>
      </c>
      <c r="B3280">
        <v>13</v>
      </c>
      <c r="C3280">
        <v>60000</v>
      </c>
      <c r="D3280" t="s">
        <v>71</v>
      </c>
      <c r="E3280" t="s">
        <v>74</v>
      </c>
      <c r="F3280" t="s">
        <v>79</v>
      </c>
    </row>
    <row r="3281" spans="1:6" x14ac:dyDescent="0.45">
      <c r="A3281">
        <v>60</v>
      </c>
      <c r="B3281">
        <v>13</v>
      </c>
      <c r="C3281">
        <v>60000</v>
      </c>
      <c r="D3281" t="s">
        <v>71</v>
      </c>
      <c r="E3281" t="s">
        <v>72</v>
      </c>
      <c r="F3281" t="s">
        <v>79</v>
      </c>
    </row>
    <row r="3282" spans="1:6" x14ac:dyDescent="0.45">
      <c r="A3282">
        <v>40</v>
      </c>
      <c r="B3282">
        <v>13</v>
      </c>
      <c r="C3282">
        <v>60000</v>
      </c>
      <c r="D3282" t="s">
        <v>71</v>
      </c>
      <c r="E3282" t="s">
        <v>74</v>
      </c>
      <c r="F3282" t="s">
        <v>79</v>
      </c>
    </row>
    <row r="3283" spans="1:6" x14ac:dyDescent="0.45">
      <c r="A3283">
        <v>50</v>
      </c>
      <c r="B3283">
        <v>13</v>
      </c>
      <c r="C3283">
        <v>60000</v>
      </c>
      <c r="D3283" t="s">
        <v>71</v>
      </c>
      <c r="E3283" t="s">
        <v>72</v>
      </c>
      <c r="F3283" t="s">
        <v>79</v>
      </c>
    </row>
    <row r="3284" spans="1:6" x14ac:dyDescent="0.45">
      <c r="A3284">
        <v>40</v>
      </c>
      <c r="B3284">
        <v>13</v>
      </c>
      <c r="C3284">
        <v>60000</v>
      </c>
      <c r="D3284" t="s">
        <v>71</v>
      </c>
      <c r="E3284" t="s">
        <v>74</v>
      </c>
      <c r="F3284" t="s">
        <v>79</v>
      </c>
    </row>
    <row r="3285" spans="1:6" x14ac:dyDescent="0.45">
      <c r="A3285">
        <v>40</v>
      </c>
      <c r="B3285">
        <v>13</v>
      </c>
      <c r="C3285">
        <v>60000</v>
      </c>
      <c r="D3285" t="s">
        <v>71</v>
      </c>
      <c r="E3285" t="s">
        <v>74</v>
      </c>
      <c r="F3285" t="s">
        <v>79</v>
      </c>
    </row>
    <row r="3286" spans="1:6" x14ac:dyDescent="0.45">
      <c r="A3286">
        <v>0</v>
      </c>
      <c r="B3286">
        <v>13</v>
      </c>
      <c r="C3286">
        <v>60000</v>
      </c>
      <c r="D3286" t="s">
        <v>71</v>
      </c>
      <c r="E3286" t="s">
        <v>74</v>
      </c>
      <c r="F3286" t="s">
        <v>79</v>
      </c>
    </row>
    <row r="3287" spans="1:6" x14ac:dyDescent="0.45">
      <c r="A3287">
        <v>40</v>
      </c>
      <c r="B3287">
        <v>13</v>
      </c>
      <c r="C3287">
        <v>60000</v>
      </c>
      <c r="D3287" t="s">
        <v>71</v>
      </c>
      <c r="E3287" t="s">
        <v>74</v>
      </c>
      <c r="F3287" t="s">
        <v>79</v>
      </c>
    </row>
    <row r="3288" spans="1:6" x14ac:dyDescent="0.45">
      <c r="A3288">
        <v>40</v>
      </c>
      <c r="B3288">
        <v>13</v>
      </c>
      <c r="C3288">
        <v>60000</v>
      </c>
      <c r="D3288" t="s">
        <v>71</v>
      </c>
      <c r="E3288" t="s">
        <v>74</v>
      </c>
      <c r="F3288" t="s">
        <v>79</v>
      </c>
    </row>
    <row r="3289" spans="1:6" x14ac:dyDescent="0.45">
      <c r="A3289">
        <v>40</v>
      </c>
      <c r="B3289">
        <v>13</v>
      </c>
      <c r="C3289">
        <v>60000</v>
      </c>
      <c r="D3289" t="s">
        <v>71</v>
      </c>
      <c r="E3289" t="s">
        <v>74</v>
      </c>
      <c r="F3289" t="s">
        <v>79</v>
      </c>
    </row>
    <row r="3290" spans="1:6" x14ac:dyDescent="0.45">
      <c r="A3290">
        <v>60</v>
      </c>
      <c r="B3290">
        <v>13</v>
      </c>
      <c r="C3290">
        <v>60000</v>
      </c>
      <c r="D3290" t="s">
        <v>71</v>
      </c>
      <c r="E3290" t="s">
        <v>74</v>
      </c>
      <c r="F3290" t="s">
        <v>79</v>
      </c>
    </row>
    <row r="3291" spans="1:6" x14ac:dyDescent="0.45">
      <c r="A3291">
        <v>60</v>
      </c>
      <c r="B3291">
        <v>13</v>
      </c>
      <c r="C3291">
        <v>60000</v>
      </c>
      <c r="D3291" t="s">
        <v>71</v>
      </c>
      <c r="E3291" t="s">
        <v>74</v>
      </c>
      <c r="F3291" t="s">
        <v>79</v>
      </c>
    </row>
    <row r="3292" spans="1:6" x14ac:dyDescent="0.45">
      <c r="A3292">
        <v>85</v>
      </c>
      <c r="B3292">
        <v>13</v>
      </c>
      <c r="C3292">
        <v>60000</v>
      </c>
      <c r="D3292" t="s">
        <v>71</v>
      </c>
      <c r="E3292" t="s">
        <v>74</v>
      </c>
      <c r="F3292" t="s">
        <v>79</v>
      </c>
    </row>
    <row r="3293" spans="1:6" x14ac:dyDescent="0.45">
      <c r="A3293">
        <v>60</v>
      </c>
      <c r="B3293">
        <v>13</v>
      </c>
      <c r="C3293">
        <v>60000</v>
      </c>
      <c r="D3293" t="s">
        <v>71</v>
      </c>
      <c r="E3293" t="s">
        <v>74</v>
      </c>
      <c r="F3293" t="s">
        <v>79</v>
      </c>
    </row>
    <row r="3294" spans="1:6" x14ac:dyDescent="0.45">
      <c r="A3294">
        <v>40</v>
      </c>
      <c r="B3294">
        <v>13</v>
      </c>
      <c r="C3294">
        <v>60000</v>
      </c>
      <c r="D3294" t="s">
        <v>71</v>
      </c>
      <c r="E3294" t="s">
        <v>74</v>
      </c>
      <c r="F3294" t="s">
        <v>79</v>
      </c>
    </row>
    <row r="3295" spans="1:6" x14ac:dyDescent="0.45">
      <c r="A3295">
        <v>40</v>
      </c>
      <c r="B3295">
        <v>13</v>
      </c>
      <c r="C3295">
        <v>60000</v>
      </c>
      <c r="D3295" t="s">
        <v>71</v>
      </c>
      <c r="E3295" t="s">
        <v>74</v>
      </c>
      <c r="F3295" t="s">
        <v>79</v>
      </c>
    </row>
    <row r="3296" spans="1:6" x14ac:dyDescent="0.45">
      <c r="A3296">
        <v>40</v>
      </c>
      <c r="B3296">
        <v>13</v>
      </c>
      <c r="C3296">
        <v>60000</v>
      </c>
      <c r="D3296" t="s">
        <v>71</v>
      </c>
      <c r="E3296" t="s">
        <v>72</v>
      </c>
      <c r="F3296" t="s">
        <v>79</v>
      </c>
    </row>
    <row r="3297" spans="1:6" x14ac:dyDescent="0.45">
      <c r="A3297">
        <v>60</v>
      </c>
      <c r="B3297">
        <v>13</v>
      </c>
      <c r="C3297">
        <v>60000</v>
      </c>
      <c r="D3297" t="s">
        <v>71</v>
      </c>
      <c r="E3297" t="s">
        <v>74</v>
      </c>
      <c r="F3297" t="s">
        <v>79</v>
      </c>
    </row>
    <row r="3298" spans="1:6" x14ac:dyDescent="0.45">
      <c r="A3298">
        <v>40</v>
      </c>
      <c r="B3298">
        <v>13</v>
      </c>
      <c r="C3298">
        <v>60000</v>
      </c>
      <c r="D3298" t="s">
        <v>71</v>
      </c>
      <c r="E3298" t="s">
        <v>74</v>
      </c>
      <c r="F3298" t="s">
        <v>79</v>
      </c>
    </row>
    <row r="3299" spans="1:6" x14ac:dyDescent="0.45">
      <c r="A3299">
        <v>40</v>
      </c>
      <c r="B3299">
        <v>13</v>
      </c>
      <c r="C3299">
        <v>60000</v>
      </c>
      <c r="D3299" t="s">
        <v>71</v>
      </c>
      <c r="E3299" t="s">
        <v>74</v>
      </c>
      <c r="F3299" t="s">
        <v>79</v>
      </c>
    </row>
    <row r="3300" spans="1:6" x14ac:dyDescent="0.45">
      <c r="A3300">
        <v>50</v>
      </c>
      <c r="B3300">
        <v>13</v>
      </c>
      <c r="C3300">
        <v>60838</v>
      </c>
      <c r="D3300" t="s">
        <v>71</v>
      </c>
      <c r="E3300" t="s">
        <v>72</v>
      </c>
      <c r="F3300" t="s">
        <v>79</v>
      </c>
    </row>
    <row r="3301" spans="1:6" x14ac:dyDescent="0.45">
      <c r="A3301">
        <v>40</v>
      </c>
      <c r="B3301">
        <v>13</v>
      </c>
      <c r="C3301">
        <v>61000</v>
      </c>
      <c r="D3301" t="s">
        <v>71</v>
      </c>
      <c r="E3301" t="s">
        <v>72</v>
      </c>
      <c r="F3301" t="s">
        <v>79</v>
      </c>
    </row>
    <row r="3302" spans="1:6" x14ac:dyDescent="0.45">
      <c r="A3302">
        <v>40</v>
      </c>
      <c r="B3302">
        <v>13</v>
      </c>
      <c r="C3302">
        <v>62000</v>
      </c>
      <c r="D3302" t="s">
        <v>71</v>
      </c>
      <c r="E3302" t="s">
        <v>74</v>
      </c>
      <c r="F3302" t="s">
        <v>79</v>
      </c>
    </row>
    <row r="3303" spans="1:6" x14ac:dyDescent="0.45">
      <c r="A3303">
        <v>48</v>
      </c>
      <c r="B3303">
        <v>13</v>
      </c>
      <c r="C3303">
        <v>62000</v>
      </c>
      <c r="D3303" t="s">
        <v>71</v>
      </c>
      <c r="E3303" t="s">
        <v>72</v>
      </c>
      <c r="F3303" t="s">
        <v>79</v>
      </c>
    </row>
    <row r="3304" spans="1:6" x14ac:dyDescent="0.45">
      <c r="A3304">
        <v>40</v>
      </c>
      <c r="B3304">
        <v>13</v>
      </c>
      <c r="C3304">
        <v>62000</v>
      </c>
      <c r="D3304" t="s">
        <v>71</v>
      </c>
      <c r="E3304" t="s">
        <v>74</v>
      </c>
      <c r="F3304" t="s">
        <v>79</v>
      </c>
    </row>
    <row r="3305" spans="1:6" x14ac:dyDescent="0.45">
      <c r="A3305">
        <v>82</v>
      </c>
      <c r="B3305">
        <v>13</v>
      </c>
      <c r="C3305">
        <v>62000</v>
      </c>
      <c r="D3305" t="s">
        <v>71</v>
      </c>
      <c r="E3305" t="s">
        <v>74</v>
      </c>
      <c r="F3305" t="s">
        <v>79</v>
      </c>
    </row>
    <row r="3306" spans="1:6" x14ac:dyDescent="0.45">
      <c r="A3306">
        <v>40</v>
      </c>
      <c r="B3306">
        <v>13</v>
      </c>
      <c r="C3306">
        <v>62000</v>
      </c>
      <c r="D3306" t="s">
        <v>71</v>
      </c>
      <c r="E3306" t="s">
        <v>74</v>
      </c>
      <c r="F3306" t="s">
        <v>79</v>
      </c>
    </row>
    <row r="3307" spans="1:6" x14ac:dyDescent="0.45">
      <c r="A3307">
        <v>50</v>
      </c>
      <c r="B3307">
        <v>13</v>
      </c>
      <c r="C3307">
        <v>62000</v>
      </c>
      <c r="D3307" t="s">
        <v>71</v>
      </c>
      <c r="E3307" t="s">
        <v>74</v>
      </c>
      <c r="F3307" t="s">
        <v>79</v>
      </c>
    </row>
    <row r="3308" spans="1:6" x14ac:dyDescent="0.45">
      <c r="A3308">
        <v>40</v>
      </c>
      <c r="B3308">
        <v>13</v>
      </c>
      <c r="C3308">
        <v>62000</v>
      </c>
      <c r="D3308" t="s">
        <v>71</v>
      </c>
      <c r="E3308" t="s">
        <v>74</v>
      </c>
      <c r="F3308" t="s">
        <v>79</v>
      </c>
    </row>
    <row r="3309" spans="1:6" x14ac:dyDescent="0.45">
      <c r="A3309">
        <v>40</v>
      </c>
      <c r="B3309">
        <v>13</v>
      </c>
      <c r="C3309">
        <v>62089</v>
      </c>
      <c r="D3309" t="s">
        <v>71</v>
      </c>
      <c r="E3309" t="s">
        <v>74</v>
      </c>
      <c r="F3309" t="s">
        <v>79</v>
      </c>
    </row>
    <row r="3310" spans="1:6" x14ac:dyDescent="0.45">
      <c r="A3310">
        <v>40</v>
      </c>
      <c r="B3310">
        <v>13</v>
      </c>
      <c r="C3310">
        <v>62365</v>
      </c>
      <c r="D3310" t="s">
        <v>71</v>
      </c>
      <c r="E3310" t="s">
        <v>74</v>
      </c>
      <c r="F3310" t="s">
        <v>79</v>
      </c>
    </row>
    <row r="3311" spans="1:6" x14ac:dyDescent="0.45">
      <c r="A3311">
        <v>45</v>
      </c>
      <c r="B3311">
        <v>13</v>
      </c>
      <c r="C3311">
        <v>62400</v>
      </c>
      <c r="D3311" t="s">
        <v>71</v>
      </c>
      <c r="E3311" t="s">
        <v>74</v>
      </c>
      <c r="F3311" t="s">
        <v>79</v>
      </c>
    </row>
    <row r="3312" spans="1:6" x14ac:dyDescent="0.45">
      <c r="A3312">
        <v>55</v>
      </c>
      <c r="B3312">
        <v>13</v>
      </c>
      <c r="C3312">
        <v>63000</v>
      </c>
      <c r="D3312" t="s">
        <v>71</v>
      </c>
      <c r="E3312" t="s">
        <v>72</v>
      </c>
      <c r="F3312" t="s">
        <v>79</v>
      </c>
    </row>
    <row r="3313" spans="1:6" x14ac:dyDescent="0.45">
      <c r="A3313">
        <v>45</v>
      </c>
      <c r="B3313">
        <v>13</v>
      </c>
      <c r="C3313">
        <v>63000</v>
      </c>
      <c r="D3313" t="s">
        <v>71</v>
      </c>
      <c r="E3313" t="s">
        <v>74</v>
      </c>
      <c r="F3313" t="s">
        <v>79</v>
      </c>
    </row>
    <row r="3314" spans="1:6" x14ac:dyDescent="0.45">
      <c r="A3314">
        <v>40</v>
      </c>
      <c r="B3314">
        <v>13</v>
      </c>
      <c r="C3314">
        <v>63000</v>
      </c>
      <c r="D3314" t="s">
        <v>71</v>
      </c>
      <c r="E3314" t="s">
        <v>72</v>
      </c>
      <c r="F3314" t="s">
        <v>79</v>
      </c>
    </row>
    <row r="3315" spans="1:6" x14ac:dyDescent="0.45">
      <c r="A3315">
        <v>40</v>
      </c>
      <c r="B3315">
        <v>13</v>
      </c>
      <c r="C3315">
        <v>63114</v>
      </c>
      <c r="D3315" t="s">
        <v>71</v>
      </c>
      <c r="E3315" t="s">
        <v>74</v>
      </c>
      <c r="F3315" t="s">
        <v>79</v>
      </c>
    </row>
    <row r="3316" spans="1:6" x14ac:dyDescent="0.45">
      <c r="A3316">
        <v>45</v>
      </c>
      <c r="B3316">
        <v>13</v>
      </c>
      <c r="C3316">
        <v>64500</v>
      </c>
      <c r="D3316" t="s">
        <v>71</v>
      </c>
      <c r="E3316" t="s">
        <v>74</v>
      </c>
      <c r="F3316" t="s">
        <v>79</v>
      </c>
    </row>
    <row r="3317" spans="1:6" x14ac:dyDescent="0.45">
      <c r="A3317">
        <v>37</v>
      </c>
      <c r="B3317">
        <v>13</v>
      </c>
      <c r="C3317">
        <v>65000</v>
      </c>
      <c r="D3317" t="s">
        <v>71</v>
      </c>
      <c r="E3317" t="s">
        <v>72</v>
      </c>
      <c r="F3317" t="s">
        <v>79</v>
      </c>
    </row>
    <row r="3318" spans="1:6" x14ac:dyDescent="0.45">
      <c r="A3318">
        <v>40</v>
      </c>
      <c r="B3318">
        <v>13</v>
      </c>
      <c r="C3318">
        <v>65000</v>
      </c>
      <c r="D3318" t="s">
        <v>71</v>
      </c>
      <c r="E3318" t="s">
        <v>74</v>
      </c>
      <c r="F3318" t="s">
        <v>79</v>
      </c>
    </row>
    <row r="3319" spans="1:6" x14ac:dyDescent="0.45">
      <c r="A3319">
        <v>55</v>
      </c>
      <c r="B3319">
        <v>13</v>
      </c>
      <c r="C3319">
        <v>65000</v>
      </c>
      <c r="D3319" t="s">
        <v>71</v>
      </c>
      <c r="E3319" t="s">
        <v>74</v>
      </c>
      <c r="F3319" t="s">
        <v>79</v>
      </c>
    </row>
    <row r="3320" spans="1:6" x14ac:dyDescent="0.45">
      <c r="A3320">
        <v>50</v>
      </c>
      <c r="B3320">
        <v>13</v>
      </c>
      <c r="C3320">
        <v>65000</v>
      </c>
      <c r="D3320" t="s">
        <v>71</v>
      </c>
      <c r="E3320" t="s">
        <v>74</v>
      </c>
      <c r="F3320" t="s">
        <v>79</v>
      </c>
    </row>
    <row r="3321" spans="1:6" x14ac:dyDescent="0.45">
      <c r="A3321">
        <v>40</v>
      </c>
      <c r="B3321">
        <v>13</v>
      </c>
      <c r="C3321">
        <v>65000</v>
      </c>
      <c r="D3321" t="s">
        <v>71</v>
      </c>
      <c r="E3321" t="s">
        <v>74</v>
      </c>
      <c r="F3321" t="s">
        <v>79</v>
      </c>
    </row>
    <row r="3322" spans="1:6" x14ac:dyDescent="0.45">
      <c r="A3322">
        <v>50</v>
      </c>
      <c r="B3322">
        <v>13</v>
      </c>
      <c r="C3322">
        <v>65000</v>
      </c>
      <c r="D3322" t="s">
        <v>71</v>
      </c>
      <c r="E3322" t="s">
        <v>74</v>
      </c>
      <c r="F3322" t="s">
        <v>79</v>
      </c>
    </row>
    <row r="3323" spans="1:6" x14ac:dyDescent="0.45">
      <c r="A3323">
        <v>40</v>
      </c>
      <c r="B3323">
        <v>13</v>
      </c>
      <c r="C3323">
        <v>65000</v>
      </c>
      <c r="D3323" t="s">
        <v>71</v>
      </c>
      <c r="E3323" t="s">
        <v>74</v>
      </c>
      <c r="F3323" t="s">
        <v>79</v>
      </c>
    </row>
    <row r="3324" spans="1:6" x14ac:dyDescent="0.45">
      <c r="A3324">
        <v>40</v>
      </c>
      <c r="B3324">
        <v>13</v>
      </c>
      <c r="C3324">
        <v>65000</v>
      </c>
      <c r="D3324" t="s">
        <v>71</v>
      </c>
      <c r="E3324" t="s">
        <v>74</v>
      </c>
      <c r="F3324" t="s">
        <v>79</v>
      </c>
    </row>
    <row r="3325" spans="1:6" x14ac:dyDescent="0.45">
      <c r="A3325">
        <v>75</v>
      </c>
      <c r="B3325">
        <v>13</v>
      </c>
      <c r="C3325">
        <v>65000</v>
      </c>
      <c r="D3325" t="s">
        <v>71</v>
      </c>
      <c r="E3325" t="s">
        <v>72</v>
      </c>
      <c r="F3325" t="s">
        <v>79</v>
      </c>
    </row>
    <row r="3326" spans="1:6" x14ac:dyDescent="0.45">
      <c r="A3326">
        <v>40</v>
      </c>
      <c r="B3326">
        <v>13</v>
      </c>
      <c r="C3326">
        <v>65000</v>
      </c>
      <c r="D3326" t="s">
        <v>71</v>
      </c>
      <c r="E3326" t="s">
        <v>74</v>
      </c>
      <c r="F3326" t="s">
        <v>79</v>
      </c>
    </row>
    <row r="3327" spans="1:6" x14ac:dyDescent="0.45">
      <c r="A3327">
        <v>55</v>
      </c>
      <c r="B3327">
        <v>13</v>
      </c>
      <c r="C3327">
        <v>65000</v>
      </c>
      <c r="D3327" t="s">
        <v>71</v>
      </c>
      <c r="E3327" t="s">
        <v>74</v>
      </c>
      <c r="F3327" t="s">
        <v>79</v>
      </c>
    </row>
    <row r="3328" spans="1:6" x14ac:dyDescent="0.45">
      <c r="A3328">
        <v>58</v>
      </c>
      <c r="B3328">
        <v>13</v>
      </c>
      <c r="C3328">
        <v>65000</v>
      </c>
      <c r="D3328" t="s">
        <v>71</v>
      </c>
      <c r="E3328" t="s">
        <v>74</v>
      </c>
      <c r="F3328" t="s">
        <v>79</v>
      </c>
    </row>
    <row r="3329" spans="1:6" x14ac:dyDescent="0.45">
      <c r="A3329">
        <v>45</v>
      </c>
      <c r="B3329">
        <v>13</v>
      </c>
      <c r="C3329">
        <v>65000</v>
      </c>
      <c r="D3329" t="s">
        <v>71</v>
      </c>
      <c r="E3329" t="s">
        <v>74</v>
      </c>
      <c r="F3329" t="s">
        <v>79</v>
      </c>
    </row>
    <row r="3330" spans="1:6" x14ac:dyDescent="0.45">
      <c r="A3330">
        <v>50</v>
      </c>
      <c r="B3330">
        <v>13</v>
      </c>
      <c r="C3330">
        <v>65000</v>
      </c>
      <c r="D3330" t="s">
        <v>71</v>
      </c>
      <c r="E3330" t="s">
        <v>74</v>
      </c>
      <c r="F3330" t="s">
        <v>79</v>
      </c>
    </row>
    <row r="3331" spans="1:6" x14ac:dyDescent="0.45">
      <c r="A3331">
        <v>50</v>
      </c>
      <c r="B3331">
        <v>13</v>
      </c>
      <c r="C3331">
        <v>65406</v>
      </c>
      <c r="D3331" t="s">
        <v>71</v>
      </c>
      <c r="E3331" t="s">
        <v>74</v>
      </c>
      <c r="F3331" t="s">
        <v>79</v>
      </c>
    </row>
    <row r="3332" spans="1:6" x14ac:dyDescent="0.45">
      <c r="A3332">
        <v>40</v>
      </c>
      <c r="B3332">
        <v>13</v>
      </c>
      <c r="C3332">
        <v>65625</v>
      </c>
      <c r="D3332" t="s">
        <v>71</v>
      </c>
      <c r="E3332" t="s">
        <v>74</v>
      </c>
      <c r="F3332" t="s">
        <v>79</v>
      </c>
    </row>
    <row r="3333" spans="1:6" x14ac:dyDescent="0.45">
      <c r="A3333">
        <v>40</v>
      </c>
      <c r="B3333">
        <v>13</v>
      </c>
      <c r="C3333">
        <v>65625</v>
      </c>
      <c r="D3333" t="s">
        <v>71</v>
      </c>
      <c r="E3333" t="s">
        <v>74</v>
      </c>
      <c r="F3333" t="s">
        <v>79</v>
      </c>
    </row>
    <row r="3334" spans="1:6" x14ac:dyDescent="0.45">
      <c r="A3334">
        <v>60</v>
      </c>
      <c r="B3334">
        <v>13</v>
      </c>
      <c r="C3334">
        <v>67000</v>
      </c>
      <c r="D3334" t="s">
        <v>71</v>
      </c>
      <c r="E3334" t="s">
        <v>74</v>
      </c>
      <c r="F3334" t="s">
        <v>79</v>
      </c>
    </row>
    <row r="3335" spans="1:6" x14ac:dyDescent="0.45">
      <c r="A3335">
        <v>55</v>
      </c>
      <c r="B3335">
        <v>13</v>
      </c>
      <c r="C3335">
        <v>68000</v>
      </c>
      <c r="D3335" t="s">
        <v>71</v>
      </c>
      <c r="E3335" t="s">
        <v>72</v>
      </c>
      <c r="F3335" t="s">
        <v>79</v>
      </c>
    </row>
    <row r="3336" spans="1:6" x14ac:dyDescent="0.45">
      <c r="A3336">
        <v>40</v>
      </c>
      <c r="B3336">
        <v>13</v>
      </c>
      <c r="C3336">
        <v>68000</v>
      </c>
      <c r="D3336" t="s">
        <v>71</v>
      </c>
      <c r="E3336" t="s">
        <v>74</v>
      </c>
      <c r="F3336" t="s">
        <v>79</v>
      </c>
    </row>
    <row r="3337" spans="1:6" x14ac:dyDescent="0.45">
      <c r="A3337">
        <v>45</v>
      </c>
      <c r="B3337">
        <v>13</v>
      </c>
      <c r="C3337">
        <v>69000</v>
      </c>
      <c r="D3337" t="s">
        <v>71</v>
      </c>
      <c r="E3337" t="s">
        <v>74</v>
      </c>
      <c r="F3337" t="s">
        <v>79</v>
      </c>
    </row>
    <row r="3338" spans="1:6" x14ac:dyDescent="0.45">
      <c r="A3338">
        <v>40</v>
      </c>
      <c r="B3338">
        <v>13</v>
      </c>
      <c r="C3338">
        <v>69000</v>
      </c>
      <c r="D3338" t="s">
        <v>71</v>
      </c>
      <c r="E3338" t="s">
        <v>74</v>
      </c>
      <c r="F3338" t="s">
        <v>79</v>
      </c>
    </row>
    <row r="3339" spans="1:6" x14ac:dyDescent="0.45">
      <c r="A3339">
        <v>50</v>
      </c>
      <c r="B3339">
        <v>13</v>
      </c>
      <c r="C3339">
        <v>69000</v>
      </c>
      <c r="D3339" t="s">
        <v>71</v>
      </c>
      <c r="E3339" t="s">
        <v>74</v>
      </c>
      <c r="F3339" t="s">
        <v>79</v>
      </c>
    </row>
    <row r="3340" spans="1:6" x14ac:dyDescent="0.45">
      <c r="A3340">
        <v>50</v>
      </c>
      <c r="B3340">
        <v>13</v>
      </c>
      <c r="C3340">
        <v>70000</v>
      </c>
      <c r="D3340" t="s">
        <v>71</v>
      </c>
      <c r="E3340" t="s">
        <v>74</v>
      </c>
      <c r="F3340" t="s">
        <v>79</v>
      </c>
    </row>
    <row r="3341" spans="1:6" x14ac:dyDescent="0.45">
      <c r="A3341">
        <v>40</v>
      </c>
      <c r="B3341">
        <v>13</v>
      </c>
      <c r="C3341">
        <v>70000</v>
      </c>
      <c r="D3341" t="s">
        <v>71</v>
      </c>
      <c r="E3341" t="s">
        <v>74</v>
      </c>
      <c r="F3341" t="s">
        <v>79</v>
      </c>
    </row>
    <row r="3342" spans="1:6" x14ac:dyDescent="0.45">
      <c r="A3342">
        <v>45</v>
      </c>
      <c r="B3342">
        <v>13</v>
      </c>
      <c r="C3342">
        <v>70000</v>
      </c>
      <c r="D3342" t="s">
        <v>71</v>
      </c>
      <c r="E3342" t="s">
        <v>74</v>
      </c>
      <c r="F3342" t="s">
        <v>79</v>
      </c>
    </row>
    <row r="3343" spans="1:6" x14ac:dyDescent="0.45">
      <c r="A3343">
        <v>40</v>
      </c>
      <c r="B3343">
        <v>13</v>
      </c>
      <c r="C3343">
        <v>70000</v>
      </c>
      <c r="D3343" t="s">
        <v>71</v>
      </c>
      <c r="E3343" t="s">
        <v>74</v>
      </c>
      <c r="F3343" t="s">
        <v>79</v>
      </c>
    </row>
    <row r="3344" spans="1:6" x14ac:dyDescent="0.45">
      <c r="A3344">
        <v>40</v>
      </c>
      <c r="B3344">
        <v>13</v>
      </c>
      <c r="C3344">
        <v>70000</v>
      </c>
      <c r="D3344" t="s">
        <v>71</v>
      </c>
      <c r="E3344" t="s">
        <v>74</v>
      </c>
      <c r="F3344" t="s">
        <v>79</v>
      </c>
    </row>
    <row r="3345" spans="1:6" x14ac:dyDescent="0.45">
      <c r="A3345">
        <v>55</v>
      </c>
      <c r="B3345">
        <v>13</v>
      </c>
      <c r="C3345">
        <v>70000</v>
      </c>
      <c r="D3345" t="s">
        <v>71</v>
      </c>
      <c r="E3345" t="s">
        <v>74</v>
      </c>
      <c r="F3345" t="s">
        <v>79</v>
      </c>
    </row>
    <row r="3346" spans="1:6" x14ac:dyDescent="0.45">
      <c r="A3346">
        <v>40</v>
      </c>
      <c r="B3346">
        <v>13</v>
      </c>
      <c r="C3346">
        <v>70000</v>
      </c>
      <c r="D3346" t="s">
        <v>71</v>
      </c>
      <c r="E3346" t="s">
        <v>74</v>
      </c>
      <c r="F3346" t="s">
        <v>79</v>
      </c>
    </row>
    <row r="3347" spans="1:6" x14ac:dyDescent="0.45">
      <c r="A3347">
        <v>40</v>
      </c>
      <c r="B3347">
        <v>13</v>
      </c>
      <c r="C3347">
        <v>70000</v>
      </c>
      <c r="D3347" t="s">
        <v>71</v>
      </c>
      <c r="E3347" t="s">
        <v>74</v>
      </c>
      <c r="F3347" t="s">
        <v>79</v>
      </c>
    </row>
    <row r="3348" spans="1:6" x14ac:dyDescent="0.45">
      <c r="A3348">
        <v>50</v>
      </c>
      <c r="B3348">
        <v>13</v>
      </c>
      <c r="C3348">
        <v>70000</v>
      </c>
      <c r="D3348" t="s">
        <v>71</v>
      </c>
      <c r="E3348" t="s">
        <v>74</v>
      </c>
      <c r="F3348" t="s">
        <v>79</v>
      </c>
    </row>
    <row r="3349" spans="1:6" x14ac:dyDescent="0.45">
      <c r="A3349">
        <v>40</v>
      </c>
      <c r="B3349">
        <v>13</v>
      </c>
      <c r="C3349">
        <v>70000</v>
      </c>
      <c r="D3349" t="s">
        <v>76</v>
      </c>
      <c r="E3349" t="s">
        <v>72</v>
      </c>
      <c r="F3349" t="s">
        <v>79</v>
      </c>
    </row>
    <row r="3350" spans="1:6" x14ac:dyDescent="0.45">
      <c r="A3350">
        <v>60</v>
      </c>
      <c r="B3350">
        <v>13</v>
      </c>
      <c r="C3350">
        <v>70000</v>
      </c>
      <c r="D3350" t="s">
        <v>71</v>
      </c>
      <c r="E3350" t="s">
        <v>74</v>
      </c>
      <c r="F3350" t="s">
        <v>79</v>
      </c>
    </row>
    <row r="3351" spans="1:6" x14ac:dyDescent="0.45">
      <c r="A3351">
        <v>50</v>
      </c>
      <c r="B3351">
        <v>13</v>
      </c>
      <c r="C3351">
        <v>70000</v>
      </c>
      <c r="D3351" t="s">
        <v>71</v>
      </c>
      <c r="E3351" t="s">
        <v>74</v>
      </c>
      <c r="F3351" t="s">
        <v>79</v>
      </c>
    </row>
    <row r="3352" spans="1:6" x14ac:dyDescent="0.45">
      <c r="A3352">
        <v>45</v>
      </c>
      <c r="B3352">
        <v>13</v>
      </c>
      <c r="C3352">
        <v>70000</v>
      </c>
      <c r="D3352" t="s">
        <v>71</v>
      </c>
      <c r="E3352" t="s">
        <v>74</v>
      </c>
      <c r="F3352" t="s">
        <v>79</v>
      </c>
    </row>
    <row r="3353" spans="1:6" x14ac:dyDescent="0.45">
      <c r="A3353">
        <v>50</v>
      </c>
      <c r="B3353">
        <v>13</v>
      </c>
      <c r="C3353">
        <v>70000</v>
      </c>
      <c r="D3353" t="s">
        <v>71</v>
      </c>
      <c r="E3353" t="s">
        <v>74</v>
      </c>
      <c r="F3353" t="s">
        <v>79</v>
      </c>
    </row>
    <row r="3354" spans="1:6" x14ac:dyDescent="0.45">
      <c r="A3354">
        <v>40</v>
      </c>
      <c r="B3354">
        <v>13</v>
      </c>
      <c r="C3354">
        <v>72000</v>
      </c>
      <c r="D3354" t="s">
        <v>71</v>
      </c>
      <c r="E3354" t="s">
        <v>74</v>
      </c>
      <c r="F3354" t="s">
        <v>79</v>
      </c>
    </row>
    <row r="3355" spans="1:6" x14ac:dyDescent="0.45">
      <c r="A3355">
        <v>40</v>
      </c>
      <c r="B3355">
        <v>13</v>
      </c>
      <c r="C3355">
        <v>72000</v>
      </c>
      <c r="D3355" t="s">
        <v>71</v>
      </c>
      <c r="E3355" t="s">
        <v>74</v>
      </c>
      <c r="F3355" t="s">
        <v>79</v>
      </c>
    </row>
    <row r="3356" spans="1:6" x14ac:dyDescent="0.45">
      <c r="A3356">
        <v>40</v>
      </c>
      <c r="B3356">
        <v>13</v>
      </c>
      <c r="C3356">
        <v>72000</v>
      </c>
      <c r="D3356" t="s">
        <v>71</v>
      </c>
      <c r="E3356" t="s">
        <v>74</v>
      </c>
      <c r="F3356" t="s">
        <v>79</v>
      </c>
    </row>
    <row r="3357" spans="1:6" x14ac:dyDescent="0.45">
      <c r="A3357">
        <v>55</v>
      </c>
      <c r="B3357">
        <v>13</v>
      </c>
      <c r="C3357">
        <v>73000</v>
      </c>
      <c r="D3357" t="s">
        <v>71</v>
      </c>
      <c r="E3357" t="s">
        <v>74</v>
      </c>
      <c r="F3357" t="s">
        <v>79</v>
      </c>
    </row>
    <row r="3358" spans="1:6" x14ac:dyDescent="0.45">
      <c r="A3358">
        <v>45</v>
      </c>
      <c r="B3358">
        <v>13</v>
      </c>
      <c r="C3358">
        <v>73000</v>
      </c>
      <c r="D3358" t="s">
        <v>71</v>
      </c>
      <c r="E3358" t="s">
        <v>72</v>
      </c>
      <c r="F3358" t="s">
        <v>79</v>
      </c>
    </row>
    <row r="3359" spans="1:6" x14ac:dyDescent="0.45">
      <c r="A3359">
        <v>64</v>
      </c>
      <c r="B3359">
        <v>13</v>
      </c>
      <c r="C3359">
        <v>74546</v>
      </c>
      <c r="D3359" t="s">
        <v>71</v>
      </c>
      <c r="E3359" t="s">
        <v>74</v>
      </c>
      <c r="F3359" t="s">
        <v>79</v>
      </c>
    </row>
    <row r="3360" spans="1:6" x14ac:dyDescent="0.45">
      <c r="A3360">
        <v>40</v>
      </c>
      <c r="B3360">
        <v>13</v>
      </c>
      <c r="C3360">
        <v>75000</v>
      </c>
      <c r="D3360" t="s">
        <v>71</v>
      </c>
      <c r="E3360" t="s">
        <v>74</v>
      </c>
      <c r="F3360" t="s">
        <v>79</v>
      </c>
    </row>
    <row r="3361" spans="1:6" x14ac:dyDescent="0.45">
      <c r="A3361">
        <v>120</v>
      </c>
      <c r="B3361">
        <v>13</v>
      </c>
      <c r="C3361">
        <v>75000</v>
      </c>
      <c r="D3361" t="s">
        <v>71</v>
      </c>
      <c r="E3361" t="s">
        <v>74</v>
      </c>
      <c r="F3361" t="s">
        <v>79</v>
      </c>
    </row>
    <row r="3362" spans="1:6" x14ac:dyDescent="0.45">
      <c r="A3362">
        <v>40</v>
      </c>
      <c r="B3362">
        <v>13</v>
      </c>
      <c r="C3362">
        <v>75000</v>
      </c>
      <c r="D3362" t="s">
        <v>71</v>
      </c>
      <c r="E3362" t="s">
        <v>74</v>
      </c>
      <c r="F3362" t="s">
        <v>79</v>
      </c>
    </row>
    <row r="3363" spans="1:6" x14ac:dyDescent="0.45">
      <c r="A3363">
        <v>56</v>
      </c>
      <c r="B3363">
        <v>13</v>
      </c>
      <c r="C3363">
        <v>75000</v>
      </c>
      <c r="D3363" t="s">
        <v>71</v>
      </c>
      <c r="E3363" t="s">
        <v>74</v>
      </c>
      <c r="F3363" t="s">
        <v>79</v>
      </c>
    </row>
    <row r="3364" spans="1:6" x14ac:dyDescent="0.45">
      <c r="A3364">
        <v>40</v>
      </c>
      <c r="B3364">
        <v>13</v>
      </c>
      <c r="C3364">
        <v>75000</v>
      </c>
      <c r="D3364" t="s">
        <v>71</v>
      </c>
      <c r="E3364" t="s">
        <v>74</v>
      </c>
      <c r="F3364" t="s">
        <v>79</v>
      </c>
    </row>
    <row r="3365" spans="1:6" x14ac:dyDescent="0.45">
      <c r="A3365">
        <v>58</v>
      </c>
      <c r="B3365">
        <v>13</v>
      </c>
      <c r="C3365">
        <v>75000</v>
      </c>
      <c r="D3365" t="s">
        <v>71</v>
      </c>
      <c r="E3365" t="s">
        <v>74</v>
      </c>
      <c r="F3365" t="s">
        <v>79</v>
      </c>
    </row>
    <row r="3366" spans="1:6" x14ac:dyDescent="0.45">
      <c r="A3366">
        <v>40</v>
      </c>
      <c r="B3366">
        <v>13</v>
      </c>
      <c r="C3366">
        <v>75000</v>
      </c>
      <c r="D3366" t="s">
        <v>71</v>
      </c>
      <c r="E3366" t="s">
        <v>74</v>
      </c>
      <c r="F3366" t="s">
        <v>79</v>
      </c>
    </row>
    <row r="3367" spans="1:6" x14ac:dyDescent="0.45">
      <c r="A3367">
        <v>90</v>
      </c>
      <c r="B3367">
        <v>13</v>
      </c>
      <c r="C3367">
        <v>75000</v>
      </c>
      <c r="D3367" t="s">
        <v>71</v>
      </c>
      <c r="E3367" t="s">
        <v>74</v>
      </c>
      <c r="F3367" t="s">
        <v>79</v>
      </c>
    </row>
    <row r="3368" spans="1:6" x14ac:dyDescent="0.45">
      <c r="A3368">
        <v>50</v>
      </c>
      <c r="B3368">
        <v>13</v>
      </c>
      <c r="C3368">
        <v>75000</v>
      </c>
      <c r="D3368" t="s">
        <v>71</v>
      </c>
      <c r="E3368" t="s">
        <v>74</v>
      </c>
      <c r="F3368" t="s">
        <v>79</v>
      </c>
    </row>
    <row r="3369" spans="1:6" x14ac:dyDescent="0.45">
      <c r="A3369">
        <v>40</v>
      </c>
      <c r="B3369">
        <v>13</v>
      </c>
      <c r="C3369">
        <v>75583</v>
      </c>
      <c r="D3369" t="s">
        <v>71</v>
      </c>
      <c r="E3369" t="s">
        <v>72</v>
      </c>
      <c r="F3369" t="s">
        <v>79</v>
      </c>
    </row>
    <row r="3370" spans="1:6" x14ac:dyDescent="0.45">
      <c r="A3370">
        <v>48</v>
      </c>
      <c r="B3370">
        <v>13</v>
      </c>
      <c r="C3370">
        <v>76000</v>
      </c>
      <c r="D3370" t="s">
        <v>71</v>
      </c>
      <c r="E3370" t="s">
        <v>74</v>
      </c>
      <c r="F3370" t="s">
        <v>79</v>
      </c>
    </row>
    <row r="3371" spans="1:6" x14ac:dyDescent="0.45">
      <c r="A3371">
        <v>40</v>
      </c>
      <c r="B3371">
        <v>13</v>
      </c>
      <c r="C3371">
        <v>76000</v>
      </c>
      <c r="D3371" t="s">
        <v>71</v>
      </c>
      <c r="E3371" t="s">
        <v>74</v>
      </c>
      <c r="F3371" t="s">
        <v>79</v>
      </c>
    </row>
    <row r="3372" spans="1:6" x14ac:dyDescent="0.45">
      <c r="A3372">
        <v>50</v>
      </c>
      <c r="B3372">
        <v>13</v>
      </c>
      <c r="C3372">
        <v>78000</v>
      </c>
      <c r="D3372" t="s">
        <v>71</v>
      </c>
      <c r="E3372" t="s">
        <v>74</v>
      </c>
      <c r="F3372" t="s">
        <v>79</v>
      </c>
    </row>
    <row r="3373" spans="1:6" x14ac:dyDescent="0.45">
      <c r="A3373">
        <v>40</v>
      </c>
      <c r="B3373">
        <v>13</v>
      </c>
      <c r="C3373">
        <v>78000</v>
      </c>
      <c r="D3373" t="s">
        <v>71</v>
      </c>
      <c r="E3373" t="s">
        <v>72</v>
      </c>
      <c r="F3373" t="s">
        <v>79</v>
      </c>
    </row>
    <row r="3374" spans="1:6" x14ac:dyDescent="0.45">
      <c r="A3374">
        <v>56</v>
      </c>
      <c r="B3374">
        <v>13</v>
      </c>
      <c r="C3374">
        <v>79000</v>
      </c>
      <c r="D3374" t="s">
        <v>71</v>
      </c>
      <c r="E3374" t="s">
        <v>74</v>
      </c>
      <c r="F3374" t="s">
        <v>79</v>
      </c>
    </row>
    <row r="3375" spans="1:6" x14ac:dyDescent="0.45">
      <c r="A3375">
        <v>0</v>
      </c>
      <c r="B3375">
        <v>13</v>
      </c>
      <c r="C3375">
        <v>80000</v>
      </c>
      <c r="D3375" t="s">
        <v>71</v>
      </c>
      <c r="E3375" t="s">
        <v>74</v>
      </c>
      <c r="F3375" t="s">
        <v>79</v>
      </c>
    </row>
    <row r="3376" spans="1:6" x14ac:dyDescent="0.45">
      <c r="A3376">
        <v>40</v>
      </c>
      <c r="B3376">
        <v>13</v>
      </c>
      <c r="C3376">
        <v>80000</v>
      </c>
      <c r="D3376" t="s">
        <v>71</v>
      </c>
      <c r="E3376" t="s">
        <v>74</v>
      </c>
      <c r="F3376" t="s">
        <v>79</v>
      </c>
    </row>
    <row r="3377" spans="1:6" x14ac:dyDescent="0.45">
      <c r="A3377">
        <v>40</v>
      </c>
      <c r="B3377">
        <v>13</v>
      </c>
      <c r="C3377">
        <v>80000</v>
      </c>
      <c r="D3377" t="s">
        <v>75</v>
      </c>
      <c r="E3377" t="s">
        <v>74</v>
      </c>
      <c r="F3377" t="s">
        <v>79</v>
      </c>
    </row>
    <row r="3378" spans="1:6" x14ac:dyDescent="0.45">
      <c r="A3378">
        <v>62</v>
      </c>
      <c r="B3378">
        <v>13</v>
      </c>
      <c r="C3378">
        <v>80000</v>
      </c>
      <c r="D3378" t="s">
        <v>71</v>
      </c>
      <c r="E3378" t="s">
        <v>74</v>
      </c>
      <c r="F3378" t="s">
        <v>79</v>
      </c>
    </row>
    <row r="3379" spans="1:6" x14ac:dyDescent="0.45">
      <c r="A3379">
        <v>40</v>
      </c>
      <c r="B3379">
        <v>13</v>
      </c>
      <c r="C3379">
        <v>80000</v>
      </c>
      <c r="D3379" t="s">
        <v>71</v>
      </c>
      <c r="E3379" t="s">
        <v>74</v>
      </c>
      <c r="F3379" t="s">
        <v>79</v>
      </c>
    </row>
    <row r="3380" spans="1:6" x14ac:dyDescent="0.45">
      <c r="A3380">
        <v>60</v>
      </c>
      <c r="B3380">
        <v>13</v>
      </c>
      <c r="C3380">
        <v>80000</v>
      </c>
      <c r="D3380" t="s">
        <v>71</v>
      </c>
      <c r="E3380" t="s">
        <v>74</v>
      </c>
      <c r="F3380" t="s">
        <v>79</v>
      </c>
    </row>
    <row r="3381" spans="1:6" x14ac:dyDescent="0.45">
      <c r="A3381">
        <v>40</v>
      </c>
      <c r="B3381">
        <v>13</v>
      </c>
      <c r="C3381">
        <v>80000</v>
      </c>
      <c r="D3381" t="s">
        <v>71</v>
      </c>
      <c r="E3381" t="s">
        <v>74</v>
      </c>
      <c r="F3381" t="s">
        <v>79</v>
      </c>
    </row>
    <row r="3382" spans="1:6" x14ac:dyDescent="0.45">
      <c r="A3382">
        <v>40</v>
      </c>
      <c r="B3382">
        <v>13</v>
      </c>
      <c r="C3382">
        <v>80000</v>
      </c>
      <c r="D3382" t="s">
        <v>71</v>
      </c>
      <c r="E3382" t="s">
        <v>74</v>
      </c>
      <c r="F3382" t="s">
        <v>79</v>
      </c>
    </row>
    <row r="3383" spans="1:6" x14ac:dyDescent="0.45">
      <c r="A3383">
        <v>60</v>
      </c>
      <c r="B3383">
        <v>13</v>
      </c>
      <c r="C3383">
        <v>81000</v>
      </c>
      <c r="D3383" t="s">
        <v>71</v>
      </c>
      <c r="E3383" t="s">
        <v>74</v>
      </c>
      <c r="F3383" t="s">
        <v>79</v>
      </c>
    </row>
    <row r="3384" spans="1:6" x14ac:dyDescent="0.45">
      <c r="A3384">
        <v>0</v>
      </c>
      <c r="B3384">
        <v>13</v>
      </c>
      <c r="C3384">
        <v>81400</v>
      </c>
      <c r="D3384" t="s">
        <v>71</v>
      </c>
      <c r="E3384" t="s">
        <v>74</v>
      </c>
      <c r="F3384" t="s">
        <v>79</v>
      </c>
    </row>
    <row r="3385" spans="1:6" x14ac:dyDescent="0.45">
      <c r="A3385">
        <v>82</v>
      </c>
      <c r="B3385">
        <v>13</v>
      </c>
      <c r="C3385">
        <v>83000</v>
      </c>
      <c r="D3385" t="s">
        <v>71</v>
      </c>
      <c r="E3385" t="s">
        <v>74</v>
      </c>
      <c r="F3385" t="s">
        <v>79</v>
      </c>
    </row>
    <row r="3386" spans="1:6" x14ac:dyDescent="0.45">
      <c r="A3386">
        <v>50</v>
      </c>
      <c r="B3386">
        <v>13</v>
      </c>
      <c r="C3386">
        <v>84000</v>
      </c>
      <c r="D3386" t="s">
        <v>71</v>
      </c>
      <c r="E3386" t="s">
        <v>74</v>
      </c>
      <c r="F3386" t="s">
        <v>79</v>
      </c>
    </row>
    <row r="3387" spans="1:6" x14ac:dyDescent="0.45">
      <c r="A3387">
        <v>75</v>
      </c>
      <c r="B3387">
        <v>13</v>
      </c>
      <c r="C3387">
        <v>84925</v>
      </c>
      <c r="D3387" t="s">
        <v>71</v>
      </c>
      <c r="E3387" t="s">
        <v>74</v>
      </c>
      <c r="F3387" t="s">
        <v>79</v>
      </c>
    </row>
    <row r="3388" spans="1:6" x14ac:dyDescent="0.45">
      <c r="A3388">
        <v>65</v>
      </c>
      <c r="B3388">
        <v>13</v>
      </c>
      <c r="C3388">
        <v>85000</v>
      </c>
      <c r="D3388" t="s">
        <v>71</v>
      </c>
      <c r="E3388" t="s">
        <v>72</v>
      </c>
      <c r="F3388" t="s">
        <v>79</v>
      </c>
    </row>
    <row r="3389" spans="1:6" x14ac:dyDescent="0.45">
      <c r="A3389">
        <v>40</v>
      </c>
      <c r="B3389">
        <v>13</v>
      </c>
      <c r="C3389">
        <v>85000</v>
      </c>
      <c r="D3389" t="s">
        <v>71</v>
      </c>
      <c r="E3389" t="s">
        <v>74</v>
      </c>
      <c r="F3389" t="s">
        <v>79</v>
      </c>
    </row>
    <row r="3390" spans="1:6" x14ac:dyDescent="0.45">
      <c r="A3390">
        <v>65</v>
      </c>
      <c r="B3390">
        <v>13</v>
      </c>
      <c r="C3390">
        <v>85000</v>
      </c>
      <c r="D3390" t="s">
        <v>71</v>
      </c>
      <c r="E3390" t="s">
        <v>72</v>
      </c>
      <c r="F3390" t="s">
        <v>79</v>
      </c>
    </row>
    <row r="3391" spans="1:6" x14ac:dyDescent="0.45">
      <c r="A3391">
        <v>48</v>
      </c>
      <c r="B3391">
        <v>13</v>
      </c>
      <c r="C3391">
        <v>86000</v>
      </c>
      <c r="D3391" t="s">
        <v>76</v>
      </c>
      <c r="E3391" t="s">
        <v>74</v>
      </c>
      <c r="F3391" t="s">
        <v>79</v>
      </c>
    </row>
    <row r="3392" spans="1:6" x14ac:dyDescent="0.45">
      <c r="A3392">
        <v>50</v>
      </c>
      <c r="B3392">
        <v>13</v>
      </c>
      <c r="C3392">
        <v>88000</v>
      </c>
      <c r="D3392" t="s">
        <v>71</v>
      </c>
      <c r="E3392" t="s">
        <v>74</v>
      </c>
      <c r="F3392" t="s">
        <v>79</v>
      </c>
    </row>
    <row r="3393" spans="1:6" x14ac:dyDescent="0.45">
      <c r="A3393">
        <v>55</v>
      </c>
      <c r="B3393">
        <v>13</v>
      </c>
      <c r="C3393">
        <v>88000</v>
      </c>
      <c r="D3393" t="s">
        <v>71</v>
      </c>
      <c r="E3393" t="s">
        <v>74</v>
      </c>
      <c r="F3393" t="s">
        <v>79</v>
      </c>
    </row>
    <row r="3394" spans="1:6" x14ac:dyDescent="0.45">
      <c r="A3394">
        <v>0</v>
      </c>
      <c r="B3394">
        <v>13</v>
      </c>
      <c r="C3394">
        <v>89925</v>
      </c>
      <c r="D3394" t="s">
        <v>71</v>
      </c>
      <c r="E3394" t="s">
        <v>74</v>
      </c>
      <c r="F3394" t="s">
        <v>79</v>
      </c>
    </row>
    <row r="3395" spans="1:6" x14ac:dyDescent="0.45">
      <c r="A3395">
        <v>80</v>
      </c>
      <c r="B3395">
        <v>13</v>
      </c>
      <c r="C3395">
        <v>89925</v>
      </c>
      <c r="D3395" t="s">
        <v>71</v>
      </c>
      <c r="E3395" t="s">
        <v>74</v>
      </c>
      <c r="F3395" t="s">
        <v>79</v>
      </c>
    </row>
    <row r="3396" spans="1:6" x14ac:dyDescent="0.45">
      <c r="A3396">
        <v>50</v>
      </c>
      <c r="B3396">
        <v>13</v>
      </c>
      <c r="C3396">
        <v>89925</v>
      </c>
      <c r="D3396" t="s">
        <v>71</v>
      </c>
      <c r="E3396" t="s">
        <v>74</v>
      </c>
      <c r="F3396" t="s">
        <v>79</v>
      </c>
    </row>
    <row r="3397" spans="1:6" x14ac:dyDescent="0.45">
      <c r="A3397">
        <v>60</v>
      </c>
      <c r="B3397">
        <v>13</v>
      </c>
      <c r="C3397">
        <v>91000</v>
      </c>
      <c r="D3397" t="s">
        <v>71</v>
      </c>
      <c r="E3397" t="s">
        <v>72</v>
      </c>
      <c r="F3397" t="s">
        <v>79</v>
      </c>
    </row>
    <row r="3398" spans="1:6" x14ac:dyDescent="0.45">
      <c r="A3398">
        <v>65</v>
      </c>
      <c r="B3398">
        <v>13</v>
      </c>
      <c r="C3398">
        <v>95000</v>
      </c>
      <c r="D3398" t="s">
        <v>71</v>
      </c>
      <c r="E3398" t="s">
        <v>74</v>
      </c>
      <c r="F3398" t="s">
        <v>79</v>
      </c>
    </row>
    <row r="3399" spans="1:6" x14ac:dyDescent="0.45">
      <c r="A3399">
        <v>46</v>
      </c>
      <c r="B3399">
        <v>13</v>
      </c>
      <c r="C3399">
        <v>97000</v>
      </c>
      <c r="D3399" t="s">
        <v>71</v>
      </c>
      <c r="E3399" t="s">
        <v>74</v>
      </c>
      <c r="F3399" t="s">
        <v>79</v>
      </c>
    </row>
    <row r="3400" spans="1:6" x14ac:dyDescent="0.45">
      <c r="A3400">
        <v>50</v>
      </c>
      <c r="B3400">
        <v>13</v>
      </c>
      <c r="C3400">
        <v>97000</v>
      </c>
      <c r="D3400" t="s">
        <v>71</v>
      </c>
      <c r="E3400" t="s">
        <v>72</v>
      </c>
      <c r="F3400" t="s">
        <v>79</v>
      </c>
    </row>
    <row r="3401" spans="1:6" x14ac:dyDescent="0.45">
      <c r="A3401">
        <v>40</v>
      </c>
      <c r="B3401">
        <v>13</v>
      </c>
      <c r="C3401">
        <v>98000</v>
      </c>
      <c r="D3401" t="s">
        <v>71</v>
      </c>
      <c r="E3401" t="s">
        <v>74</v>
      </c>
      <c r="F3401" t="s">
        <v>79</v>
      </c>
    </row>
    <row r="3402" spans="1:6" x14ac:dyDescent="0.45">
      <c r="A3402">
        <v>40</v>
      </c>
      <c r="B3402">
        <v>13</v>
      </c>
      <c r="C3402">
        <v>99000</v>
      </c>
      <c r="D3402" t="s">
        <v>71</v>
      </c>
      <c r="E3402" t="s">
        <v>74</v>
      </c>
      <c r="F3402" t="s">
        <v>79</v>
      </c>
    </row>
    <row r="3403" spans="1:6" x14ac:dyDescent="0.45">
      <c r="A3403">
        <v>0</v>
      </c>
      <c r="B3403">
        <v>13</v>
      </c>
      <c r="C3403">
        <v>99925</v>
      </c>
      <c r="D3403" t="s">
        <v>71</v>
      </c>
      <c r="E3403" t="s">
        <v>74</v>
      </c>
      <c r="F3403" t="s">
        <v>79</v>
      </c>
    </row>
    <row r="3404" spans="1:6" x14ac:dyDescent="0.45">
      <c r="A3404">
        <v>0</v>
      </c>
      <c r="B3404">
        <v>13</v>
      </c>
      <c r="C3404">
        <v>100000</v>
      </c>
      <c r="D3404" t="s">
        <v>71</v>
      </c>
      <c r="E3404" t="s">
        <v>74</v>
      </c>
      <c r="F3404" t="s">
        <v>79</v>
      </c>
    </row>
    <row r="3405" spans="1:6" x14ac:dyDescent="0.45">
      <c r="A3405">
        <v>40</v>
      </c>
      <c r="B3405">
        <v>13</v>
      </c>
      <c r="C3405">
        <v>100000</v>
      </c>
      <c r="D3405" t="s">
        <v>76</v>
      </c>
      <c r="E3405" t="s">
        <v>72</v>
      </c>
      <c r="F3405" t="s">
        <v>79</v>
      </c>
    </row>
    <row r="3406" spans="1:6" x14ac:dyDescent="0.45">
      <c r="A3406">
        <v>40</v>
      </c>
      <c r="B3406">
        <v>13</v>
      </c>
      <c r="C3406">
        <v>100000</v>
      </c>
      <c r="D3406" t="s">
        <v>71</v>
      </c>
      <c r="E3406" t="s">
        <v>74</v>
      </c>
      <c r="F3406" t="s">
        <v>79</v>
      </c>
    </row>
    <row r="3407" spans="1:6" x14ac:dyDescent="0.45">
      <c r="A3407">
        <v>78</v>
      </c>
      <c r="B3407">
        <v>13</v>
      </c>
      <c r="C3407">
        <v>100000</v>
      </c>
      <c r="D3407" t="s">
        <v>71</v>
      </c>
      <c r="E3407" t="s">
        <v>74</v>
      </c>
      <c r="F3407" t="s">
        <v>79</v>
      </c>
    </row>
    <row r="3408" spans="1:6" x14ac:dyDescent="0.45">
      <c r="A3408">
        <v>55</v>
      </c>
      <c r="B3408">
        <v>13</v>
      </c>
      <c r="C3408">
        <v>100000</v>
      </c>
      <c r="D3408" t="s">
        <v>71</v>
      </c>
      <c r="E3408" t="s">
        <v>74</v>
      </c>
      <c r="F3408" t="s">
        <v>79</v>
      </c>
    </row>
    <row r="3409" spans="1:6" x14ac:dyDescent="0.45">
      <c r="A3409">
        <v>45</v>
      </c>
      <c r="B3409">
        <v>13</v>
      </c>
      <c r="C3409">
        <v>100406</v>
      </c>
      <c r="D3409" t="s">
        <v>71</v>
      </c>
      <c r="E3409" t="s">
        <v>74</v>
      </c>
      <c r="F3409" t="s">
        <v>79</v>
      </c>
    </row>
    <row r="3410" spans="1:6" x14ac:dyDescent="0.45">
      <c r="A3410">
        <v>55</v>
      </c>
      <c r="B3410">
        <v>13</v>
      </c>
      <c r="C3410">
        <v>107665</v>
      </c>
      <c r="D3410" t="s">
        <v>71</v>
      </c>
      <c r="E3410" t="s">
        <v>74</v>
      </c>
      <c r="F3410" t="s">
        <v>79</v>
      </c>
    </row>
    <row r="3411" spans="1:6" x14ac:dyDescent="0.45">
      <c r="A3411">
        <v>62</v>
      </c>
      <c r="B3411">
        <v>13</v>
      </c>
      <c r="C3411">
        <v>107828</v>
      </c>
      <c r="D3411" t="s">
        <v>71</v>
      </c>
      <c r="E3411" t="s">
        <v>74</v>
      </c>
      <c r="F3411" t="s">
        <v>79</v>
      </c>
    </row>
    <row r="3412" spans="1:6" x14ac:dyDescent="0.45">
      <c r="A3412">
        <v>70</v>
      </c>
      <c r="B3412">
        <v>13</v>
      </c>
      <c r="C3412">
        <v>108600</v>
      </c>
      <c r="D3412" t="s">
        <v>71</v>
      </c>
      <c r="E3412" t="s">
        <v>74</v>
      </c>
      <c r="F3412" t="s">
        <v>79</v>
      </c>
    </row>
    <row r="3413" spans="1:6" x14ac:dyDescent="0.45">
      <c r="A3413">
        <v>40</v>
      </c>
      <c r="B3413">
        <v>13</v>
      </c>
      <c r="C3413">
        <v>109925</v>
      </c>
      <c r="D3413" t="s">
        <v>71</v>
      </c>
      <c r="E3413" t="s">
        <v>74</v>
      </c>
      <c r="F3413" t="s">
        <v>79</v>
      </c>
    </row>
    <row r="3414" spans="1:6" x14ac:dyDescent="0.45">
      <c r="A3414">
        <v>40</v>
      </c>
      <c r="B3414">
        <v>13</v>
      </c>
      <c r="C3414">
        <v>109925</v>
      </c>
      <c r="D3414" t="s">
        <v>71</v>
      </c>
      <c r="E3414" t="s">
        <v>74</v>
      </c>
      <c r="F3414" t="s">
        <v>79</v>
      </c>
    </row>
    <row r="3415" spans="1:6" x14ac:dyDescent="0.45">
      <c r="A3415">
        <v>48</v>
      </c>
      <c r="B3415">
        <v>13</v>
      </c>
      <c r="C3415">
        <v>110005</v>
      </c>
      <c r="D3415" t="s">
        <v>76</v>
      </c>
      <c r="E3415" t="s">
        <v>72</v>
      </c>
      <c r="F3415" t="s">
        <v>79</v>
      </c>
    </row>
    <row r="3416" spans="1:6" x14ac:dyDescent="0.45">
      <c r="A3416">
        <v>40</v>
      </c>
      <c r="B3416">
        <v>13</v>
      </c>
      <c r="C3416">
        <v>120000</v>
      </c>
      <c r="D3416" t="s">
        <v>71</v>
      </c>
      <c r="E3416" t="s">
        <v>74</v>
      </c>
      <c r="F3416" t="s">
        <v>79</v>
      </c>
    </row>
    <row r="3417" spans="1:6" x14ac:dyDescent="0.45">
      <c r="A3417">
        <v>65</v>
      </c>
      <c r="B3417">
        <v>13</v>
      </c>
      <c r="C3417">
        <v>129000</v>
      </c>
      <c r="D3417" t="s">
        <v>71</v>
      </c>
      <c r="E3417" t="s">
        <v>74</v>
      </c>
      <c r="F3417" t="s">
        <v>79</v>
      </c>
    </row>
    <row r="3418" spans="1:6" x14ac:dyDescent="0.45">
      <c r="A3418">
        <v>45</v>
      </c>
      <c r="B3418">
        <v>13</v>
      </c>
      <c r="C3418">
        <v>130000</v>
      </c>
      <c r="D3418" t="s">
        <v>76</v>
      </c>
      <c r="E3418" t="s">
        <v>74</v>
      </c>
      <c r="F3418" t="s">
        <v>79</v>
      </c>
    </row>
    <row r="3419" spans="1:6" x14ac:dyDescent="0.45">
      <c r="A3419">
        <v>40</v>
      </c>
      <c r="B3419">
        <v>13</v>
      </c>
      <c r="C3419">
        <v>135000</v>
      </c>
      <c r="D3419" t="s">
        <v>71</v>
      </c>
      <c r="E3419" t="s">
        <v>74</v>
      </c>
      <c r="F3419" t="s">
        <v>79</v>
      </c>
    </row>
    <row r="3420" spans="1:6" x14ac:dyDescent="0.45">
      <c r="A3420">
        <v>0</v>
      </c>
      <c r="B3420">
        <v>13</v>
      </c>
      <c r="C3420">
        <v>140000</v>
      </c>
      <c r="D3420" t="s">
        <v>71</v>
      </c>
      <c r="E3420" t="s">
        <v>72</v>
      </c>
      <c r="F3420" t="s">
        <v>79</v>
      </c>
    </row>
    <row r="3421" spans="1:6" x14ac:dyDescent="0.45">
      <c r="A3421">
        <v>60</v>
      </c>
      <c r="B3421">
        <v>13</v>
      </c>
      <c r="C3421">
        <v>150000</v>
      </c>
      <c r="D3421" t="s">
        <v>71</v>
      </c>
      <c r="E3421" t="s">
        <v>74</v>
      </c>
      <c r="F3421" t="s">
        <v>79</v>
      </c>
    </row>
    <row r="3422" spans="1:6" x14ac:dyDescent="0.45">
      <c r="A3422">
        <v>40</v>
      </c>
      <c r="B3422">
        <v>13</v>
      </c>
      <c r="C3422">
        <v>150000</v>
      </c>
      <c r="D3422" t="s">
        <v>71</v>
      </c>
      <c r="E3422" t="s">
        <v>74</v>
      </c>
      <c r="F3422" t="s">
        <v>79</v>
      </c>
    </row>
    <row r="3423" spans="1:6" x14ac:dyDescent="0.45">
      <c r="A3423">
        <v>0</v>
      </c>
      <c r="B3423">
        <v>13</v>
      </c>
      <c r="C3423">
        <v>150000</v>
      </c>
      <c r="D3423" t="s">
        <v>71</v>
      </c>
      <c r="E3423" t="s">
        <v>74</v>
      </c>
      <c r="F3423" t="s">
        <v>79</v>
      </c>
    </row>
    <row r="3424" spans="1:6" x14ac:dyDescent="0.45">
      <c r="A3424">
        <v>50</v>
      </c>
      <c r="B3424">
        <v>13</v>
      </c>
      <c r="C3424">
        <v>306731</v>
      </c>
      <c r="D3424" t="s">
        <v>71</v>
      </c>
      <c r="E3424" t="s">
        <v>74</v>
      </c>
      <c r="F3424" t="s">
        <v>79</v>
      </c>
    </row>
    <row r="3425" spans="1:6" x14ac:dyDescent="0.45">
      <c r="A3425">
        <v>50</v>
      </c>
      <c r="B3425">
        <v>13</v>
      </c>
      <c r="C3425">
        <v>306731</v>
      </c>
      <c r="D3425" t="s">
        <v>71</v>
      </c>
      <c r="E3425" t="s">
        <v>74</v>
      </c>
      <c r="F3425" t="s">
        <v>79</v>
      </c>
    </row>
    <row r="3426" spans="1:6" x14ac:dyDescent="0.45">
      <c r="A3426">
        <v>40</v>
      </c>
      <c r="B3426">
        <v>13</v>
      </c>
      <c r="C3426">
        <v>306731</v>
      </c>
      <c r="D3426" t="s">
        <v>71</v>
      </c>
      <c r="E3426" t="s">
        <v>74</v>
      </c>
      <c r="F3426" t="s">
        <v>79</v>
      </c>
    </row>
    <row r="3427" spans="1:6" x14ac:dyDescent="0.45">
      <c r="A3427">
        <v>60</v>
      </c>
      <c r="B3427">
        <v>13</v>
      </c>
      <c r="C3427">
        <v>306731</v>
      </c>
      <c r="D3427" t="s">
        <v>71</v>
      </c>
      <c r="E3427" t="s">
        <v>74</v>
      </c>
      <c r="F3427" t="s">
        <v>79</v>
      </c>
    </row>
    <row r="3428" spans="1:6" x14ac:dyDescent="0.45">
      <c r="A3428">
        <v>40</v>
      </c>
      <c r="B3428">
        <v>13</v>
      </c>
      <c r="C3428">
        <v>315731</v>
      </c>
      <c r="D3428" t="s">
        <v>71</v>
      </c>
      <c r="E3428" t="s">
        <v>74</v>
      </c>
      <c r="F3428" t="s">
        <v>79</v>
      </c>
    </row>
    <row r="3429" spans="1:6" x14ac:dyDescent="0.45">
      <c r="A3429">
        <v>48</v>
      </c>
      <c r="B3429">
        <v>13</v>
      </c>
      <c r="C3429">
        <v>390510</v>
      </c>
      <c r="D3429" t="s">
        <v>71</v>
      </c>
      <c r="E3429" t="s">
        <v>72</v>
      </c>
      <c r="F3429" t="s">
        <v>79</v>
      </c>
    </row>
    <row r="3430" spans="1:6" x14ac:dyDescent="0.45">
      <c r="A3430">
        <v>55</v>
      </c>
      <c r="B3430">
        <v>13</v>
      </c>
      <c r="C3430">
        <v>402204</v>
      </c>
      <c r="D3430" t="s">
        <v>71</v>
      </c>
      <c r="E3430" t="s">
        <v>72</v>
      </c>
      <c r="F3430" t="s">
        <v>79</v>
      </c>
    </row>
    <row r="3431" spans="1:6" x14ac:dyDescent="0.45">
      <c r="A3431">
        <v>40</v>
      </c>
      <c r="B3431">
        <v>12</v>
      </c>
      <c r="C3431">
        <v>135</v>
      </c>
      <c r="D3431" t="s">
        <v>71</v>
      </c>
      <c r="E3431" t="s">
        <v>74</v>
      </c>
      <c r="F3431" t="s">
        <v>80</v>
      </c>
    </row>
    <row r="3432" spans="1:6" x14ac:dyDescent="0.45">
      <c r="A3432">
        <v>60</v>
      </c>
      <c r="B3432">
        <v>12</v>
      </c>
      <c r="C3432">
        <v>300</v>
      </c>
      <c r="D3432" t="s">
        <v>71</v>
      </c>
      <c r="E3432" t="s">
        <v>74</v>
      </c>
      <c r="F3432" t="s">
        <v>80</v>
      </c>
    </row>
    <row r="3433" spans="1:6" x14ac:dyDescent="0.45">
      <c r="A3433">
        <v>40</v>
      </c>
      <c r="B3433">
        <v>12</v>
      </c>
      <c r="C3433">
        <v>400</v>
      </c>
      <c r="D3433" t="s">
        <v>76</v>
      </c>
      <c r="E3433" t="s">
        <v>74</v>
      </c>
      <c r="F3433" t="s">
        <v>80</v>
      </c>
    </row>
    <row r="3434" spans="1:6" x14ac:dyDescent="0.45">
      <c r="A3434">
        <v>40</v>
      </c>
      <c r="B3434">
        <v>12</v>
      </c>
      <c r="C3434">
        <v>480</v>
      </c>
      <c r="D3434" t="s">
        <v>76</v>
      </c>
      <c r="E3434" t="s">
        <v>72</v>
      </c>
      <c r="F3434" t="s">
        <v>80</v>
      </c>
    </row>
    <row r="3435" spans="1:6" x14ac:dyDescent="0.45">
      <c r="A3435">
        <v>50</v>
      </c>
      <c r="B3435">
        <v>12</v>
      </c>
      <c r="C3435">
        <v>500</v>
      </c>
      <c r="D3435" t="s">
        <v>71</v>
      </c>
      <c r="E3435" t="s">
        <v>74</v>
      </c>
      <c r="F3435" t="s">
        <v>80</v>
      </c>
    </row>
    <row r="3436" spans="1:6" x14ac:dyDescent="0.45">
      <c r="A3436">
        <v>50</v>
      </c>
      <c r="B3436">
        <v>12</v>
      </c>
      <c r="C3436">
        <v>720</v>
      </c>
      <c r="D3436" t="s">
        <v>76</v>
      </c>
      <c r="E3436" t="s">
        <v>72</v>
      </c>
      <c r="F3436" t="s">
        <v>80</v>
      </c>
    </row>
    <row r="3437" spans="1:6" x14ac:dyDescent="0.45">
      <c r="A3437">
        <v>0</v>
      </c>
      <c r="B3437">
        <v>12</v>
      </c>
      <c r="C3437">
        <v>720</v>
      </c>
      <c r="D3437" t="s">
        <v>71</v>
      </c>
      <c r="E3437" t="s">
        <v>72</v>
      </c>
      <c r="F3437" t="s">
        <v>80</v>
      </c>
    </row>
    <row r="3438" spans="1:6" x14ac:dyDescent="0.45">
      <c r="A3438">
        <v>40</v>
      </c>
      <c r="B3438">
        <v>12</v>
      </c>
      <c r="C3438">
        <v>1000</v>
      </c>
      <c r="D3438" t="s">
        <v>71</v>
      </c>
      <c r="E3438" t="s">
        <v>72</v>
      </c>
      <c r="F3438" t="s">
        <v>80</v>
      </c>
    </row>
    <row r="3439" spans="1:6" x14ac:dyDescent="0.45">
      <c r="A3439">
        <v>40</v>
      </c>
      <c r="B3439">
        <v>12</v>
      </c>
      <c r="C3439">
        <v>1100</v>
      </c>
      <c r="D3439" t="s">
        <v>71</v>
      </c>
      <c r="E3439" t="s">
        <v>72</v>
      </c>
      <c r="F3439" t="s">
        <v>80</v>
      </c>
    </row>
    <row r="3440" spans="1:6" x14ac:dyDescent="0.45">
      <c r="A3440">
        <v>40</v>
      </c>
      <c r="B3440">
        <v>12</v>
      </c>
      <c r="C3440">
        <v>1100</v>
      </c>
      <c r="D3440" t="s">
        <v>71</v>
      </c>
      <c r="E3440" t="s">
        <v>72</v>
      </c>
      <c r="F3440" t="s">
        <v>80</v>
      </c>
    </row>
    <row r="3441" spans="1:6" x14ac:dyDescent="0.45">
      <c r="A3441">
        <v>50</v>
      </c>
      <c r="B3441">
        <v>12</v>
      </c>
      <c r="C3441">
        <v>1239</v>
      </c>
      <c r="D3441" t="s">
        <v>71</v>
      </c>
      <c r="E3441" t="s">
        <v>74</v>
      </c>
      <c r="F3441" t="s">
        <v>80</v>
      </c>
    </row>
    <row r="3442" spans="1:6" x14ac:dyDescent="0.45">
      <c r="A3442">
        <v>40</v>
      </c>
      <c r="B3442">
        <v>12</v>
      </c>
      <c r="C3442">
        <v>1300</v>
      </c>
      <c r="D3442" t="s">
        <v>71</v>
      </c>
      <c r="E3442" t="s">
        <v>72</v>
      </c>
      <c r="F3442" t="s">
        <v>80</v>
      </c>
    </row>
    <row r="3443" spans="1:6" x14ac:dyDescent="0.45">
      <c r="A3443">
        <v>40</v>
      </c>
      <c r="B3443">
        <v>12</v>
      </c>
      <c r="C3443">
        <v>1395</v>
      </c>
      <c r="D3443" t="s">
        <v>71</v>
      </c>
      <c r="E3443" t="s">
        <v>72</v>
      </c>
      <c r="F3443" t="s">
        <v>80</v>
      </c>
    </row>
    <row r="3444" spans="1:6" x14ac:dyDescent="0.45">
      <c r="A3444">
        <v>40</v>
      </c>
      <c r="B3444">
        <v>12</v>
      </c>
      <c r="C3444">
        <v>1500</v>
      </c>
      <c r="D3444" t="s">
        <v>76</v>
      </c>
      <c r="E3444" t="s">
        <v>74</v>
      </c>
      <c r="F3444" t="s">
        <v>80</v>
      </c>
    </row>
    <row r="3445" spans="1:6" x14ac:dyDescent="0.45">
      <c r="A3445">
        <v>40</v>
      </c>
      <c r="B3445">
        <v>12</v>
      </c>
      <c r="C3445">
        <v>1600</v>
      </c>
      <c r="D3445" t="s">
        <v>71</v>
      </c>
      <c r="E3445" t="s">
        <v>72</v>
      </c>
      <c r="F3445" t="s">
        <v>80</v>
      </c>
    </row>
    <row r="3446" spans="1:6" x14ac:dyDescent="0.45">
      <c r="A3446">
        <v>40</v>
      </c>
      <c r="B3446">
        <v>12</v>
      </c>
      <c r="C3446">
        <v>1600</v>
      </c>
      <c r="D3446" t="s">
        <v>76</v>
      </c>
      <c r="E3446" t="s">
        <v>72</v>
      </c>
      <c r="F3446" t="s">
        <v>80</v>
      </c>
    </row>
    <row r="3447" spans="1:6" x14ac:dyDescent="0.45">
      <c r="A3447">
        <v>40</v>
      </c>
      <c r="B3447">
        <v>12</v>
      </c>
      <c r="C3447">
        <v>2000</v>
      </c>
      <c r="D3447" t="s">
        <v>71</v>
      </c>
      <c r="E3447" t="s">
        <v>72</v>
      </c>
      <c r="F3447" t="s">
        <v>80</v>
      </c>
    </row>
    <row r="3448" spans="1:6" x14ac:dyDescent="0.45">
      <c r="A3448">
        <v>65</v>
      </c>
      <c r="B3448">
        <v>12</v>
      </c>
      <c r="C3448">
        <v>2000</v>
      </c>
      <c r="D3448" t="s">
        <v>75</v>
      </c>
      <c r="E3448" t="s">
        <v>72</v>
      </c>
      <c r="F3448" t="s">
        <v>80</v>
      </c>
    </row>
    <row r="3449" spans="1:6" x14ac:dyDescent="0.45">
      <c r="A3449">
        <v>40</v>
      </c>
      <c r="B3449">
        <v>12</v>
      </c>
      <c r="C3449">
        <v>2060</v>
      </c>
      <c r="D3449" t="s">
        <v>71</v>
      </c>
      <c r="E3449" t="s">
        <v>72</v>
      </c>
      <c r="F3449" t="s">
        <v>80</v>
      </c>
    </row>
    <row r="3450" spans="1:6" x14ac:dyDescent="0.45">
      <c r="A3450">
        <v>45</v>
      </c>
      <c r="B3450">
        <v>12</v>
      </c>
      <c r="C3450">
        <v>2242</v>
      </c>
      <c r="D3450" t="s">
        <v>71</v>
      </c>
      <c r="E3450" t="s">
        <v>72</v>
      </c>
      <c r="F3450" t="s">
        <v>80</v>
      </c>
    </row>
    <row r="3451" spans="1:6" x14ac:dyDescent="0.45">
      <c r="A3451">
        <v>40</v>
      </c>
      <c r="B3451">
        <v>12</v>
      </c>
      <c r="C3451">
        <v>2400</v>
      </c>
      <c r="D3451" t="s">
        <v>71</v>
      </c>
      <c r="E3451" t="s">
        <v>72</v>
      </c>
      <c r="F3451" t="s">
        <v>80</v>
      </c>
    </row>
    <row r="3452" spans="1:6" x14ac:dyDescent="0.45">
      <c r="A3452">
        <v>40</v>
      </c>
      <c r="B3452">
        <v>12</v>
      </c>
      <c r="C3452">
        <v>2500</v>
      </c>
      <c r="D3452" t="s">
        <v>71</v>
      </c>
      <c r="E3452" t="s">
        <v>74</v>
      </c>
      <c r="F3452" t="s">
        <v>80</v>
      </c>
    </row>
    <row r="3453" spans="1:6" x14ac:dyDescent="0.45">
      <c r="A3453">
        <v>40</v>
      </c>
      <c r="B3453">
        <v>12</v>
      </c>
      <c r="C3453">
        <v>2500</v>
      </c>
      <c r="D3453" t="s">
        <v>71</v>
      </c>
      <c r="E3453" t="s">
        <v>74</v>
      </c>
      <c r="F3453" t="s">
        <v>80</v>
      </c>
    </row>
    <row r="3454" spans="1:6" x14ac:dyDescent="0.45">
      <c r="A3454">
        <v>40</v>
      </c>
      <c r="B3454">
        <v>12</v>
      </c>
      <c r="C3454">
        <v>2600</v>
      </c>
      <c r="D3454" t="s">
        <v>71</v>
      </c>
      <c r="E3454" t="s">
        <v>72</v>
      </c>
      <c r="F3454" t="s">
        <v>80</v>
      </c>
    </row>
    <row r="3455" spans="1:6" x14ac:dyDescent="0.45">
      <c r="A3455">
        <v>40</v>
      </c>
      <c r="B3455">
        <v>12</v>
      </c>
      <c r="C3455">
        <v>2600</v>
      </c>
      <c r="D3455" t="s">
        <v>76</v>
      </c>
      <c r="E3455" t="s">
        <v>74</v>
      </c>
      <c r="F3455" t="s">
        <v>80</v>
      </c>
    </row>
    <row r="3456" spans="1:6" x14ac:dyDescent="0.45">
      <c r="A3456">
        <v>55</v>
      </c>
      <c r="B3456">
        <v>12</v>
      </c>
      <c r="C3456">
        <v>2750</v>
      </c>
      <c r="D3456" t="s">
        <v>71</v>
      </c>
      <c r="E3456" t="s">
        <v>74</v>
      </c>
      <c r="F3456" t="s">
        <v>80</v>
      </c>
    </row>
    <row r="3457" spans="1:6" x14ac:dyDescent="0.45">
      <c r="A3457">
        <v>40</v>
      </c>
      <c r="B3457">
        <v>12</v>
      </c>
      <c r="C3457">
        <v>2900</v>
      </c>
      <c r="D3457" t="s">
        <v>71</v>
      </c>
      <c r="E3457" t="s">
        <v>72</v>
      </c>
      <c r="F3457" t="s">
        <v>80</v>
      </c>
    </row>
    <row r="3458" spans="1:6" x14ac:dyDescent="0.45">
      <c r="A3458">
        <v>40</v>
      </c>
      <c r="B3458">
        <v>12</v>
      </c>
      <c r="C3458">
        <v>3000</v>
      </c>
      <c r="D3458" t="s">
        <v>71</v>
      </c>
      <c r="E3458" t="s">
        <v>74</v>
      </c>
      <c r="F3458" t="s">
        <v>80</v>
      </c>
    </row>
    <row r="3459" spans="1:6" x14ac:dyDescent="0.45">
      <c r="A3459">
        <v>40</v>
      </c>
      <c r="B3459">
        <v>12</v>
      </c>
      <c r="C3459">
        <v>3000</v>
      </c>
      <c r="D3459" t="s">
        <v>71</v>
      </c>
      <c r="E3459" t="s">
        <v>72</v>
      </c>
      <c r="F3459" t="s">
        <v>80</v>
      </c>
    </row>
    <row r="3460" spans="1:6" x14ac:dyDescent="0.45">
      <c r="A3460">
        <v>40</v>
      </c>
      <c r="B3460">
        <v>12</v>
      </c>
      <c r="C3460">
        <v>3000</v>
      </c>
      <c r="D3460" t="s">
        <v>75</v>
      </c>
      <c r="E3460" t="s">
        <v>72</v>
      </c>
      <c r="F3460" t="s">
        <v>80</v>
      </c>
    </row>
    <row r="3461" spans="1:6" x14ac:dyDescent="0.45">
      <c r="A3461">
        <v>40</v>
      </c>
      <c r="B3461">
        <v>12</v>
      </c>
      <c r="C3461">
        <v>3000</v>
      </c>
      <c r="D3461" t="s">
        <v>71</v>
      </c>
      <c r="E3461" t="s">
        <v>74</v>
      </c>
      <c r="F3461" t="s">
        <v>80</v>
      </c>
    </row>
    <row r="3462" spans="1:6" x14ac:dyDescent="0.45">
      <c r="A3462">
        <v>40</v>
      </c>
      <c r="B3462">
        <v>12</v>
      </c>
      <c r="C3462">
        <v>3000</v>
      </c>
      <c r="D3462" t="s">
        <v>71</v>
      </c>
      <c r="E3462" t="s">
        <v>72</v>
      </c>
      <c r="F3462" t="s">
        <v>80</v>
      </c>
    </row>
    <row r="3463" spans="1:6" x14ac:dyDescent="0.45">
      <c r="A3463">
        <v>35</v>
      </c>
      <c r="B3463">
        <v>12</v>
      </c>
      <c r="C3463">
        <v>3000</v>
      </c>
      <c r="D3463" t="s">
        <v>71</v>
      </c>
      <c r="E3463" t="s">
        <v>74</v>
      </c>
      <c r="F3463" t="s">
        <v>80</v>
      </c>
    </row>
    <row r="3464" spans="1:6" x14ac:dyDescent="0.45">
      <c r="A3464">
        <v>39</v>
      </c>
      <c r="B3464">
        <v>12</v>
      </c>
      <c r="C3464">
        <v>3000</v>
      </c>
      <c r="D3464" t="s">
        <v>71</v>
      </c>
      <c r="E3464" t="s">
        <v>72</v>
      </c>
      <c r="F3464" t="s">
        <v>80</v>
      </c>
    </row>
    <row r="3465" spans="1:6" x14ac:dyDescent="0.45">
      <c r="A3465">
        <v>40</v>
      </c>
      <c r="B3465">
        <v>12</v>
      </c>
      <c r="C3465">
        <v>3000</v>
      </c>
      <c r="D3465" t="s">
        <v>71</v>
      </c>
      <c r="E3465" t="s">
        <v>72</v>
      </c>
      <c r="F3465" t="s">
        <v>80</v>
      </c>
    </row>
    <row r="3466" spans="1:6" x14ac:dyDescent="0.45">
      <c r="A3466">
        <v>40</v>
      </c>
      <c r="B3466">
        <v>12</v>
      </c>
      <c r="C3466">
        <v>3162</v>
      </c>
      <c r="D3466" t="s">
        <v>71</v>
      </c>
      <c r="E3466" t="s">
        <v>72</v>
      </c>
      <c r="F3466" t="s">
        <v>80</v>
      </c>
    </row>
    <row r="3467" spans="1:6" x14ac:dyDescent="0.45">
      <c r="A3467">
        <v>40</v>
      </c>
      <c r="B3467">
        <v>12</v>
      </c>
      <c r="C3467">
        <v>3168</v>
      </c>
      <c r="D3467" t="s">
        <v>71</v>
      </c>
      <c r="E3467" t="s">
        <v>72</v>
      </c>
      <c r="F3467" t="s">
        <v>80</v>
      </c>
    </row>
    <row r="3468" spans="1:6" x14ac:dyDescent="0.45">
      <c r="A3468">
        <v>74</v>
      </c>
      <c r="B3468">
        <v>12</v>
      </c>
      <c r="C3468">
        <v>3200</v>
      </c>
      <c r="D3468" t="s">
        <v>71</v>
      </c>
      <c r="E3468" t="s">
        <v>72</v>
      </c>
      <c r="F3468" t="s">
        <v>80</v>
      </c>
    </row>
    <row r="3469" spans="1:6" x14ac:dyDescent="0.45">
      <c r="A3469">
        <v>54</v>
      </c>
      <c r="B3469">
        <v>12</v>
      </c>
      <c r="C3469">
        <v>3337</v>
      </c>
      <c r="D3469" t="s">
        <v>71</v>
      </c>
      <c r="E3469" t="s">
        <v>72</v>
      </c>
      <c r="F3469" t="s">
        <v>80</v>
      </c>
    </row>
    <row r="3470" spans="1:6" x14ac:dyDescent="0.45">
      <c r="A3470">
        <v>40</v>
      </c>
      <c r="B3470">
        <v>12</v>
      </c>
      <c r="C3470">
        <v>3500</v>
      </c>
      <c r="D3470" t="s">
        <v>71</v>
      </c>
      <c r="E3470" t="s">
        <v>72</v>
      </c>
      <c r="F3470" t="s">
        <v>80</v>
      </c>
    </row>
    <row r="3471" spans="1:6" x14ac:dyDescent="0.45">
      <c r="A3471">
        <v>40</v>
      </c>
      <c r="B3471">
        <v>12</v>
      </c>
      <c r="C3471">
        <v>3500</v>
      </c>
      <c r="D3471" t="s">
        <v>71</v>
      </c>
      <c r="E3471" t="s">
        <v>72</v>
      </c>
      <c r="F3471" t="s">
        <v>80</v>
      </c>
    </row>
    <row r="3472" spans="1:6" x14ac:dyDescent="0.45">
      <c r="A3472">
        <v>40</v>
      </c>
      <c r="B3472">
        <v>12</v>
      </c>
      <c r="C3472">
        <v>3500</v>
      </c>
      <c r="D3472" t="s">
        <v>71</v>
      </c>
      <c r="E3472" t="s">
        <v>72</v>
      </c>
      <c r="F3472" t="s">
        <v>80</v>
      </c>
    </row>
    <row r="3473" spans="1:6" x14ac:dyDescent="0.45">
      <c r="A3473">
        <v>40</v>
      </c>
      <c r="B3473">
        <v>12</v>
      </c>
      <c r="C3473">
        <v>3600</v>
      </c>
      <c r="D3473" t="s">
        <v>71</v>
      </c>
      <c r="E3473" t="s">
        <v>72</v>
      </c>
      <c r="F3473" t="s">
        <v>80</v>
      </c>
    </row>
    <row r="3474" spans="1:6" x14ac:dyDescent="0.45">
      <c r="A3474">
        <v>48</v>
      </c>
      <c r="B3474">
        <v>12</v>
      </c>
      <c r="C3474">
        <v>4000</v>
      </c>
      <c r="D3474" t="s">
        <v>71</v>
      </c>
      <c r="E3474" t="s">
        <v>74</v>
      </c>
      <c r="F3474" t="s">
        <v>80</v>
      </c>
    </row>
    <row r="3475" spans="1:6" x14ac:dyDescent="0.45">
      <c r="A3475">
        <v>40</v>
      </c>
      <c r="B3475">
        <v>12</v>
      </c>
      <c r="C3475">
        <v>4000</v>
      </c>
      <c r="D3475" t="s">
        <v>76</v>
      </c>
      <c r="E3475" t="s">
        <v>72</v>
      </c>
      <c r="F3475" t="s">
        <v>80</v>
      </c>
    </row>
    <row r="3476" spans="1:6" x14ac:dyDescent="0.45">
      <c r="A3476">
        <v>0</v>
      </c>
      <c r="B3476">
        <v>12</v>
      </c>
      <c r="C3476">
        <v>4000</v>
      </c>
      <c r="D3476" t="s">
        <v>76</v>
      </c>
      <c r="E3476" t="s">
        <v>72</v>
      </c>
      <c r="F3476" t="s">
        <v>80</v>
      </c>
    </row>
    <row r="3477" spans="1:6" x14ac:dyDescent="0.45">
      <c r="A3477">
        <v>40</v>
      </c>
      <c r="B3477">
        <v>12</v>
      </c>
      <c r="C3477">
        <v>4000</v>
      </c>
      <c r="D3477" t="s">
        <v>71</v>
      </c>
      <c r="E3477" t="s">
        <v>74</v>
      </c>
      <c r="F3477" t="s">
        <v>80</v>
      </c>
    </row>
    <row r="3478" spans="1:6" x14ac:dyDescent="0.45">
      <c r="A3478">
        <v>35</v>
      </c>
      <c r="B3478">
        <v>12</v>
      </c>
      <c r="C3478">
        <v>4073</v>
      </c>
      <c r="D3478" t="s">
        <v>71</v>
      </c>
      <c r="E3478" t="s">
        <v>74</v>
      </c>
      <c r="F3478" t="s">
        <v>80</v>
      </c>
    </row>
    <row r="3479" spans="1:6" x14ac:dyDescent="0.45">
      <c r="A3479">
        <v>40</v>
      </c>
      <c r="B3479">
        <v>12</v>
      </c>
      <c r="C3479">
        <v>4200</v>
      </c>
      <c r="D3479" t="s">
        <v>71</v>
      </c>
      <c r="E3479" t="s">
        <v>72</v>
      </c>
      <c r="F3479" t="s">
        <v>80</v>
      </c>
    </row>
    <row r="3480" spans="1:6" x14ac:dyDescent="0.45">
      <c r="A3480">
        <v>36</v>
      </c>
      <c r="B3480">
        <v>12</v>
      </c>
      <c r="C3480">
        <v>4300</v>
      </c>
      <c r="D3480" t="s">
        <v>76</v>
      </c>
      <c r="E3480" t="s">
        <v>72</v>
      </c>
      <c r="F3480" t="s">
        <v>80</v>
      </c>
    </row>
    <row r="3481" spans="1:6" x14ac:dyDescent="0.45">
      <c r="A3481">
        <v>40</v>
      </c>
      <c r="B3481">
        <v>12</v>
      </c>
      <c r="C3481">
        <v>4480</v>
      </c>
      <c r="D3481" t="s">
        <v>71</v>
      </c>
      <c r="E3481" t="s">
        <v>74</v>
      </c>
      <c r="F3481" t="s">
        <v>80</v>
      </c>
    </row>
    <row r="3482" spans="1:6" x14ac:dyDescent="0.45">
      <c r="A3482">
        <v>37</v>
      </c>
      <c r="B3482">
        <v>12</v>
      </c>
      <c r="C3482">
        <v>4500</v>
      </c>
      <c r="D3482" t="s">
        <v>71</v>
      </c>
      <c r="E3482" t="s">
        <v>72</v>
      </c>
      <c r="F3482" t="s">
        <v>80</v>
      </c>
    </row>
    <row r="3483" spans="1:6" x14ac:dyDescent="0.45">
      <c r="A3483">
        <v>40</v>
      </c>
      <c r="B3483">
        <v>12</v>
      </c>
      <c r="C3483">
        <v>4753</v>
      </c>
      <c r="D3483" t="s">
        <v>71</v>
      </c>
      <c r="E3483" t="s">
        <v>74</v>
      </c>
      <c r="F3483" t="s">
        <v>80</v>
      </c>
    </row>
    <row r="3484" spans="1:6" x14ac:dyDescent="0.45">
      <c r="A3484">
        <v>40</v>
      </c>
      <c r="B3484">
        <v>12</v>
      </c>
      <c r="C3484">
        <v>4900</v>
      </c>
      <c r="D3484" t="s">
        <v>71</v>
      </c>
      <c r="E3484" t="s">
        <v>72</v>
      </c>
      <c r="F3484" t="s">
        <v>80</v>
      </c>
    </row>
    <row r="3485" spans="1:6" x14ac:dyDescent="0.45">
      <c r="A3485">
        <v>40</v>
      </c>
      <c r="B3485">
        <v>12</v>
      </c>
      <c r="C3485">
        <v>4914</v>
      </c>
      <c r="D3485" t="s">
        <v>71</v>
      </c>
      <c r="E3485" t="s">
        <v>72</v>
      </c>
      <c r="F3485" t="s">
        <v>80</v>
      </c>
    </row>
    <row r="3486" spans="1:6" x14ac:dyDescent="0.45">
      <c r="A3486">
        <v>35</v>
      </c>
      <c r="B3486">
        <v>12</v>
      </c>
      <c r="C3486">
        <v>4990</v>
      </c>
      <c r="D3486" t="s">
        <v>71</v>
      </c>
      <c r="E3486" t="s">
        <v>72</v>
      </c>
      <c r="F3486" t="s">
        <v>80</v>
      </c>
    </row>
    <row r="3487" spans="1:6" x14ac:dyDescent="0.45">
      <c r="A3487">
        <v>40</v>
      </c>
      <c r="B3487">
        <v>12</v>
      </c>
      <c r="C3487">
        <v>5000</v>
      </c>
      <c r="D3487" t="s">
        <v>71</v>
      </c>
      <c r="E3487" t="s">
        <v>72</v>
      </c>
      <c r="F3487" t="s">
        <v>80</v>
      </c>
    </row>
    <row r="3488" spans="1:6" x14ac:dyDescent="0.45">
      <c r="A3488">
        <v>0</v>
      </c>
      <c r="B3488">
        <v>12</v>
      </c>
      <c r="C3488">
        <v>5000</v>
      </c>
      <c r="D3488" t="s">
        <v>71</v>
      </c>
      <c r="E3488" t="s">
        <v>74</v>
      </c>
      <c r="F3488" t="s">
        <v>80</v>
      </c>
    </row>
    <row r="3489" spans="1:6" x14ac:dyDescent="0.45">
      <c r="A3489">
        <v>52</v>
      </c>
      <c r="B3489">
        <v>12</v>
      </c>
      <c r="C3489">
        <v>5000</v>
      </c>
      <c r="D3489" t="s">
        <v>71</v>
      </c>
      <c r="E3489" t="s">
        <v>72</v>
      </c>
      <c r="F3489" t="s">
        <v>80</v>
      </c>
    </row>
    <row r="3490" spans="1:6" x14ac:dyDescent="0.45">
      <c r="A3490">
        <v>48</v>
      </c>
      <c r="B3490">
        <v>12</v>
      </c>
      <c r="C3490">
        <v>5000</v>
      </c>
      <c r="D3490" t="s">
        <v>71</v>
      </c>
      <c r="E3490" t="s">
        <v>72</v>
      </c>
      <c r="F3490" t="s">
        <v>80</v>
      </c>
    </row>
    <row r="3491" spans="1:6" x14ac:dyDescent="0.45">
      <c r="A3491">
        <v>35</v>
      </c>
      <c r="B3491">
        <v>12</v>
      </c>
      <c r="C3491">
        <v>5000</v>
      </c>
      <c r="D3491" t="s">
        <v>76</v>
      </c>
      <c r="E3491" t="s">
        <v>72</v>
      </c>
      <c r="F3491" t="s">
        <v>80</v>
      </c>
    </row>
    <row r="3492" spans="1:6" x14ac:dyDescent="0.45">
      <c r="A3492">
        <v>40</v>
      </c>
      <c r="B3492">
        <v>12</v>
      </c>
      <c r="C3492">
        <v>5000</v>
      </c>
      <c r="D3492" t="s">
        <v>77</v>
      </c>
      <c r="E3492" t="s">
        <v>74</v>
      </c>
      <c r="F3492" t="s">
        <v>80</v>
      </c>
    </row>
    <row r="3493" spans="1:6" x14ac:dyDescent="0.45">
      <c r="A3493">
        <v>40</v>
      </c>
      <c r="B3493">
        <v>12</v>
      </c>
      <c r="C3493">
        <v>5120</v>
      </c>
      <c r="D3493" t="s">
        <v>71</v>
      </c>
      <c r="E3493" t="s">
        <v>74</v>
      </c>
      <c r="F3493" t="s">
        <v>80</v>
      </c>
    </row>
    <row r="3494" spans="1:6" x14ac:dyDescent="0.45">
      <c r="A3494">
        <v>0</v>
      </c>
      <c r="B3494">
        <v>12</v>
      </c>
      <c r="C3494">
        <v>5200</v>
      </c>
      <c r="D3494" t="s">
        <v>71</v>
      </c>
      <c r="E3494" t="s">
        <v>74</v>
      </c>
      <c r="F3494" t="s">
        <v>80</v>
      </c>
    </row>
    <row r="3495" spans="1:6" x14ac:dyDescent="0.45">
      <c r="A3495">
        <v>40</v>
      </c>
      <c r="B3495">
        <v>12</v>
      </c>
      <c r="C3495">
        <v>5300</v>
      </c>
      <c r="D3495" t="s">
        <v>76</v>
      </c>
      <c r="E3495" t="s">
        <v>74</v>
      </c>
      <c r="F3495" t="s">
        <v>80</v>
      </c>
    </row>
    <row r="3496" spans="1:6" x14ac:dyDescent="0.45">
      <c r="A3496">
        <v>40</v>
      </c>
      <c r="B3496">
        <v>12</v>
      </c>
      <c r="C3496">
        <v>5400</v>
      </c>
      <c r="D3496" t="s">
        <v>71</v>
      </c>
      <c r="E3496" t="s">
        <v>74</v>
      </c>
      <c r="F3496" t="s">
        <v>80</v>
      </c>
    </row>
    <row r="3497" spans="1:6" x14ac:dyDescent="0.45">
      <c r="A3497">
        <v>38</v>
      </c>
      <c r="B3497">
        <v>12</v>
      </c>
      <c r="C3497">
        <v>5498</v>
      </c>
      <c r="D3497" t="s">
        <v>71</v>
      </c>
      <c r="E3497" t="s">
        <v>72</v>
      </c>
      <c r="F3497" t="s">
        <v>80</v>
      </c>
    </row>
    <row r="3498" spans="1:6" x14ac:dyDescent="0.45">
      <c r="A3498">
        <v>0</v>
      </c>
      <c r="B3498">
        <v>12</v>
      </c>
      <c r="C3498">
        <v>5500</v>
      </c>
      <c r="D3498" t="s">
        <v>71</v>
      </c>
      <c r="E3498" t="s">
        <v>72</v>
      </c>
      <c r="F3498" t="s">
        <v>80</v>
      </c>
    </row>
    <row r="3499" spans="1:6" x14ac:dyDescent="0.45">
      <c r="A3499">
        <v>40</v>
      </c>
      <c r="B3499">
        <v>12</v>
      </c>
      <c r="C3499">
        <v>5600</v>
      </c>
      <c r="D3499" t="s">
        <v>71</v>
      </c>
      <c r="E3499" t="s">
        <v>74</v>
      </c>
      <c r="F3499" t="s">
        <v>80</v>
      </c>
    </row>
    <row r="3500" spans="1:6" x14ac:dyDescent="0.45">
      <c r="A3500">
        <v>40</v>
      </c>
      <c r="B3500">
        <v>12</v>
      </c>
      <c r="C3500">
        <v>5700</v>
      </c>
      <c r="D3500" t="s">
        <v>71</v>
      </c>
      <c r="E3500" t="s">
        <v>74</v>
      </c>
      <c r="F3500" t="s">
        <v>80</v>
      </c>
    </row>
    <row r="3501" spans="1:6" x14ac:dyDescent="0.45">
      <c r="A3501">
        <v>40</v>
      </c>
      <c r="B3501">
        <v>12</v>
      </c>
      <c r="C3501">
        <v>5850</v>
      </c>
      <c r="D3501" t="s">
        <v>71</v>
      </c>
      <c r="E3501" t="s">
        <v>72</v>
      </c>
      <c r="F3501" t="s">
        <v>80</v>
      </c>
    </row>
    <row r="3502" spans="1:6" x14ac:dyDescent="0.45">
      <c r="A3502">
        <v>0</v>
      </c>
      <c r="B3502">
        <v>12</v>
      </c>
      <c r="C3502">
        <v>5945</v>
      </c>
      <c r="D3502" t="s">
        <v>71</v>
      </c>
      <c r="E3502" t="s">
        <v>72</v>
      </c>
      <c r="F3502" t="s">
        <v>80</v>
      </c>
    </row>
    <row r="3503" spans="1:6" x14ac:dyDescent="0.45">
      <c r="A3503">
        <v>36</v>
      </c>
      <c r="B3503">
        <v>12</v>
      </c>
      <c r="C3503">
        <v>6000</v>
      </c>
      <c r="D3503" t="s">
        <v>71</v>
      </c>
      <c r="E3503" t="s">
        <v>74</v>
      </c>
      <c r="F3503" t="s">
        <v>80</v>
      </c>
    </row>
    <row r="3504" spans="1:6" x14ac:dyDescent="0.45">
      <c r="A3504">
        <v>35</v>
      </c>
      <c r="B3504">
        <v>12</v>
      </c>
      <c r="C3504">
        <v>6000</v>
      </c>
      <c r="D3504" t="s">
        <v>71</v>
      </c>
      <c r="E3504" t="s">
        <v>72</v>
      </c>
      <c r="F3504" t="s">
        <v>80</v>
      </c>
    </row>
    <row r="3505" spans="1:6" x14ac:dyDescent="0.45">
      <c r="A3505">
        <v>55</v>
      </c>
      <c r="B3505">
        <v>12</v>
      </c>
      <c r="C3505">
        <v>6000</v>
      </c>
      <c r="D3505" t="s">
        <v>71</v>
      </c>
      <c r="E3505" t="s">
        <v>74</v>
      </c>
      <c r="F3505" t="s">
        <v>80</v>
      </c>
    </row>
    <row r="3506" spans="1:6" x14ac:dyDescent="0.45">
      <c r="A3506">
        <v>40</v>
      </c>
      <c r="B3506">
        <v>12</v>
      </c>
      <c r="C3506">
        <v>6000</v>
      </c>
      <c r="D3506" t="s">
        <v>71</v>
      </c>
      <c r="E3506" t="s">
        <v>74</v>
      </c>
      <c r="F3506" t="s">
        <v>80</v>
      </c>
    </row>
    <row r="3507" spans="1:6" x14ac:dyDescent="0.45">
      <c r="A3507">
        <v>40</v>
      </c>
      <c r="B3507">
        <v>12</v>
      </c>
      <c r="C3507">
        <v>6000</v>
      </c>
      <c r="D3507" t="s">
        <v>71</v>
      </c>
      <c r="E3507" t="s">
        <v>74</v>
      </c>
      <c r="F3507" t="s">
        <v>80</v>
      </c>
    </row>
    <row r="3508" spans="1:6" x14ac:dyDescent="0.45">
      <c r="A3508">
        <v>40</v>
      </c>
      <c r="B3508">
        <v>12</v>
      </c>
      <c r="C3508">
        <v>6000</v>
      </c>
      <c r="D3508" t="s">
        <v>71</v>
      </c>
      <c r="E3508" t="s">
        <v>74</v>
      </c>
      <c r="F3508" t="s">
        <v>80</v>
      </c>
    </row>
    <row r="3509" spans="1:6" x14ac:dyDescent="0.45">
      <c r="A3509">
        <v>40</v>
      </c>
      <c r="B3509">
        <v>12</v>
      </c>
      <c r="C3509">
        <v>6000</v>
      </c>
      <c r="D3509" t="s">
        <v>71</v>
      </c>
      <c r="E3509" t="s">
        <v>74</v>
      </c>
      <c r="F3509" t="s">
        <v>80</v>
      </c>
    </row>
    <row r="3510" spans="1:6" x14ac:dyDescent="0.45">
      <c r="A3510">
        <v>40</v>
      </c>
      <c r="B3510">
        <v>12</v>
      </c>
      <c r="C3510">
        <v>6000</v>
      </c>
      <c r="D3510" t="s">
        <v>76</v>
      </c>
      <c r="E3510" t="s">
        <v>74</v>
      </c>
      <c r="F3510" t="s">
        <v>80</v>
      </c>
    </row>
    <row r="3511" spans="1:6" x14ac:dyDescent="0.45">
      <c r="A3511">
        <v>40</v>
      </c>
      <c r="B3511">
        <v>12</v>
      </c>
      <c r="C3511">
        <v>6000</v>
      </c>
      <c r="D3511" t="s">
        <v>76</v>
      </c>
      <c r="E3511" t="s">
        <v>72</v>
      </c>
      <c r="F3511" t="s">
        <v>80</v>
      </c>
    </row>
    <row r="3512" spans="1:6" x14ac:dyDescent="0.45">
      <c r="A3512">
        <v>40</v>
      </c>
      <c r="B3512">
        <v>12</v>
      </c>
      <c r="C3512">
        <v>6000</v>
      </c>
      <c r="D3512" t="s">
        <v>71</v>
      </c>
      <c r="E3512" t="s">
        <v>72</v>
      </c>
      <c r="F3512" t="s">
        <v>80</v>
      </c>
    </row>
    <row r="3513" spans="1:6" x14ac:dyDescent="0.45">
      <c r="A3513">
        <v>40</v>
      </c>
      <c r="B3513">
        <v>12</v>
      </c>
      <c r="C3513">
        <v>6000</v>
      </c>
      <c r="D3513" t="s">
        <v>71</v>
      </c>
      <c r="E3513" t="s">
        <v>74</v>
      </c>
      <c r="F3513" t="s">
        <v>80</v>
      </c>
    </row>
    <row r="3514" spans="1:6" x14ac:dyDescent="0.45">
      <c r="A3514">
        <v>40</v>
      </c>
      <c r="B3514">
        <v>12</v>
      </c>
      <c r="C3514">
        <v>6000</v>
      </c>
      <c r="D3514" t="s">
        <v>71</v>
      </c>
      <c r="E3514" t="s">
        <v>72</v>
      </c>
      <c r="F3514" t="s">
        <v>80</v>
      </c>
    </row>
    <row r="3515" spans="1:6" x14ac:dyDescent="0.45">
      <c r="A3515">
        <v>55</v>
      </c>
      <c r="B3515">
        <v>12</v>
      </c>
      <c r="C3515">
        <v>6000</v>
      </c>
      <c r="D3515" t="s">
        <v>71</v>
      </c>
      <c r="E3515" t="s">
        <v>74</v>
      </c>
      <c r="F3515" t="s">
        <v>80</v>
      </c>
    </row>
    <row r="3516" spans="1:6" x14ac:dyDescent="0.45">
      <c r="A3516">
        <v>40</v>
      </c>
      <c r="B3516">
        <v>12</v>
      </c>
      <c r="C3516">
        <v>6000</v>
      </c>
      <c r="D3516" t="s">
        <v>71</v>
      </c>
      <c r="E3516" t="s">
        <v>74</v>
      </c>
      <c r="F3516" t="s">
        <v>80</v>
      </c>
    </row>
    <row r="3517" spans="1:6" x14ac:dyDescent="0.45">
      <c r="A3517">
        <v>45</v>
      </c>
      <c r="B3517">
        <v>12</v>
      </c>
      <c r="C3517">
        <v>6000</v>
      </c>
      <c r="D3517" t="s">
        <v>71</v>
      </c>
      <c r="E3517" t="s">
        <v>74</v>
      </c>
      <c r="F3517" t="s">
        <v>80</v>
      </c>
    </row>
    <row r="3518" spans="1:6" x14ac:dyDescent="0.45">
      <c r="A3518">
        <v>0</v>
      </c>
      <c r="B3518">
        <v>12</v>
      </c>
      <c r="C3518">
        <v>6000</v>
      </c>
      <c r="D3518" t="s">
        <v>71</v>
      </c>
      <c r="E3518" t="s">
        <v>72</v>
      </c>
      <c r="F3518" t="s">
        <v>80</v>
      </c>
    </row>
    <row r="3519" spans="1:6" x14ac:dyDescent="0.45">
      <c r="A3519">
        <v>40</v>
      </c>
      <c r="B3519">
        <v>12</v>
      </c>
      <c r="C3519">
        <v>6000</v>
      </c>
      <c r="D3519" t="s">
        <v>71</v>
      </c>
      <c r="E3519" t="s">
        <v>74</v>
      </c>
      <c r="F3519" t="s">
        <v>80</v>
      </c>
    </row>
    <row r="3520" spans="1:6" x14ac:dyDescent="0.45">
      <c r="A3520">
        <v>55</v>
      </c>
      <c r="B3520">
        <v>12</v>
      </c>
      <c r="C3520">
        <v>6200</v>
      </c>
      <c r="D3520" t="s">
        <v>71</v>
      </c>
      <c r="E3520" t="s">
        <v>74</v>
      </c>
      <c r="F3520" t="s">
        <v>80</v>
      </c>
    </row>
    <row r="3521" spans="1:6" x14ac:dyDescent="0.45">
      <c r="A3521">
        <v>40</v>
      </c>
      <c r="B3521">
        <v>12</v>
      </c>
      <c r="C3521">
        <v>6300</v>
      </c>
      <c r="D3521" t="s">
        <v>71</v>
      </c>
      <c r="E3521" t="s">
        <v>72</v>
      </c>
      <c r="F3521" t="s">
        <v>80</v>
      </c>
    </row>
    <row r="3522" spans="1:6" x14ac:dyDescent="0.45">
      <c r="A3522">
        <v>40</v>
      </c>
      <c r="B3522">
        <v>12</v>
      </c>
      <c r="C3522">
        <v>6300</v>
      </c>
      <c r="D3522" t="s">
        <v>71</v>
      </c>
      <c r="E3522" t="s">
        <v>74</v>
      </c>
      <c r="F3522" t="s">
        <v>80</v>
      </c>
    </row>
    <row r="3523" spans="1:6" x14ac:dyDescent="0.45">
      <c r="A3523">
        <v>40</v>
      </c>
      <c r="B3523">
        <v>12</v>
      </c>
      <c r="C3523">
        <v>6580</v>
      </c>
      <c r="D3523" t="s">
        <v>71</v>
      </c>
      <c r="E3523" t="s">
        <v>74</v>
      </c>
      <c r="F3523" t="s">
        <v>80</v>
      </c>
    </row>
    <row r="3524" spans="1:6" x14ac:dyDescent="0.45">
      <c r="A3524">
        <v>40</v>
      </c>
      <c r="B3524">
        <v>12</v>
      </c>
      <c r="C3524">
        <v>6600</v>
      </c>
      <c r="D3524" t="s">
        <v>71</v>
      </c>
      <c r="E3524" t="s">
        <v>74</v>
      </c>
      <c r="F3524" t="s">
        <v>80</v>
      </c>
    </row>
    <row r="3525" spans="1:6" x14ac:dyDescent="0.45">
      <c r="A3525">
        <v>40</v>
      </c>
      <c r="B3525">
        <v>12</v>
      </c>
      <c r="C3525">
        <v>6659</v>
      </c>
      <c r="D3525" t="s">
        <v>71</v>
      </c>
      <c r="E3525" t="s">
        <v>72</v>
      </c>
      <c r="F3525" t="s">
        <v>80</v>
      </c>
    </row>
    <row r="3526" spans="1:6" x14ac:dyDescent="0.45">
      <c r="A3526">
        <v>100</v>
      </c>
      <c r="B3526">
        <v>12</v>
      </c>
      <c r="C3526">
        <v>6665</v>
      </c>
      <c r="D3526" t="s">
        <v>71</v>
      </c>
      <c r="E3526" t="s">
        <v>72</v>
      </c>
      <c r="F3526" t="s">
        <v>80</v>
      </c>
    </row>
    <row r="3527" spans="1:6" x14ac:dyDescent="0.45">
      <c r="A3527">
        <v>50</v>
      </c>
      <c r="B3527">
        <v>12</v>
      </c>
      <c r="C3527">
        <v>7000</v>
      </c>
      <c r="D3527" t="s">
        <v>71</v>
      </c>
      <c r="E3527" t="s">
        <v>72</v>
      </c>
      <c r="F3527" t="s">
        <v>80</v>
      </c>
    </row>
    <row r="3528" spans="1:6" x14ac:dyDescent="0.45">
      <c r="A3528">
        <v>40</v>
      </c>
      <c r="B3528">
        <v>12</v>
      </c>
      <c r="C3528">
        <v>7000</v>
      </c>
      <c r="D3528" t="s">
        <v>71</v>
      </c>
      <c r="E3528" t="s">
        <v>74</v>
      </c>
      <c r="F3528" t="s">
        <v>80</v>
      </c>
    </row>
    <row r="3529" spans="1:6" x14ac:dyDescent="0.45">
      <c r="A3529">
        <v>40</v>
      </c>
      <c r="B3529">
        <v>12</v>
      </c>
      <c r="C3529">
        <v>7000</v>
      </c>
      <c r="D3529" t="s">
        <v>71</v>
      </c>
      <c r="E3529" t="s">
        <v>72</v>
      </c>
      <c r="F3529" t="s">
        <v>80</v>
      </c>
    </row>
    <row r="3530" spans="1:6" x14ac:dyDescent="0.45">
      <c r="A3530">
        <v>35</v>
      </c>
      <c r="B3530">
        <v>12</v>
      </c>
      <c r="C3530">
        <v>7000</v>
      </c>
      <c r="D3530" t="s">
        <v>76</v>
      </c>
      <c r="E3530" t="s">
        <v>72</v>
      </c>
      <c r="F3530" t="s">
        <v>80</v>
      </c>
    </row>
    <row r="3531" spans="1:6" x14ac:dyDescent="0.45">
      <c r="A3531">
        <v>75</v>
      </c>
      <c r="B3531">
        <v>12</v>
      </c>
      <c r="C3531">
        <v>7200</v>
      </c>
      <c r="D3531" t="s">
        <v>71</v>
      </c>
      <c r="E3531" t="s">
        <v>74</v>
      </c>
      <c r="F3531" t="s">
        <v>80</v>
      </c>
    </row>
    <row r="3532" spans="1:6" x14ac:dyDescent="0.45">
      <c r="A3532">
        <v>40</v>
      </c>
      <c r="B3532">
        <v>12</v>
      </c>
      <c r="C3532">
        <v>7367</v>
      </c>
      <c r="D3532" t="s">
        <v>71</v>
      </c>
      <c r="E3532" t="s">
        <v>74</v>
      </c>
      <c r="F3532" t="s">
        <v>80</v>
      </c>
    </row>
    <row r="3533" spans="1:6" x14ac:dyDescent="0.45">
      <c r="A3533">
        <v>40</v>
      </c>
      <c r="B3533">
        <v>12</v>
      </c>
      <c r="C3533">
        <v>7480</v>
      </c>
      <c r="D3533" t="s">
        <v>71</v>
      </c>
      <c r="E3533" t="s">
        <v>74</v>
      </c>
      <c r="F3533" t="s">
        <v>80</v>
      </c>
    </row>
    <row r="3534" spans="1:6" x14ac:dyDescent="0.45">
      <c r="A3534">
        <v>40</v>
      </c>
      <c r="B3534">
        <v>12</v>
      </c>
      <c r="C3534">
        <v>7500</v>
      </c>
      <c r="D3534" t="s">
        <v>71</v>
      </c>
      <c r="E3534" t="s">
        <v>74</v>
      </c>
      <c r="F3534" t="s">
        <v>80</v>
      </c>
    </row>
    <row r="3535" spans="1:6" x14ac:dyDescent="0.45">
      <c r="A3535">
        <v>45</v>
      </c>
      <c r="B3535">
        <v>12</v>
      </c>
      <c r="C3535">
        <v>7500</v>
      </c>
      <c r="D3535" t="s">
        <v>71</v>
      </c>
      <c r="E3535" t="s">
        <v>72</v>
      </c>
      <c r="F3535" t="s">
        <v>80</v>
      </c>
    </row>
    <row r="3536" spans="1:6" x14ac:dyDescent="0.45">
      <c r="A3536">
        <v>36</v>
      </c>
      <c r="B3536">
        <v>12</v>
      </c>
      <c r="C3536">
        <v>7500</v>
      </c>
      <c r="D3536" t="s">
        <v>71</v>
      </c>
      <c r="E3536" t="s">
        <v>72</v>
      </c>
      <c r="F3536" t="s">
        <v>80</v>
      </c>
    </row>
    <row r="3537" spans="1:6" x14ac:dyDescent="0.45">
      <c r="A3537">
        <v>50</v>
      </c>
      <c r="B3537">
        <v>12</v>
      </c>
      <c r="C3537">
        <v>7500</v>
      </c>
      <c r="D3537" t="s">
        <v>71</v>
      </c>
      <c r="E3537" t="s">
        <v>72</v>
      </c>
      <c r="F3537" t="s">
        <v>80</v>
      </c>
    </row>
    <row r="3538" spans="1:6" x14ac:dyDescent="0.45">
      <c r="A3538">
        <v>0</v>
      </c>
      <c r="B3538">
        <v>12</v>
      </c>
      <c r="C3538">
        <v>7589</v>
      </c>
      <c r="D3538" t="s">
        <v>71</v>
      </c>
      <c r="E3538" t="s">
        <v>74</v>
      </c>
      <c r="F3538" t="s">
        <v>80</v>
      </c>
    </row>
    <row r="3539" spans="1:6" x14ac:dyDescent="0.45">
      <c r="A3539">
        <v>40</v>
      </c>
      <c r="B3539">
        <v>12</v>
      </c>
      <c r="C3539">
        <v>7589</v>
      </c>
      <c r="D3539" t="s">
        <v>71</v>
      </c>
      <c r="E3539" t="s">
        <v>74</v>
      </c>
      <c r="F3539" t="s">
        <v>80</v>
      </c>
    </row>
    <row r="3540" spans="1:6" x14ac:dyDescent="0.45">
      <c r="A3540">
        <v>40</v>
      </c>
      <c r="B3540">
        <v>12</v>
      </c>
      <c r="C3540">
        <v>7700</v>
      </c>
      <c r="D3540" t="s">
        <v>71</v>
      </c>
      <c r="E3540" t="s">
        <v>72</v>
      </c>
      <c r="F3540" t="s">
        <v>80</v>
      </c>
    </row>
    <row r="3541" spans="1:6" x14ac:dyDescent="0.45">
      <c r="A3541">
        <v>40</v>
      </c>
      <c r="B3541">
        <v>12</v>
      </c>
      <c r="C3541">
        <v>7700</v>
      </c>
      <c r="D3541" t="s">
        <v>71</v>
      </c>
      <c r="E3541" t="s">
        <v>72</v>
      </c>
      <c r="F3541" t="s">
        <v>80</v>
      </c>
    </row>
    <row r="3542" spans="1:6" x14ac:dyDescent="0.45">
      <c r="A3542">
        <v>40</v>
      </c>
      <c r="B3542">
        <v>12</v>
      </c>
      <c r="C3542">
        <v>7800</v>
      </c>
      <c r="D3542" t="s">
        <v>71</v>
      </c>
      <c r="E3542" t="s">
        <v>72</v>
      </c>
      <c r="F3542" t="s">
        <v>80</v>
      </c>
    </row>
    <row r="3543" spans="1:6" x14ac:dyDescent="0.45">
      <c r="A3543">
        <v>40</v>
      </c>
      <c r="B3543">
        <v>12</v>
      </c>
      <c r="C3543">
        <v>7800</v>
      </c>
      <c r="D3543" t="s">
        <v>76</v>
      </c>
      <c r="E3543" t="s">
        <v>74</v>
      </c>
      <c r="F3543" t="s">
        <v>80</v>
      </c>
    </row>
    <row r="3544" spans="1:6" x14ac:dyDescent="0.45">
      <c r="A3544">
        <v>40</v>
      </c>
      <c r="B3544">
        <v>12</v>
      </c>
      <c r="C3544">
        <v>8000</v>
      </c>
      <c r="D3544" t="s">
        <v>71</v>
      </c>
      <c r="E3544" t="s">
        <v>72</v>
      </c>
      <c r="F3544" t="s">
        <v>80</v>
      </c>
    </row>
    <row r="3545" spans="1:6" x14ac:dyDescent="0.45">
      <c r="A3545">
        <v>40</v>
      </c>
      <c r="B3545">
        <v>12</v>
      </c>
      <c r="C3545">
        <v>8000</v>
      </c>
      <c r="D3545" t="s">
        <v>71</v>
      </c>
      <c r="E3545" t="s">
        <v>74</v>
      </c>
      <c r="F3545" t="s">
        <v>80</v>
      </c>
    </row>
    <row r="3546" spans="1:6" x14ac:dyDescent="0.45">
      <c r="A3546">
        <v>36</v>
      </c>
      <c r="B3546">
        <v>12</v>
      </c>
      <c r="C3546">
        <v>8000</v>
      </c>
      <c r="D3546" t="s">
        <v>71</v>
      </c>
      <c r="E3546" t="s">
        <v>72</v>
      </c>
      <c r="F3546" t="s">
        <v>80</v>
      </c>
    </row>
    <row r="3547" spans="1:6" x14ac:dyDescent="0.45">
      <c r="A3547">
        <v>36</v>
      </c>
      <c r="B3547">
        <v>12</v>
      </c>
      <c r="C3547">
        <v>8000</v>
      </c>
      <c r="D3547" t="s">
        <v>71</v>
      </c>
      <c r="E3547" t="s">
        <v>74</v>
      </c>
      <c r="F3547" t="s">
        <v>80</v>
      </c>
    </row>
    <row r="3548" spans="1:6" x14ac:dyDescent="0.45">
      <c r="A3548">
        <v>45</v>
      </c>
      <c r="B3548">
        <v>12</v>
      </c>
      <c r="C3548">
        <v>8000</v>
      </c>
      <c r="D3548" t="s">
        <v>71</v>
      </c>
      <c r="E3548" t="s">
        <v>72</v>
      </c>
      <c r="F3548" t="s">
        <v>80</v>
      </c>
    </row>
    <row r="3549" spans="1:6" x14ac:dyDescent="0.45">
      <c r="A3549">
        <v>35</v>
      </c>
      <c r="B3549">
        <v>12</v>
      </c>
      <c r="C3549">
        <v>8000</v>
      </c>
      <c r="D3549" t="s">
        <v>76</v>
      </c>
      <c r="E3549" t="s">
        <v>72</v>
      </c>
      <c r="F3549" t="s">
        <v>80</v>
      </c>
    </row>
    <row r="3550" spans="1:6" x14ac:dyDescent="0.45">
      <c r="A3550">
        <v>40</v>
      </c>
      <c r="B3550">
        <v>12</v>
      </c>
      <c r="C3550">
        <v>8000</v>
      </c>
      <c r="D3550" t="s">
        <v>71</v>
      </c>
      <c r="E3550" t="s">
        <v>72</v>
      </c>
      <c r="F3550" t="s">
        <v>80</v>
      </c>
    </row>
    <row r="3551" spans="1:6" x14ac:dyDescent="0.45">
      <c r="A3551">
        <v>0</v>
      </c>
      <c r="B3551">
        <v>12</v>
      </c>
      <c r="C3551">
        <v>8000</v>
      </c>
      <c r="D3551" t="s">
        <v>71</v>
      </c>
      <c r="E3551" t="s">
        <v>72</v>
      </c>
      <c r="F3551" t="s">
        <v>80</v>
      </c>
    </row>
    <row r="3552" spans="1:6" x14ac:dyDescent="0.45">
      <c r="A3552">
        <v>40</v>
      </c>
      <c r="B3552">
        <v>12</v>
      </c>
      <c r="C3552">
        <v>8000</v>
      </c>
      <c r="D3552" t="s">
        <v>71</v>
      </c>
      <c r="E3552" t="s">
        <v>74</v>
      </c>
      <c r="F3552" t="s">
        <v>80</v>
      </c>
    </row>
    <row r="3553" spans="1:6" x14ac:dyDescent="0.45">
      <c r="A3553">
        <v>40</v>
      </c>
      <c r="B3553">
        <v>12</v>
      </c>
      <c r="C3553">
        <v>8000</v>
      </c>
      <c r="D3553" t="s">
        <v>71</v>
      </c>
      <c r="E3553" t="s">
        <v>74</v>
      </c>
      <c r="F3553" t="s">
        <v>80</v>
      </c>
    </row>
    <row r="3554" spans="1:6" x14ac:dyDescent="0.45">
      <c r="A3554">
        <v>40</v>
      </c>
      <c r="B3554">
        <v>12</v>
      </c>
      <c r="C3554">
        <v>8000</v>
      </c>
      <c r="D3554" t="s">
        <v>76</v>
      </c>
      <c r="E3554" t="s">
        <v>72</v>
      </c>
      <c r="F3554" t="s">
        <v>80</v>
      </c>
    </row>
    <row r="3555" spans="1:6" x14ac:dyDescent="0.45">
      <c r="A3555">
        <v>40</v>
      </c>
      <c r="B3555">
        <v>12</v>
      </c>
      <c r="C3555">
        <v>8000</v>
      </c>
      <c r="D3555" t="s">
        <v>76</v>
      </c>
      <c r="E3555" t="s">
        <v>72</v>
      </c>
      <c r="F3555" t="s">
        <v>80</v>
      </c>
    </row>
    <row r="3556" spans="1:6" x14ac:dyDescent="0.45">
      <c r="A3556">
        <v>40</v>
      </c>
      <c r="B3556">
        <v>12</v>
      </c>
      <c r="C3556">
        <v>8000</v>
      </c>
      <c r="D3556" t="s">
        <v>71</v>
      </c>
      <c r="E3556" t="s">
        <v>72</v>
      </c>
      <c r="F3556" t="s">
        <v>80</v>
      </c>
    </row>
    <row r="3557" spans="1:6" x14ac:dyDescent="0.45">
      <c r="A3557">
        <v>40</v>
      </c>
      <c r="B3557">
        <v>12</v>
      </c>
      <c r="C3557">
        <v>8000</v>
      </c>
      <c r="D3557" t="s">
        <v>71</v>
      </c>
      <c r="E3557" t="s">
        <v>72</v>
      </c>
      <c r="F3557" t="s">
        <v>80</v>
      </c>
    </row>
    <row r="3558" spans="1:6" x14ac:dyDescent="0.45">
      <c r="A3558">
        <v>35</v>
      </c>
      <c r="B3558">
        <v>12</v>
      </c>
      <c r="C3558">
        <v>8000</v>
      </c>
      <c r="D3558" t="s">
        <v>71</v>
      </c>
      <c r="E3558" t="s">
        <v>72</v>
      </c>
      <c r="F3558" t="s">
        <v>80</v>
      </c>
    </row>
    <row r="3559" spans="1:6" x14ac:dyDescent="0.45">
      <c r="A3559">
        <v>44</v>
      </c>
      <c r="B3559">
        <v>12</v>
      </c>
      <c r="C3559">
        <v>8000</v>
      </c>
      <c r="D3559" t="s">
        <v>71</v>
      </c>
      <c r="E3559" t="s">
        <v>74</v>
      </c>
      <c r="F3559" t="s">
        <v>80</v>
      </c>
    </row>
    <row r="3560" spans="1:6" x14ac:dyDescent="0.45">
      <c r="A3560">
        <v>40</v>
      </c>
      <c r="B3560">
        <v>12</v>
      </c>
      <c r="C3560">
        <v>8000</v>
      </c>
      <c r="D3560" t="s">
        <v>71</v>
      </c>
      <c r="E3560" t="s">
        <v>74</v>
      </c>
      <c r="F3560" t="s">
        <v>80</v>
      </c>
    </row>
    <row r="3561" spans="1:6" x14ac:dyDescent="0.45">
      <c r="A3561">
        <v>40</v>
      </c>
      <c r="B3561">
        <v>12</v>
      </c>
      <c r="C3561">
        <v>8000</v>
      </c>
      <c r="D3561" t="s">
        <v>71</v>
      </c>
      <c r="E3561" t="s">
        <v>74</v>
      </c>
      <c r="F3561" t="s">
        <v>80</v>
      </c>
    </row>
    <row r="3562" spans="1:6" x14ac:dyDescent="0.45">
      <c r="A3562">
        <v>0</v>
      </c>
      <c r="B3562">
        <v>12</v>
      </c>
      <c r="C3562">
        <v>8000</v>
      </c>
      <c r="D3562" t="s">
        <v>71</v>
      </c>
      <c r="E3562" t="s">
        <v>74</v>
      </c>
      <c r="F3562" t="s">
        <v>80</v>
      </c>
    </row>
    <row r="3563" spans="1:6" x14ac:dyDescent="0.45">
      <c r="A3563">
        <v>35</v>
      </c>
      <c r="B3563">
        <v>12</v>
      </c>
      <c r="C3563">
        <v>8000</v>
      </c>
      <c r="D3563" t="s">
        <v>71</v>
      </c>
      <c r="E3563" t="s">
        <v>72</v>
      </c>
      <c r="F3563" t="s">
        <v>80</v>
      </c>
    </row>
    <row r="3564" spans="1:6" x14ac:dyDescent="0.45">
      <c r="A3564">
        <v>45</v>
      </c>
      <c r="B3564">
        <v>12</v>
      </c>
      <c r="C3564">
        <v>8100</v>
      </c>
      <c r="D3564" t="s">
        <v>71</v>
      </c>
      <c r="E3564" t="s">
        <v>72</v>
      </c>
      <c r="F3564" t="s">
        <v>80</v>
      </c>
    </row>
    <row r="3565" spans="1:6" x14ac:dyDescent="0.45">
      <c r="A3565">
        <v>40</v>
      </c>
      <c r="B3565">
        <v>12</v>
      </c>
      <c r="C3565">
        <v>8160</v>
      </c>
      <c r="D3565" t="s">
        <v>71</v>
      </c>
      <c r="E3565" t="s">
        <v>74</v>
      </c>
      <c r="F3565" t="s">
        <v>80</v>
      </c>
    </row>
    <row r="3566" spans="1:6" x14ac:dyDescent="0.45">
      <c r="A3566">
        <v>38</v>
      </c>
      <c r="B3566">
        <v>12</v>
      </c>
      <c r="C3566">
        <v>8274</v>
      </c>
      <c r="D3566" t="s">
        <v>71</v>
      </c>
      <c r="E3566" t="s">
        <v>74</v>
      </c>
      <c r="F3566" t="s">
        <v>80</v>
      </c>
    </row>
    <row r="3567" spans="1:6" x14ac:dyDescent="0.45">
      <c r="A3567">
        <v>40</v>
      </c>
      <c r="B3567">
        <v>12</v>
      </c>
      <c r="C3567">
        <v>8280</v>
      </c>
      <c r="D3567" t="s">
        <v>71</v>
      </c>
      <c r="E3567" t="s">
        <v>72</v>
      </c>
      <c r="F3567" t="s">
        <v>80</v>
      </c>
    </row>
    <row r="3568" spans="1:6" x14ac:dyDescent="0.45">
      <c r="A3568">
        <v>50</v>
      </c>
      <c r="B3568">
        <v>12</v>
      </c>
      <c r="C3568">
        <v>8300</v>
      </c>
      <c r="D3568" t="s">
        <v>71</v>
      </c>
      <c r="E3568" t="s">
        <v>72</v>
      </c>
      <c r="F3568" t="s">
        <v>80</v>
      </c>
    </row>
    <row r="3569" spans="1:6" x14ac:dyDescent="0.45">
      <c r="A3569">
        <v>40</v>
      </c>
      <c r="B3569">
        <v>12</v>
      </c>
      <c r="C3569">
        <v>8400</v>
      </c>
      <c r="D3569" t="s">
        <v>71</v>
      </c>
      <c r="E3569" t="s">
        <v>74</v>
      </c>
      <c r="F3569" t="s">
        <v>80</v>
      </c>
    </row>
    <row r="3570" spans="1:6" x14ac:dyDescent="0.45">
      <c r="A3570">
        <v>0</v>
      </c>
      <c r="B3570">
        <v>12</v>
      </c>
      <c r="C3570">
        <v>8500</v>
      </c>
      <c r="D3570" t="s">
        <v>71</v>
      </c>
      <c r="E3570" t="s">
        <v>72</v>
      </c>
      <c r="F3570" t="s">
        <v>80</v>
      </c>
    </row>
    <row r="3571" spans="1:6" x14ac:dyDescent="0.45">
      <c r="A3571">
        <v>40</v>
      </c>
      <c r="B3571">
        <v>12</v>
      </c>
      <c r="C3571">
        <v>8500</v>
      </c>
      <c r="D3571" t="s">
        <v>71</v>
      </c>
      <c r="E3571" t="s">
        <v>72</v>
      </c>
      <c r="F3571" t="s">
        <v>80</v>
      </c>
    </row>
    <row r="3572" spans="1:6" x14ac:dyDescent="0.45">
      <c r="A3572">
        <v>0</v>
      </c>
      <c r="B3572">
        <v>12</v>
      </c>
      <c r="C3572">
        <v>8500</v>
      </c>
      <c r="D3572" t="s">
        <v>76</v>
      </c>
      <c r="E3572" t="s">
        <v>72</v>
      </c>
      <c r="F3572" t="s">
        <v>80</v>
      </c>
    </row>
    <row r="3573" spans="1:6" x14ac:dyDescent="0.45">
      <c r="A3573">
        <v>40</v>
      </c>
      <c r="B3573">
        <v>12</v>
      </c>
      <c r="C3573">
        <v>8700</v>
      </c>
      <c r="D3573" t="s">
        <v>71</v>
      </c>
      <c r="E3573" t="s">
        <v>72</v>
      </c>
      <c r="F3573" t="s">
        <v>80</v>
      </c>
    </row>
    <row r="3574" spans="1:6" x14ac:dyDescent="0.45">
      <c r="A3574">
        <v>35</v>
      </c>
      <c r="B3574">
        <v>12</v>
      </c>
      <c r="C3574">
        <v>8736</v>
      </c>
      <c r="D3574" t="s">
        <v>76</v>
      </c>
      <c r="E3574" t="s">
        <v>72</v>
      </c>
      <c r="F3574" t="s">
        <v>80</v>
      </c>
    </row>
    <row r="3575" spans="1:6" x14ac:dyDescent="0.45">
      <c r="A3575">
        <v>40</v>
      </c>
      <c r="B3575">
        <v>12</v>
      </c>
      <c r="C3575">
        <v>8818</v>
      </c>
      <c r="D3575" t="s">
        <v>71</v>
      </c>
      <c r="E3575" t="s">
        <v>74</v>
      </c>
      <c r="F3575" t="s">
        <v>80</v>
      </c>
    </row>
    <row r="3576" spans="1:6" x14ac:dyDescent="0.45">
      <c r="A3576">
        <v>40</v>
      </c>
      <c r="B3576">
        <v>12</v>
      </c>
      <c r="C3576">
        <v>9000</v>
      </c>
      <c r="D3576" t="s">
        <v>71</v>
      </c>
      <c r="E3576" t="s">
        <v>72</v>
      </c>
      <c r="F3576" t="s">
        <v>80</v>
      </c>
    </row>
    <row r="3577" spans="1:6" x14ac:dyDescent="0.45">
      <c r="A3577">
        <v>40</v>
      </c>
      <c r="B3577">
        <v>12</v>
      </c>
      <c r="C3577">
        <v>9000</v>
      </c>
      <c r="D3577" t="s">
        <v>71</v>
      </c>
      <c r="E3577" t="s">
        <v>74</v>
      </c>
      <c r="F3577" t="s">
        <v>80</v>
      </c>
    </row>
    <row r="3578" spans="1:6" x14ac:dyDescent="0.45">
      <c r="A3578">
        <v>75</v>
      </c>
      <c r="B3578">
        <v>12</v>
      </c>
      <c r="C3578">
        <v>9000</v>
      </c>
      <c r="D3578" t="s">
        <v>71</v>
      </c>
      <c r="E3578" t="s">
        <v>72</v>
      </c>
      <c r="F3578" t="s">
        <v>80</v>
      </c>
    </row>
    <row r="3579" spans="1:6" x14ac:dyDescent="0.45">
      <c r="A3579">
        <v>40</v>
      </c>
      <c r="B3579">
        <v>12</v>
      </c>
      <c r="C3579">
        <v>9000</v>
      </c>
      <c r="D3579" t="s">
        <v>71</v>
      </c>
      <c r="E3579" t="s">
        <v>72</v>
      </c>
      <c r="F3579" t="s">
        <v>80</v>
      </c>
    </row>
    <row r="3580" spans="1:6" x14ac:dyDescent="0.45">
      <c r="A3580">
        <v>44</v>
      </c>
      <c r="B3580">
        <v>12</v>
      </c>
      <c r="C3580">
        <v>9000</v>
      </c>
      <c r="D3580" t="s">
        <v>71</v>
      </c>
      <c r="E3580" t="s">
        <v>74</v>
      </c>
      <c r="F3580" t="s">
        <v>80</v>
      </c>
    </row>
    <row r="3581" spans="1:6" x14ac:dyDescent="0.45">
      <c r="A3581">
        <v>40</v>
      </c>
      <c r="B3581">
        <v>12</v>
      </c>
      <c r="C3581">
        <v>9000</v>
      </c>
      <c r="D3581" t="s">
        <v>71</v>
      </c>
      <c r="E3581" t="s">
        <v>74</v>
      </c>
      <c r="F3581" t="s">
        <v>80</v>
      </c>
    </row>
    <row r="3582" spans="1:6" x14ac:dyDescent="0.45">
      <c r="A3582">
        <v>40</v>
      </c>
      <c r="B3582">
        <v>12</v>
      </c>
      <c r="C3582">
        <v>9000</v>
      </c>
      <c r="D3582" t="s">
        <v>71</v>
      </c>
      <c r="E3582" t="s">
        <v>72</v>
      </c>
      <c r="F3582" t="s">
        <v>80</v>
      </c>
    </row>
    <row r="3583" spans="1:6" x14ac:dyDescent="0.45">
      <c r="A3583">
        <v>60</v>
      </c>
      <c r="B3583">
        <v>12</v>
      </c>
      <c r="C3583">
        <v>9045</v>
      </c>
      <c r="D3583" t="s">
        <v>71</v>
      </c>
      <c r="E3583" t="s">
        <v>74</v>
      </c>
      <c r="F3583" t="s">
        <v>80</v>
      </c>
    </row>
    <row r="3584" spans="1:6" x14ac:dyDescent="0.45">
      <c r="A3584">
        <v>40</v>
      </c>
      <c r="B3584">
        <v>12</v>
      </c>
      <c r="C3584">
        <v>9100</v>
      </c>
      <c r="D3584" t="s">
        <v>71</v>
      </c>
      <c r="E3584" t="s">
        <v>72</v>
      </c>
      <c r="F3584" t="s">
        <v>80</v>
      </c>
    </row>
    <row r="3585" spans="1:6" x14ac:dyDescent="0.45">
      <c r="A3585">
        <v>45</v>
      </c>
      <c r="B3585">
        <v>12</v>
      </c>
      <c r="C3585">
        <v>9193</v>
      </c>
      <c r="D3585" t="s">
        <v>76</v>
      </c>
      <c r="E3585" t="s">
        <v>72</v>
      </c>
      <c r="F3585" t="s">
        <v>80</v>
      </c>
    </row>
    <row r="3586" spans="1:6" x14ac:dyDescent="0.45">
      <c r="A3586">
        <v>40</v>
      </c>
      <c r="B3586">
        <v>12</v>
      </c>
      <c r="C3586">
        <v>9300</v>
      </c>
      <c r="D3586" t="s">
        <v>71</v>
      </c>
      <c r="E3586" t="s">
        <v>72</v>
      </c>
      <c r="F3586" t="s">
        <v>80</v>
      </c>
    </row>
    <row r="3587" spans="1:6" x14ac:dyDescent="0.45">
      <c r="A3587">
        <v>40</v>
      </c>
      <c r="B3587">
        <v>12</v>
      </c>
      <c r="C3587">
        <v>9320</v>
      </c>
      <c r="D3587" t="s">
        <v>71</v>
      </c>
      <c r="E3587" t="s">
        <v>74</v>
      </c>
      <c r="F3587" t="s">
        <v>80</v>
      </c>
    </row>
    <row r="3588" spans="1:6" x14ac:dyDescent="0.45">
      <c r="A3588">
        <v>40</v>
      </c>
      <c r="B3588">
        <v>12</v>
      </c>
      <c r="C3588">
        <v>9359</v>
      </c>
      <c r="D3588" t="s">
        <v>71</v>
      </c>
      <c r="E3588" t="s">
        <v>74</v>
      </c>
      <c r="F3588" t="s">
        <v>80</v>
      </c>
    </row>
    <row r="3589" spans="1:6" x14ac:dyDescent="0.45">
      <c r="A3589">
        <v>40</v>
      </c>
      <c r="B3589">
        <v>12</v>
      </c>
      <c r="C3589">
        <v>9400</v>
      </c>
      <c r="D3589" t="s">
        <v>71</v>
      </c>
      <c r="E3589" t="s">
        <v>74</v>
      </c>
      <c r="F3589" t="s">
        <v>80</v>
      </c>
    </row>
    <row r="3590" spans="1:6" x14ac:dyDescent="0.45">
      <c r="A3590">
        <v>35</v>
      </c>
      <c r="B3590">
        <v>12</v>
      </c>
      <c r="C3590">
        <v>9500</v>
      </c>
      <c r="D3590" t="s">
        <v>71</v>
      </c>
      <c r="E3590" t="s">
        <v>72</v>
      </c>
      <c r="F3590" t="s">
        <v>80</v>
      </c>
    </row>
    <row r="3591" spans="1:6" x14ac:dyDescent="0.45">
      <c r="A3591">
        <v>40</v>
      </c>
      <c r="B3591">
        <v>12</v>
      </c>
      <c r="C3591">
        <v>9500</v>
      </c>
      <c r="D3591" t="s">
        <v>75</v>
      </c>
      <c r="E3591" t="s">
        <v>74</v>
      </c>
      <c r="F3591" t="s">
        <v>80</v>
      </c>
    </row>
    <row r="3592" spans="1:6" x14ac:dyDescent="0.45">
      <c r="A3592">
        <v>99</v>
      </c>
      <c r="B3592">
        <v>12</v>
      </c>
      <c r="C3592">
        <v>9500</v>
      </c>
      <c r="D3592" t="s">
        <v>71</v>
      </c>
      <c r="E3592" t="s">
        <v>72</v>
      </c>
      <c r="F3592" t="s">
        <v>80</v>
      </c>
    </row>
    <row r="3593" spans="1:6" x14ac:dyDescent="0.45">
      <c r="A3593">
        <v>40</v>
      </c>
      <c r="B3593">
        <v>12</v>
      </c>
      <c r="C3593">
        <v>9500</v>
      </c>
      <c r="D3593" t="s">
        <v>76</v>
      </c>
      <c r="E3593" t="s">
        <v>72</v>
      </c>
      <c r="F3593" t="s">
        <v>80</v>
      </c>
    </row>
    <row r="3594" spans="1:6" x14ac:dyDescent="0.45">
      <c r="A3594">
        <v>60</v>
      </c>
      <c r="B3594">
        <v>12</v>
      </c>
      <c r="C3594">
        <v>9500</v>
      </c>
      <c r="D3594" t="s">
        <v>71</v>
      </c>
      <c r="E3594" t="s">
        <v>72</v>
      </c>
      <c r="F3594" t="s">
        <v>80</v>
      </c>
    </row>
    <row r="3595" spans="1:6" x14ac:dyDescent="0.45">
      <c r="A3595">
        <v>40</v>
      </c>
      <c r="B3595">
        <v>12</v>
      </c>
      <c r="C3595">
        <v>9600</v>
      </c>
      <c r="D3595" t="s">
        <v>71</v>
      </c>
      <c r="E3595" t="s">
        <v>74</v>
      </c>
      <c r="F3595" t="s">
        <v>80</v>
      </c>
    </row>
    <row r="3596" spans="1:6" x14ac:dyDescent="0.45">
      <c r="A3596">
        <v>42</v>
      </c>
      <c r="B3596">
        <v>12</v>
      </c>
      <c r="C3596">
        <v>9600</v>
      </c>
      <c r="D3596" t="s">
        <v>71</v>
      </c>
      <c r="E3596" t="s">
        <v>74</v>
      </c>
      <c r="F3596" t="s">
        <v>80</v>
      </c>
    </row>
    <row r="3597" spans="1:6" x14ac:dyDescent="0.45">
      <c r="A3597">
        <v>40</v>
      </c>
      <c r="B3597">
        <v>12</v>
      </c>
      <c r="C3597">
        <v>9600</v>
      </c>
      <c r="D3597" t="s">
        <v>71</v>
      </c>
      <c r="E3597" t="s">
        <v>72</v>
      </c>
      <c r="F3597" t="s">
        <v>80</v>
      </c>
    </row>
    <row r="3598" spans="1:6" x14ac:dyDescent="0.45">
      <c r="A3598">
        <v>35</v>
      </c>
      <c r="B3598">
        <v>12</v>
      </c>
      <c r="C3598">
        <v>9600</v>
      </c>
      <c r="D3598" t="s">
        <v>71</v>
      </c>
      <c r="E3598" t="s">
        <v>72</v>
      </c>
      <c r="F3598" t="s">
        <v>80</v>
      </c>
    </row>
    <row r="3599" spans="1:6" x14ac:dyDescent="0.45">
      <c r="A3599">
        <v>40</v>
      </c>
      <c r="B3599">
        <v>12</v>
      </c>
      <c r="C3599">
        <v>9900</v>
      </c>
      <c r="D3599" t="s">
        <v>71</v>
      </c>
      <c r="E3599" t="s">
        <v>72</v>
      </c>
      <c r="F3599" t="s">
        <v>80</v>
      </c>
    </row>
    <row r="3600" spans="1:6" x14ac:dyDescent="0.45">
      <c r="A3600">
        <v>38</v>
      </c>
      <c r="B3600">
        <v>12</v>
      </c>
      <c r="C3600">
        <v>10000</v>
      </c>
      <c r="D3600" t="s">
        <v>76</v>
      </c>
      <c r="E3600" t="s">
        <v>72</v>
      </c>
      <c r="F3600" t="s">
        <v>80</v>
      </c>
    </row>
    <row r="3601" spans="1:6" x14ac:dyDescent="0.45">
      <c r="A3601">
        <v>50</v>
      </c>
      <c r="B3601">
        <v>12</v>
      </c>
      <c r="C3601">
        <v>10000</v>
      </c>
      <c r="D3601" t="s">
        <v>71</v>
      </c>
      <c r="E3601" t="s">
        <v>72</v>
      </c>
      <c r="F3601" t="s">
        <v>80</v>
      </c>
    </row>
    <row r="3602" spans="1:6" x14ac:dyDescent="0.45">
      <c r="A3602">
        <v>40</v>
      </c>
      <c r="B3602">
        <v>12</v>
      </c>
      <c r="C3602">
        <v>10000</v>
      </c>
      <c r="D3602" t="s">
        <v>71</v>
      </c>
      <c r="E3602" t="s">
        <v>72</v>
      </c>
      <c r="F3602" t="s">
        <v>80</v>
      </c>
    </row>
    <row r="3603" spans="1:6" x14ac:dyDescent="0.45">
      <c r="A3603">
        <v>50</v>
      </c>
      <c r="B3603">
        <v>12</v>
      </c>
      <c r="C3603">
        <v>10000</v>
      </c>
      <c r="D3603" t="s">
        <v>71</v>
      </c>
      <c r="E3603" t="s">
        <v>74</v>
      </c>
      <c r="F3603" t="s">
        <v>80</v>
      </c>
    </row>
    <row r="3604" spans="1:6" x14ac:dyDescent="0.45">
      <c r="A3604">
        <v>45</v>
      </c>
      <c r="B3604">
        <v>12</v>
      </c>
      <c r="C3604">
        <v>10000</v>
      </c>
      <c r="D3604" t="s">
        <v>71</v>
      </c>
      <c r="E3604" t="s">
        <v>72</v>
      </c>
      <c r="F3604" t="s">
        <v>80</v>
      </c>
    </row>
    <row r="3605" spans="1:6" x14ac:dyDescent="0.45">
      <c r="A3605">
        <v>0</v>
      </c>
      <c r="B3605">
        <v>12</v>
      </c>
      <c r="C3605">
        <v>10000</v>
      </c>
      <c r="D3605" t="s">
        <v>71</v>
      </c>
      <c r="E3605" t="s">
        <v>74</v>
      </c>
      <c r="F3605" t="s">
        <v>80</v>
      </c>
    </row>
    <row r="3606" spans="1:6" x14ac:dyDescent="0.45">
      <c r="A3606">
        <v>40</v>
      </c>
      <c r="B3606">
        <v>12</v>
      </c>
      <c r="C3606">
        <v>10000</v>
      </c>
      <c r="D3606" t="s">
        <v>71</v>
      </c>
      <c r="E3606" t="s">
        <v>74</v>
      </c>
      <c r="F3606" t="s">
        <v>80</v>
      </c>
    </row>
    <row r="3607" spans="1:6" x14ac:dyDescent="0.45">
      <c r="A3607">
        <v>40</v>
      </c>
      <c r="B3607">
        <v>12</v>
      </c>
      <c r="C3607">
        <v>10000</v>
      </c>
      <c r="D3607" t="s">
        <v>71</v>
      </c>
      <c r="E3607" t="s">
        <v>72</v>
      </c>
      <c r="F3607" t="s">
        <v>80</v>
      </c>
    </row>
    <row r="3608" spans="1:6" x14ac:dyDescent="0.45">
      <c r="A3608">
        <v>35</v>
      </c>
      <c r="B3608">
        <v>12</v>
      </c>
      <c r="C3608">
        <v>10000</v>
      </c>
      <c r="D3608" t="s">
        <v>71</v>
      </c>
      <c r="E3608" t="s">
        <v>72</v>
      </c>
      <c r="F3608" t="s">
        <v>80</v>
      </c>
    </row>
    <row r="3609" spans="1:6" x14ac:dyDescent="0.45">
      <c r="A3609">
        <v>40</v>
      </c>
      <c r="B3609">
        <v>12</v>
      </c>
      <c r="C3609">
        <v>10000</v>
      </c>
      <c r="D3609" t="s">
        <v>71</v>
      </c>
      <c r="E3609" t="s">
        <v>72</v>
      </c>
      <c r="F3609" t="s">
        <v>80</v>
      </c>
    </row>
    <row r="3610" spans="1:6" x14ac:dyDescent="0.45">
      <c r="A3610">
        <v>0</v>
      </c>
      <c r="B3610">
        <v>12</v>
      </c>
      <c r="C3610">
        <v>10000</v>
      </c>
      <c r="D3610" t="s">
        <v>71</v>
      </c>
      <c r="E3610" t="s">
        <v>74</v>
      </c>
      <c r="F3610" t="s">
        <v>80</v>
      </c>
    </row>
    <row r="3611" spans="1:6" x14ac:dyDescent="0.45">
      <c r="A3611">
        <v>40</v>
      </c>
      <c r="B3611">
        <v>12</v>
      </c>
      <c r="C3611">
        <v>10000</v>
      </c>
      <c r="D3611" t="s">
        <v>71</v>
      </c>
      <c r="E3611" t="s">
        <v>74</v>
      </c>
      <c r="F3611" t="s">
        <v>80</v>
      </c>
    </row>
    <row r="3612" spans="1:6" x14ac:dyDescent="0.45">
      <c r="A3612">
        <v>35</v>
      </c>
      <c r="B3612">
        <v>12</v>
      </c>
      <c r="C3612">
        <v>10000</v>
      </c>
      <c r="D3612" t="s">
        <v>71</v>
      </c>
      <c r="E3612" t="s">
        <v>72</v>
      </c>
      <c r="F3612" t="s">
        <v>80</v>
      </c>
    </row>
    <row r="3613" spans="1:6" x14ac:dyDescent="0.45">
      <c r="A3613">
        <v>40</v>
      </c>
      <c r="B3613">
        <v>12</v>
      </c>
      <c r="C3613">
        <v>10000</v>
      </c>
      <c r="D3613" t="s">
        <v>71</v>
      </c>
      <c r="E3613" t="s">
        <v>74</v>
      </c>
      <c r="F3613" t="s">
        <v>80</v>
      </c>
    </row>
    <row r="3614" spans="1:6" x14ac:dyDescent="0.45">
      <c r="A3614">
        <v>45</v>
      </c>
      <c r="B3614">
        <v>12</v>
      </c>
      <c r="C3614">
        <v>10000</v>
      </c>
      <c r="D3614" t="s">
        <v>71</v>
      </c>
      <c r="E3614" t="s">
        <v>72</v>
      </c>
      <c r="F3614" t="s">
        <v>80</v>
      </c>
    </row>
    <row r="3615" spans="1:6" x14ac:dyDescent="0.45">
      <c r="A3615">
        <v>40</v>
      </c>
      <c r="B3615">
        <v>12</v>
      </c>
      <c r="C3615">
        <v>10000</v>
      </c>
      <c r="D3615" t="s">
        <v>71</v>
      </c>
      <c r="E3615" t="s">
        <v>74</v>
      </c>
      <c r="F3615" t="s">
        <v>80</v>
      </c>
    </row>
    <row r="3616" spans="1:6" x14ac:dyDescent="0.45">
      <c r="A3616">
        <v>40</v>
      </c>
      <c r="B3616">
        <v>12</v>
      </c>
      <c r="C3616">
        <v>10000</v>
      </c>
      <c r="D3616" t="s">
        <v>71</v>
      </c>
      <c r="E3616" t="s">
        <v>72</v>
      </c>
      <c r="F3616" t="s">
        <v>80</v>
      </c>
    </row>
    <row r="3617" spans="1:6" x14ac:dyDescent="0.45">
      <c r="A3617">
        <v>40</v>
      </c>
      <c r="B3617">
        <v>12</v>
      </c>
      <c r="C3617">
        <v>10000</v>
      </c>
      <c r="D3617" t="s">
        <v>71</v>
      </c>
      <c r="E3617" t="s">
        <v>72</v>
      </c>
      <c r="F3617" t="s">
        <v>80</v>
      </c>
    </row>
    <row r="3618" spans="1:6" x14ac:dyDescent="0.45">
      <c r="A3618">
        <v>35</v>
      </c>
      <c r="B3618">
        <v>12</v>
      </c>
      <c r="C3618">
        <v>10000</v>
      </c>
      <c r="D3618" t="s">
        <v>71</v>
      </c>
      <c r="E3618" t="s">
        <v>72</v>
      </c>
      <c r="F3618" t="s">
        <v>80</v>
      </c>
    </row>
    <row r="3619" spans="1:6" x14ac:dyDescent="0.45">
      <c r="A3619">
        <v>40</v>
      </c>
      <c r="B3619">
        <v>12</v>
      </c>
      <c r="C3619">
        <v>10000</v>
      </c>
      <c r="D3619" t="s">
        <v>76</v>
      </c>
      <c r="E3619" t="s">
        <v>72</v>
      </c>
      <c r="F3619" t="s">
        <v>80</v>
      </c>
    </row>
    <row r="3620" spans="1:6" x14ac:dyDescent="0.45">
      <c r="A3620">
        <v>45</v>
      </c>
      <c r="B3620">
        <v>12</v>
      </c>
      <c r="C3620">
        <v>10000</v>
      </c>
      <c r="D3620" t="s">
        <v>71</v>
      </c>
      <c r="E3620" t="s">
        <v>72</v>
      </c>
      <c r="F3620" t="s">
        <v>80</v>
      </c>
    </row>
    <row r="3621" spans="1:6" x14ac:dyDescent="0.45">
      <c r="A3621">
        <v>40</v>
      </c>
      <c r="B3621">
        <v>12</v>
      </c>
      <c r="C3621">
        <v>10000</v>
      </c>
      <c r="D3621" t="s">
        <v>71</v>
      </c>
      <c r="E3621" t="s">
        <v>74</v>
      </c>
      <c r="F3621" t="s">
        <v>80</v>
      </c>
    </row>
    <row r="3622" spans="1:6" x14ac:dyDescent="0.45">
      <c r="A3622">
        <v>40</v>
      </c>
      <c r="B3622">
        <v>12</v>
      </c>
      <c r="C3622">
        <v>10000</v>
      </c>
      <c r="D3622" t="s">
        <v>71</v>
      </c>
      <c r="E3622" t="s">
        <v>72</v>
      </c>
      <c r="F3622" t="s">
        <v>80</v>
      </c>
    </row>
    <row r="3623" spans="1:6" x14ac:dyDescent="0.45">
      <c r="A3623">
        <v>40</v>
      </c>
      <c r="B3623">
        <v>12</v>
      </c>
      <c r="C3623">
        <v>10000</v>
      </c>
      <c r="D3623" t="s">
        <v>76</v>
      </c>
      <c r="E3623" t="s">
        <v>72</v>
      </c>
      <c r="F3623" t="s">
        <v>80</v>
      </c>
    </row>
    <row r="3624" spans="1:6" x14ac:dyDescent="0.45">
      <c r="A3624">
        <v>40</v>
      </c>
      <c r="B3624">
        <v>12</v>
      </c>
      <c r="C3624">
        <v>10000</v>
      </c>
      <c r="D3624" t="s">
        <v>75</v>
      </c>
      <c r="E3624" t="s">
        <v>72</v>
      </c>
      <c r="F3624" t="s">
        <v>80</v>
      </c>
    </row>
    <row r="3625" spans="1:6" x14ac:dyDescent="0.45">
      <c r="A3625">
        <v>40</v>
      </c>
      <c r="B3625">
        <v>12</v>
      </c>
      <c r="C3625">
        <v>10000</v>
      </c>
      <c r="D3625" t="s">
        <v>76</v>
      </c>
      <c r="E3625" t="s">
        <v>74</v>
      </c>
      <c r="F3625" t="s">
        <v>80</v>
      </c>
    </row>
    <row r="3626" spans="1:6" x14ac:dyDescent="0.45">
      <c r="A3626">
        <v>35</v>
      </c>
      <c r="B3626">
        <v>12</v>
      </c>
      <c r="C3626">
        <v>10000</v>
      </c>
      <c r="D3626" t="s">
        <v>71</v>
      </c>
      <c r="E3626" t="s">
        <v>72</v>
      </c>
      <c r="F3626" t="s">
        <v>80</v>
      </c>
    </row>
    <row r="3627" spans="1:6" x14ac:dyDescent="0.45">
      <c r="A3627">
        <v>40</v>
      </c>
      <c r="B3627">
        <v>12</v>
      </c>
      <c r="C3627">
        <v>10000</v>
      </c>
      <c r="D3627" t="s">
        <v>71</v>
      </c>
      <c r="E3627" t="s">
        <v>72</v>
      </c>
      <c r="F3627" t="s">
        <v>80</v>
      </c>
    </row>
    <row r="3628" spans="1:6" x14ac:dyDescent="0.45">
      <c r="A3628">
        <v>40</v>
      </c>
      <c r="B3628">
        <v>12</v>
      </c>
      <c r="C3628">
        <v>10000</v>
      </c>
      <c r="D3628" t="s">
        <v>76</v>
      </c>
      <c r="E3628" t="s">
        <v>72</v>
      </c>
      <c r="F3628" t="s">
        <v>80</v>
      </c>
    </row>
    <row r="3629" spans="1:6" x14ac:dyDescent="0.45">
      <c r="A3629">
        <v>35</v>
      </c>
      <c r="B3629">
        <v>12</v>
      </c>
      <c r="C3629">
        <v>10000</v>
      </c>
      <c r="D3629" t="s">
        <v>71</v>
      </c>
      <c r="E3629" t="s">
        <v>72</v>
      </c>
      <c r="F3629" t="s">
        <v>80</v>
      </c>
    </row>
    <row r="3630" spans="1:6" x14ac:dyDescent="0.45">
      <c r="A3630">
        <v>40</v>
      </c>
      <c r="B3630">
        <v>12</v>
      </c>
      <c r="C3630">
        <v>10000</v>
      </c>
      <c r="D3630" t="s">
        <v>71</v>
      </c>
      <c r="E3630" t="s">
        <v>72</v>
      </c>
      <c r="F3630" t="s">
        <v>80</v>
      </c>
    </row>
    <row r="3631" spans="1:6" x14ac:dyDescent="0.45">
      <c r="A3631">
        <v>40</v>
      </c>
      <c r="B3631">
        <v>12</v>
      </c>
      <c r="C3631">
        <v>10200</v>
      </c>
      <c r="D3631" t="s">
        <v>71</v>
      </c>
      <c r="E3631" t="s">
        <v>74</v>
      </c>
      <c r="F3631" t="s">
        <v>80</v>
      </c>
    </row>
    <row r="3632" spans="1:6" x14ac:dyDescent="0.45">
      <c r="A3632">
        <v>40</v>
      </c>
      <c r="B3632">
        <v>12</v>
      </c>
      <c r="C3632">
        <v>10280</v>
      </c>
      <c r="D3632" t="s">
        <v>71</v>
      </c>
      <c r="E3632" t="s">
        <v>72</v>
      </c>
      <c r="F3632" t="s">
        <v>80</v>
      </c>
    </row>
    <row r="3633" spans="1:6" x14ac:dyDescent="0.45">
      <c r="A3633">
        <v>40</v>
      </c>
      <c r="B3633">
        <v>12</v>
      </c>
      <c r="C3633">
        <v>10400</v>
      </c>
      <c r="D3633" t="s">
        <v>71</v>
      </c>
      <c r="E3633" t="s">
        <v>72</v>
      </c>
      <c r="F3633" t="s">
        <v>80</v>
      </c>
    </row>
    <row r="3634" spans="1:6" x14ac:dyDescent="0.45">
      <c r="A3634">
        <v>40</v>
      </c>
      <c r="B3634">
        <v>12</v>
      </c>
      <c r="C3634">
        <v>10400</v>
      </c>
      <c r="D3634" t="s">
        <v>76</v>
      </c>
      <c r="E3634" t="s">
        <v>72</v>
      </c>
      <c r="F3634" t="s">
        <v>80</v>
      </c>
    </row>
    <row r="3635" spans="1:6" x14ac:dyDescent="0.45">
      <c r="A3635">
        <v>40</v>
      </c>
      <c r="B3635">
        <v>12</v>
      </c>
      <c r="C3635">
        <v>10400</v>
      </c>
      <c r="D3635" t="s">
        <v>71</v>
      </c>
      <c r="E3635" t="s">
        <v>74</v>
      </c>
      <c r="F3635" t="s">
        <v>80</v>
      </c>
    </row>
    <row r="3636" spans="1:6" x14ac:dyDescent="0.45">
      <c r="A3636">
        <v>35</v>
      </c>
      <c r="B3636">
        <v>12</v>
      </c>
      <c r="C3636">
        <v>10452</v>
      </c>
      <c r="D3636" t="s">
        <v>71</v>
      </c>
      <c r="E3636" t="s">
        <v>72</v>
      </c>
      <c r="F3636" t="s">
        <v>80</v>
      </c>
    </row>
    <row r="3637" spans="1:6" x14ac:dyDescent="0.45">
      <c r="A3637">
        <v>40</v>
      </c>
      <c r="B3637">
        <v>12</v>
      </c>
      <c r="C3637">
        <v>10465</v>
      </c>
      <c r="D3637" t="s">
        <v>71</v>
      </c>
      <c r="E3637" t="s">
        <v>74</v>
      </c>
      <c r="F3637" t="s">
        <v>80</v>
      </c>
    </row>
    <row r="3638" spans="1:6" x14ac:dyDescent="0.45">
      <c r="A3638">
        <v>55</v>
      </c>
      <c r="B3638">
        <v>12</v>
      </c>
      <c r="C3638">
        <v>10500</v>
      </c>
      <c r="D3638" t="s">
        <v>71</v>
      </c>
      <c r="E3638" t="s">
        <v>72</v>
      </c>
      <c r="F3638" t="s">
        <v>80</v>
      </c>
    </row>
    <row r="3639" spans="1:6" x14ac:dyDescent="0.45">
      <c r="A3639">
        <v>40</v>
      </c>
      <c r="B3639">
        <v>12</v>
      </c>
      <c r="C3639">
        <v>10600</v>
      </c>
      <c r="D3639" t="s">
        <v>71</v>
      </c>
      <c r="E3639" t="s">
        <v>72</v>
      </c>
      <c r="F3639" t="s">
        <v>80</v>
      </c>
    </row>
    <row r="3640" spans="1:6" x14ac:dyDescent="0.45">
      <c r="A3640">
        <v>40</v>
      </c>
      <c r="B3640">
        <v>12</v>
      </c>
      <c r="C3640">
        <v>10800</v>
      </c>
      <c r="D3640" t="s">
        <v>71</v>
      </c>
      <c r="E3640" t="s">
        <v>72</v>
      </c>
      <c r="F3640" t="s">
        <v>80</v>
      </c>
    </row>
    <row r="3641" spans="1:6" x14ac:dyDescent="0.45">
      <c r="A3641">
        <v>35</v>
      </c>
      <c r="B3641">
        <v>12</v>
      </c>
      <c r="C3641">
        <v>10878</v>
      </c>
      <c r="D3641" t="s">
        <v>76</v>
      </c>
      <c r="E3641" t="s">
        <v>72</v>
      </c>
      <c r="F3641" t="s">
        <v>80</v>
      </c>
    </row>
    <row r="3642" spans="1:6" x14ac:dyDescent="0.45">
      <c r="A3642">
        <v>40</v>
      </c>
      <c r="B3642">
        <v>12</v>
      </c>
      <c r="C3642">
        <v>10998</v>
      </c>
      <c r="D3642" t="s">
        <v>71</v>
      </c>
      <c r="E3642" t="s">
        <v>74</v>
      </c>
      <c r="F3642" t="s">
        <v>80</v>
      </c>
    </row>
    <row r="3643" spans="1:6" x14ac:dyDescent="0.45">
      <c r="A3643">
        <v>40</v>
      </c>
      <c r="B3643">
        <v>12</v>
      </c>
      <c r="C3643">
        <v>11000</v>
      </c>
      <c r="D3643" t="s">
        <v>71</v>
      </c>
      <c r="E3643" t="s">
        <v>74</v>
      </c>
      <c r="F3643" t="s">
        <v>80</v>
      </c>
    </row>
    <row r="3644" spans="1:6" x14ac:dyDescent="0.45">
      <c r="A3644">
        <v>40</v>
      </c>
      <c r="B3644">
        <v>12</v>
      </c>
      <c r="C3644">
        <v>11000</v>
      </c>
      <c r="D3644" t="s">
        <v>71</v>
      </c>
      <c r="E3644" t="s">
        <v>72</v>
      </c>
      <c r="F3644" t="s">
        <v>80</v>
      </c>
    </row>
    <row r="3645" spans="1:6" x14ac:dyDescent="0.45">
      <c r="A3645">
        <v>40</v>
      </c>
      <c r="B3645">
        <v>12</v>
      </c>
      <c r="C3645">
        <v>11000</v>
      </c>
      <c r="D3645" t="s">
        <v>75</v>
      </c>
      <c r="E3645" t="s">
        <v>74</v>
      </c>
      <c r="F3645" t="s">
        <v>80</v>
      </c>
    </row>
    <row r="3646" spans="1:6" x14ac:dyDescent="0.45">
      <c r="A3646">
        <v>40</v>
      </c>
      <c r="B3646">
        <v>12</v>
      </c>
      <c r="C3646">
        <v>11000</v>
      </c>
      <c r="D3646" t="s">
        <v>71</v>
      </c>
      <c r="E3646" t="s">
        <v>72</v>
      </c>
      <c r="F3646" t="s">
        <v>80</v>
      </c>
    </row>
    <row r="3647" spans="1:6" x14ac:dyDescent="0.45">
      <c r="A3647">
        <v>0</v>
      </c>
      <c r="B3647">
        <v>12</v>
      </c>
      <c r="C3647">
        <v>11000</v>
      </c>
      <c r="D3647" t="s">
        <v>71</v>
      </c>
      <c r="E3647" t="s">
        <v>72</v>
      </c>
      <c r="F3647" t="s">
        <v>80</v>
      </c>
    </row>
    <row r="3648" spans="1:6" x14ac:dyDescent="0.45">
      <c r="A3648">
        <v>40</v>
      </c>
      <c r="B3648">
        <v>12</v>
      </c>
      <c r="C3648">
        <v>11000</v>
      </c>
      <c r="D3648" t="s">
        <v>71</v>
      </c>
      <c r="E3648" t="s">
        <v>72</v>
      </c>
      <c r="F3648" t="s">
        <v>80</v>
      </c>
    </row>
    <row r="3649" spans="1:6" x14ac:dyDescent="0.45">
      <c r="A3649">
        <v>40</v>
      </c>
      <c r="B3649">
        <v>12</v>
      </c>
      <c r="C3649">
        <v>11000</v>
      </c>
      <c r="D3649" t="s">
        <v>71</v>
      </c>
      <c r="E3649" t="s">
        <v>74</v>
      </c>
      <c r="F3649" t="s">
        <v>80</v>
      </c>
    </row>
    <row r="3650" spans="1:6" x14ac:dyDescent="0.45">
      <c r="A3650">
        <v>40</v>
      </c>
      <c r="B3650">
        <v>12</v>
      </c>
      <c r="C3650">
        <v>11000</v>
      </c>
      <c r="D3650" t="s">
        <v>71</v>
      </c>
      <c r="E3650" t="s">
        <v>72</v>
      </c>
      <c r="F3650" t="s">
        <v>80</v>
      </c>
    </row>
    <row r="3651" spans="1:6" x14ac:dyDescent="0.45">
      <c r="A3651">
        <v>40</v>
      </c>
      <c r="B3651">
        <v>12</v>
      </c>
      <c r="C3651">
        <v>11000</v>
      </c>
      <c r="D3651" t="s">
        <v>71</v>
      </c>
      <c r="E3651" t="s">
        <v>72</v>
      </c>
      <c r="F3651" t="s">
        <v>80</v>
      </c>
    </row>
    <row r="3652" spans="1:6" x14ac:dyDescent="0.45">
      <c r="A3652">
        <v>40</v>
      </c>
      <c r="B3652">
        <v>12</v>
      </c>
      <c r="C3652">
        <v>11000</v>
      </c>
      <c r="D3652" t="s">
        <v>71</v>
      </c>
      <c r="E3652" t="s">
        <v>74</v>
      </c>
      <c r="F3652" t="s">
        <v>80</v>
      </c>
    </row>
    <row r="3653" spans="1:6" x14ac:dyDescent="0.45">
      <c r="A3653">
        <v>40</v>
      </c>
      <c r="B3653">
        <v>12</v>
      </c>
      <c r="C3653">
        <v>11000</v>
      </c>
      <c r="D3653" t="s">
        <v>71</v>
      </c>
      <c r="E3653" t="s">
        <v>72</v>
      </c>
      <c r="F3653" t="s">
        <v>80</v>
      </c>
    </row>
    <row r="3654" spans="1:6" x14ac:dyDescent="0.45">
      <c r="A3654">
        <v>40</v>
      </c>
      <c r="B3654">
        <v>12</v>
      </c>
      <c r="C3654">
        <v>11000</v>
      </c>
      <c r="D3654" t="s">
        <v>71</v>
      </c>
      <c r="E3654" t="s">
        <v>74</v>
      </c>
      <c r="F3654" t="s">
        <v>80</v>
      </c>
    </row>
    <row r="3655" spans="1:6" x14ac:dyDescent="0.45">
      <c r="A3655">
        <v>40</v>
      </c>
      <c r="B3655">
        <v>12</v>
      </c>
      <c r="C3655">
        <v>11000</v>
      </c>
      <c r="D3655" t="s">
        <v>71</v>
      </c>
      <c r="E3655" t="s">
        <v>72</v>
      </c>
      <c r="F3655" t="s">
        <v>80</v>
      </c>
    </row>
    <row r="3656" spans="1:6" x14ac:dyDescent="0.45">
      <c r="A3656">
        <v>37</v>
      </c>
      <c r="B3656">
        <v>12</v>
      </c>
      <c r="C3656">
        <v>11000</v>
      </c>
      <c r="D3656" t="s">
        <v>76</v>
      </c>
      <c r="E3656" t="s">
        <v>72</v>
      </c>
      <c r="F3656" t="s">
        <v>80</v>
      </c>
    </row>
    <row r="3657" spans="1:6" x14ac:dyDescent="0.45">
      <c r="A3657">
        <v>40</v>
      </c>
      <c r="B3657">
        <v>12</v>
      </c>
      <c r="C3657">
        <v>11000</v>
      </c>
      <c r="D3657" t="s">
        <v>71</v>
      </c>
      <c r="E3657" t="s">
        <v>74</v>
      </c>
      <c r="F3657" t="s">
        <v>80</v>
      </c>
    </row>
    <row r="3658" spans="1:6" x14ac:dyDescent="0.45">
      <c r="A3658">
        <v>40</v>
      </c>
      <c r="B3658">
        <v>12</v>
      </c>
      <c r="C3658">
        <v>11000</v>
      </c>
      <c r="D3658" t="s">
        <v>71</v>
      </c>
      <c r="E3658" t="s">
        <v>74</v>
      </c>
      <c r="F3658" t="s">
        <v>80</v>
      </c>
    </row>
    <row r="3659" spans="1:6" x14ac:dyDescent="0.45">
      <c r="A3659">
        <v>40</v>
      </c>
      <c r="B3659">
        <v>12</v>
      </c>
      <c r="C3659">
        <v>11000</v>
      </c>
      <c r="D3659" t="s">
        <v>71</v>
      </c>
      <c r="E3659" t="s">
        <v>72</v>
      </c>
      <c r="F3659" t="s">
        <v>80</v>
      </c>
    </row>
    <row r="3660" spans="1:6" x14ac:dyDescent="0.45">
      <c r="A3660">
        <v>40</v>
      </c>
      <c r="B3660">
        <v>12</v>
      </c>
      <c r="C3660">
        <v>11000</v>
      </c>
      <c r="D3660" t="s">
        <v>71</v>
      </c>
      <c r="E3660" t="s">
        <v>72</v>
      </c>
      <c r="F3660" t="s">
        <v>80</v>
      </c>
    </row>
    <row r="3661" spans="1:6" x14ac:dyDescent="0.45">
      <c r="A3661">
        <v>40</v>
      </c>
      <c r="B3661">
        <v>12</v>
      </c>
      <c r="C3661">
        <v>11000</v>
      </c>
      <c r="D3661" t="s">
        <v>71</v>
      </c>
      <c r="E3661" t="s">
        <v>72</v>
      </c>
      <c r="F3661" t="s">
        <v>80</v>
      </c>
    </row>
    <row r="3662" spans="1:6" x14ac:dyDescent="0.45">
      <c r="A3662">
        <v>40</v>
      </c>
      <c r="B3662">
        <v>12</v>
      </c>
      <c r="C3662">
        <v>11000</v>
      </c>
      <c r="D3662" t="s">
        <v>71</v>
      </c>
      <c r="E3662" t="s">
        <v>72</v>
      </c>
      <c r="F3662" t="s">
        <v>80</v>
      </c>
    </row>
    <row r="3663" spans="1:6" x14ac:dyDescent="0.45">
      <c r="A3663">
        <v>60</v>
      </c>
      <c r="B3663">
        <v>12</v>
      </c>
      <c r="C3663">
        <v>11000</v>
      </c>
      <c r="D3663" t="s">
        <v>71</v>
      </c>
      <c r="E3663" t="s">
        <v>72</v>
      </c>
      <c r="F3663" t="s">
        <v>80</v>
      </c>
    </row>
    <row r="3664" spans="1:6" x14ac:dyDescent="0.45">
      <c r="A3664">
        <v>40</v>
      </c>
      <c r="B3664">
        <v>12</v>
      </c>
      <c r="C3664">
        <v>11000</v>
      </c>
      <c r="D3664" t="s">
        <v>76</v>
      </c>
      <c r="E3664" t="s">
        <v>72</v>
      </c>
      <c r="F3664" t="s">
        <v>80</v>
      </c>
    </row>
    <row r="3665" spans="1:6" x14ac:dyDescent="0.45">
      <c r="A3665">
        <v>40</v>
      </c>
      <c r="B3665">
        <v>12</v>
      </c>
      <c r="C3665">
        <v>11000</v>
      </c>
      <c r="D3665" t="s">
        <v>71</v>
      </c>
      <c r="E3665" t="s">
        <v>72</v>
      </c>
      <c r="F3665" t="s">
        <v>80</v>
      </c>
    </row>
    <row r="3666" spans="1:6" x14ac:dyDescent="0.45">
      <c r="A3666">
        <v>80</v>
      </c>
      <c r="B3666">
        <v>12</v>
      </c>
      <c r="C3666">
        <v>11000</v>
      </c>
      <c r="D3666" t="s">
        <v>71</v>
      </c>
      <c r="E3666" t="s">
        <v>72</v>
      </c>
      <c r="F3666" t="s">
        <v>80</v>
      </c>
    </row>
    <row r="3667" spans="1:6" x14ac:dyDescent="0.45">
      <c r="A3667">
        <v>40</v>
      </c>
      <c r="B3667">
        <v>12</v>
      </c>
      <c r="C3667">
        <v>11000</v>
      </c>
      <c r="D3667" t="s">
        <v>76</v>
      </c>
      <c r="E3667" t="s">
        <v>74</v>
      </c>
      <c r="F3667" t="s">
        <v>80</v>
      </c>
    </row>
    <row r="3668" spans="1:6" x14ac:dyDescent="0.45">
      <c r="A3668">
        <v>35</v>
      </c>
      <c r="B3668">
        <v>12</v>
      </c>
      <c r="C3668">
        <v>11000</v>
      </c>
      <c r="D3668" t="s">
        <v>71</v>
      </c>
      <c r="E3668" t="s">
        <v>72</v>
      </c>
      <c r="F3668" t="s">
        <v>80</v>
      </c>
    </row>
    <row r="3669" spans="1:6" x14ac:dyDescent="0.45">
      <c r="A3669">
        <v>40</v>
      </c>
      <c r="B3669">
        <v>12</v>
      </c>
      <c r="C3669">
        <v>11000</v>
      </c>
      <c r="D3669" t="s">
        <v>71</v>
      </c>
      <c r="E3669" t="s">
        <v>72</v>
      </c>
      <c r="F3669" t="s">
        <v>80</v>
      </c>
    </row>
    <row r="3670" spans="1:6" x14ac:dyDescent="0.45">
      <c r="A3670">
        <v>35</v>
      </c>
      <c r="B3670">
        <v>12</v>
      </c>
      <c r="C3670">
        <v>11000</v>
      </c>
      <c r="D3670" t="s">
        <v>71</v>
      </c>
      <c r="E3670" t="s">
        <v>72</v>
      </c>
      <c r="F3670" t="s">
        <v>80</v>
      </c>
    </row>
    <row r="3671" spans="1:6" x14ac:dyDescent="0.45">
      <c r="A3671">
        <v>40</v>
      </c>
      <c r="B3671">
        <v>12</v>
      </c>
      <c r="C3671">
        <v>11120</v>
      </c>
      <c r="D3671" t="s">
        <v>71</v>
      </c>
      <c r="E3671" t="s">
        <v>74</v>
      </c>
      <c r="F3671" t="s">
        <v>80</v>
      </c>
    </row>
    <row r="3672" spans="1:6" x14ac:dyDescent="0.45">
      <c r="A3672">
        <v>40</v>
      </c>
      <c r="B3672">
        <v>12</v>
      </c>
      <c r="C3672">
        <v>11167</v>
      </c>
      <c r="D3672" t="s">
        <v>76</v>
      </c>
      <c r="E3672" t="s">
        <v>72</v>
      </c>
      <c r="F3672" t="s">
        <v>80</v>
      </c>
    </row>
    <row r="3673" spans="1:6" x14ac:dyDescent="0.45">
      <c r="A3673">
        <v>40</v>
      </c>
      <c r="B3673">
        <v>12</v>
      </c>
      <c r="C3673">
        <v>11200</v>
      </c>
      <c r="D3673" t="s">
        <v>71</v>
      </c>
      <c r="E3673" t="s">
        <v>72</v>
      </c>
      <c r="F3673" t="s">
        <v>80</v>
      </c>
    </row>
    <row r="3674" spans="1:6" x14ac:dyDescent="0.45">
      <c r="A3674">
        <v>40</v>
      </c>
      <c r="B3674">
        <v>12</v>
      </c>
      <c r="C3674">
        <v>11232</v>
      </c>
      <c r="D3674" t="s">
        <v>71</v>
      </c>
      <c r="E3674" t="s">
        <v>74</v>
      </c>
      <c r="F3674" t="s">
        <v>80</v>
      </c>
    </row>
    <row r="3675" spans="1:6" x14ac:dyDescent="0.45">
      <c r="A3675">
        <v>40</v>
      </c>
      <c r="B3675">
        <v>12</v>
      </c>
      <c r="C3675">
        <v>11267</v>
      </c>
      <c r="D3675" t="s">
        <v>71</v>
      </c>
      <c r="E3675" t="s">
        <v>72</v>
      </c>
      <c r="F3675" t="s">
        <v>80</v>
      </c>
    </row>
    <row r="3676" spans="1:6" x14ac:dyDescent="0.45">
      <c r="A3676">
        <v>40</v>
      </c>
      <c r="B3676">
        <v>12</v>
      </c>
      <c r="C3676">
        <v>11303</v>
      </c>
      <c r="D3676" t="s">
        <v>71</v>
      </c>
      <c r="E3676" t="s">
        <v>72</v>
      </c>
      <c r="F3676" t="s">
        <v>80</v>
      </c>
    </row>
    <row r="3677" spans="1:6" x14ac:dyDescent="0.45">
      <c r="A3677">
        <v>40</v>
      </c>
      <c r="B3677">
        <v>12</v>
      </c>
      <c r="C3677">
        <v>11400</v>
      </c>
      <c r="D3677" t="s">
        <v>71</v>
      </c>
      <c r="E3677" t="s">
        <v>74</v>
      </c>
      <c r="F3677" t="s">
        <v>80</v>
      </c>
    </row>
    <row r="3678" spans="1:6" x14ac:dyDescent="0.45">
      <c r="A3678">
        <v>49</v>
      </c>
      <c r="B3678">
        <v>12</v>
      </c>
      <c r="C3678">
        <v>11500</v>
      </c>
      <c r="D3678" t="s">
        <v>76</v>
      </c>
      <c r="E3678" t="s">
        <v>72</v>
      </c>
      <c r="F3678" t="s">
        <v>80</v>
      </c>
    </row>
    <row r="3679" spans="1:6" x14ac:dyDescent="0.45">
      <c r="A3679">
        <v>40</v>
      </c>
      <c r="B3679">
        <v>12</v>
      </c>
      <c r="C3679">
        <v>11520</v>
      </c>
      <c r="D3679" t="s">
        <v>71</v>
      </c>
      <c r="E3679" t="s">
        <v>72</v>
      </c>
      <c r="F3679" t="s">
        <v>80</v>
      </c>
    </row>
    <row r="3680" spans="1:6" x14ac:dyDescent="0.45">
      <c r="A3680">
        <v>40</v>
      </c>
      <c r="B3680">
        <v>12</v>
      </c>
      <c r="C3680">
        <v>11600</v>
      </c>
      <c r="D3680" t="s">
        <v>71</v>
      </c>
      <c r="E3680" t="s">
        <v>72</v>
      </c>
      <c r="F3680" t="s">
        <v>80</v>
      </c>
    </row>
    <row r="3681" spans="1:6" x14ac:dyDescent="0.45">
      <c r="A3681">
        <v>40</v>
      </c>
      <c r="B3681">
        <v>12</v>
      </c>
      <c r="C3681">
        <v>11620</v>
      </c>
      <c r="D3681" t="s">
        <v>71</v>
      </c>
      <c r="E3681" t="s">
        <v>72</v>
      </c>
      <c r="F3681" t="s">
        <v>80</v>
      </c>
    </row>
    <row r="3682" spans="1:6" x14ac:dyDescent="0.45">
      <c r="A3682">
        <v>35</v>
      </c>
      <c r="B3682">
        <v>12</v>
      </c>
      <c r="C3682">
        <v>11800</v>
      </c>
      <c r="D3682" t="s">
        <v>71</v>
      </c>
      <c r="E3682" t="s">
        <v>72</v>
      </c>
      <c r="F3682" t="s">
        <v>80</v>
      </c>
    </row>
    <row r="3683" spans="1:6" x14ac:dyDescent="0.45">
      <c r="A3683">
        <v>51</v>
      </c>
      <c r="B3683">
        <v>12</v>
      </c>
      <c r="C3683">
        <v>11887</v>
      </c>
      <c r="D3683" t="s">
        <v>71</v>
      </c>
      <c r="E3683" t="s">
        <v>72</v>
      </c>
      <c r="F3683" t="s">
        <v>80</v>
      </c>
    </row>
    <row r="3684" spans="1:6" x14ac:dyDescent="0.45">
      <c r="A3684">
        <v>40</v>
      </c>
      <c r="B3684">
        <v>12</v>
      </c>
      <c r="C3684">
        <v>11960</v>
      </c>
      <c r="D3684" t="s">
        <v>71</v>
      </c>
      <c r="E3684" t="s">
        <v>72</v>
      </c>
      <c r="F3684" t="s">
        <v>80</v>
      </c>
    </row>
    <row r="3685" spans="1:6" x14ac:dyDescent="0.45">
      <c r="A3685">
        <v>35</v>
      </c>
      <c r="B3685">
        <v>12</v>
      </c>
      <c r="C3685">
        <v>11981</v>
      </c>
      <c r="D3685" t="s">
        <v>71</v>
      </c>
      <c r="E3685" t="s">
        <v>72</v>
      </c>
      <c r="F3685" t="s">
        <v>80</v>
      </c>
    </row>
    <row r="3686" spans="1:6" x14ac:dyDescent="0.45">
      <c r="A3686">
        <v>35</v>
      </c>
      <c r="B3686">
        <v>12</v>
      </c>
      <c r="C3686">
        <v>12000</v>
      </c>
      <c r="D3686" t="s">
        <v>71</v>
      </c>
      <c r="E3686" t="s">
        <v>72</v>
      </c>
      <c r="F3686" t="s">
        <v>80</v>
      </c>
    </row>
    <row r="3687" spans="1:6" x14ac:dyDescent="0.45">
      <c r="A3687">
        <v>40</v>
      </c>
      <c r="B3687">
        <v>12</v>
      </c>
      <c r="C3687">
        <v>12000</v>
      </c>
      <c r="D3687" t="s">
        <v>71</v>
      </c>
      <c r="E3687" t="s">
        <v>74</v>
      </c>
      <c r="F3687" t="s">
        <v>80</v>
      </c>
    </row>
    <row r="3688" spans="1:6" x14ac:dyDescent="0.45">
      <c r="A3688">
        <v>40</v>
      </c>
      <c r="B3688">
        <v>12</v>
      </c>
      <c r="C3688">
        <v>12000</v>
      </c>
      <c r="D3688" t="s">
        <v>71</v>
      </c>
      <c r="E3688" t="s">
        <v>72</v>
      </c>
      <c r="F3688" t="s">
        <v>80</v>
      </c>
    </row>
    <row r="3689" spans="1:6" x14ac:dyDescent="0.45">
      <c r="A3689">
        <v>40</v>
      </c>
      <c r="B3689">
        <v>12</v>
      </c>
      <c r="C3689">
        <v>12000</v>
      </c>
      <c r="D3689" t="s">
        <v>76</v>
      </c>
      <c r="E3689" t="s">
        <v>72</v>
      </c>
      <c r="F3689" t="s">
        <v>80</v>
      </c>
    </row>
    <row r="3690" spans="1:6" x14ac:dyDescent="0.45">
      <c r="A3690">
        <v>40</v>
      </c>
      <c r="B3690">
        <v>12</v>
      </c>
      <c r="C3690">
        <v>12000</v>
      </c>
      <c r="D3690" t="s">
        <v>71</v>
      </c>
      <c r="E3690" t="s">
        <v>72</v>
      </c>
      <c r="F3690" t="s">
        <v>80</v>
      </c>
    </row>
    <row r="3691" spans="1:6" x14ac:dyDescent="0.45">
      <c r="A3691">
        <v>40</v>
      </c>
      <c r="B3691">
        <v>12</v>
      </c>
      <c r="C3691">
        <v>12000</v>
      </c>
      <c r="D3691" t="s">
        <v>71</v>
      </c>
      <c r="E3691" t="s">
        <v>72</v>
      </c>
      <c r="F3691" t="s">
        <v>80</v>
      </c>
    </row>
    <row r="3692" spans="1:6" x14ac:dyDescent="0.45">
      <c r="A3692">
        <v>40</v>
      </c>
      <c r="B3692">
        <v>12</v>
      </c>
      <c r="C3692">
        <v>12000</v>
      </c>
      <c r="D3692" t="s">
        <v>71</v>
      </c>
      <c r="E3692" t="s">
        <v>74</v>
      </c>
      <c r="F3692" t="s">
        <v>80</v>
      </c>
    </row>
    <row r="3693" spans="1:6" x14ac:dyDescent="0.45">
      <c r="A3693">
        <v>35</v>
      </c>
      <c r="B3693">
        <v>12</v>
      </c>
      <c r="C3693">
        <v>12000</v>
      </c>
      <c r="D3693" t="s">
        <v>71</v>
      </c>
      <c r="E3693" t="s">
        <v>74</v>
      </c>
      <c r="F3693" t="s">
        <v>80</v>
      </c>
    </row>
    <row r="3694" spans="1:6" x14ac:dyDescent="0.45">
      <c r="A3694">
        <v>40</v>
      </c>
      <c r="B3694">
        <v>12</v>
      </c>
      <c r="C3694">
        <v>12000</v>
      </c>
      <c r="D3694" t="s">
        <v>76</v>
      </c>
      <c r="E3694" t="s">
        <v>72</v>
      </c>
      <c r="F3694" t="s">
        <v>80</v>
      </c>
    </row>
    <row r="3695" spans="1:6" x14ac:dyDescent="0.45">
      <c r="A3695">
        <v>40</v>
      </c>
      <c r="B3695">
        <v>12</v>
      </c>
      <c r="C3695">
        <v>12000</v>
      </c>
      <c r="D3695" t="s">
        <v>71</v>
      </c>
      <c r="E3695" t="s">
        <v>72</v>
      </c>
      <c r="F3695" t="s">
        <v>80</v>
      </c>
    </row>
    <row r="3696" spans="1:6" x14ac:dyDescent="0.45">
      <c r="A3696">
        <v>40</v>
      </c>
      <c r="B3696">
        <v>12</v>
      </c>
      <c r="C3696">
        <v>12000</v>
      </c>
      <c r="D3696" t="s">
        <v>71</v>
      </c>
      <c r="E3696" t="s">
        <v>72</v>
      </c>
      <c r="F3696" t="s">
        <v>80</v>
      </c>
    </row>
    <row r="3697" spans="1:6" x14ac:dyDescent="0.45">
      <c r="A3697">
        <v>50</v>
      </c>
      <c r="B3697">
        <v>12</v>
      </c>
      <c r="C3697">
        <v>12000</v>
      </c>
      <c r="D3697" t="s">
        <v>71</v>
      </c>
      <c r="E3697" t="s">
        <v>72</v>
      </c>
      <c r="F3697" t="s">
        <v>80</v>
      </c>
    </row>
    <row r="3698" spans="1:6" x14ac:dyDescent="0.45">
      <c r="A3698">
        <v>35</v>
      </c>
      <c r="B3698">
        <v>12</v>
      </c>
      <c r="C3698">
        <v>12000</v>
      </c>
      <c r="D3698" t="s">
        <v>71</v>
      </c>
      <c r="E3698" t="s">
        <v>72</v>
      </c>
      <c r="F3698" t="s">
        <v>80</v>
      </c>
    </row>
    <row r="3699" spans="1:6" x14ac:dyDescent="0.45">
      <c r="A3699">
        <v>0</v>
      </c>
      <c r="B3699">
        <v>12</v>
      </c>
      <c r="C3699">
        <v>12000</v>
      </c>
      <c r="D3699" t="s">
        <v>71</v>
      </c>
      <c r="E3699" t="s">
        <v>74</v>
      </c>
      <c r="F3699" t="s">
        <v>80</v>
      </c>
    </row>
    <row r="3700" spans="1:6" x14ac:dyDescent="0.45">
      <c r="A3700">
        <v>35</v>
      </c>
      <c r="B3700">
        <v>12</v>
      </c>
      <c r="C3700">
        <v>12000</v>
      </c>
      <c r="D3700" t="s">
        <v>71</v>
      </c>
      <c r="E3700" t="s">
        <v>72</v>
      </c>
      <c r="F3700" t="s">
        <v>80</v>
      </c>
    </row>
    <row r="3701" spans="1:6" x14ac:dyDescent="0.45">
      <c r="A3701">
        <v>35</v>
      </c>
      <c r="B3701">
        <v>12</v>
      </c>
      <c r="C3701">
        <v>12000</v>
      </c>
      <c r="D3701" t="s">
        <v>71</v>
      </c>
      <c r="E3701" t="s">
        <v>74</v>
      </c>
      <c r="F3701" t="s">
        <v>80</v>
      </c>
    </row>
    <row r="3702" spans="1:6" x14ac:dyDescent="0.45">
      <c r="A3702">
        <v>40</v>
      </c>
      <c r="B3702">
        <v>12</v>
      </c>
      <c r="C3702">
        <v>12000</v>
      </c>
      <c r="D3702" t="s">
        <v>71</v>
      </c>
      <c r="E3702" t="s">
        <v>74</v>
      </c>
      <c r="F3702" t="s">
        <v>80</v>
      </c>
    </row>
    <row r="3703" spans="1:6" x14ac:dyDescent="0.45">
      <c r="A3703">
        <v>48</v>
      </c>
      <c r="B3703">
        <v>12</v>
      </c>
      <c r="C3703">
        <v>12000</v>
      </c>
      <c r="D3703" t="s">
        <v>76</v>
      </c>
      <c r="E3703" t="s">
        <v>74</v>
      </c>
      <c r="F3703" t="s">
        <v>80</v>
      </c>
    </row>
    <row r="3704" spans="1:6" x14ac:dyDescent="0.45">
      <c r="A3704">
        <v>40</v>
      </c>
      <c r="B3704">
        <v>12</v>
      </c>
      <c r="C3704">
        <v>12000</v>
      </c>
      <c r="D3704" t="s">
        <v>71</v>
      </c>
      <c r="E3704" t="s">
        <v>72</v>
      </c>
      <c r="F3704" t="s">
        <v>80</v>
      </c>
    </row>
    <row r="3705" spans="1:6" x14ac:dyDescent="0.45">
      <c r="A3705">
        <v>40</v>
      </c>
      <c r="B3705">
        <v>12</v>
      </c>
      <c r="C3705">
        <v>12000</v>
      </c>
      <c r="D3705" t="s">
        <v>71</v>
      </c>
      <c r="E3705" t="s">
        <v>74</v>
      </c>
      <c r="F3705" t="s">
        <v>80</v>
      </c>
    </row>
    <row r="3706" spans="1:6" x14ac:dyDescent="0.45">
      <c r="A3706">
        <v>40</v>
      </c>
      <c r="B3706">
        <v>12</v>
      </c>
      <c r="C3706">
        <v>12000</v>
      </c>
      <c r="D3706" t="s">
        <v>71</v>
      </c>
      <c r="E3706" t="s">
        <v>72</v>
      </c>
      <c r="F3706" t="s">
        <v>80</v>
      </c>
    </row>
    <row r="3707" spans="1:6" x14ac:dyDescent="0.45">
      <c r="A3707">
        <v>40</v>
      </c>
      <c r="B3707">
        <v>12</v>
      </c>
      <c r="C3707">
        <v>12000</v>
      </c>
      <c r="D3707" t="s">
        <v>71</v>
      </c>
      <c r="E3707" t="s">
        <v>72</v>
      </c>
      <c r="F3707" t="s">
        <v>80</v>
      </c>
    </row>
    <row r="3708" spans="1:6" x14ac:dyDescent="0.45">
      <c r="A3708">
        <v>40</v>
      </c>
      <c r="B3708">
        <v>12</v>
      </c>
      <c r="C3708">
        <v>12000</v>
      </c>
      <c r="D3708" t="s">
        <v>71</v>
      </c>
      <c r="E3708" t="s">
        <v>74</v>
      </c>
      <c r="F3708" t="s">
        <v>80</v>
      </c>
    </row>
    <row r="3709" spans="1:6" x14ac:dyDescent="0.45">
      <c r="A3709">
        <v>40</v>
      </c>
      <c r="B3709">
        <v>12</v>
      </c>
      <c r="C3709">
        <v>12000</v>
      </c>
      <c r="D3709" t="s">
        <v>71</v>
      </c>
      <c r="E3709" t="s">
        <v>74</v>
      </c>
      <c r="F3709" t="s">
        <v>80</v>
      </c>
    </row>
    <row r="3710" spans="1:6" x14ac:dyDescent="0.45">
      <c r="A3710">
        <v>40</v>
      </c>
      <c r="B3710">
        <v>12</v>
      </c>
      <c r="C3710">
        <v>12000</v>
      </c>
      <c r="D3710" t="s">
        <v>71</v>
      </c>
      <c r="E3710" t="s">
        <v>72</v>
      </c>
      <c r="F3710" t="s">
        <v>80</v>
      </c>
    </row>
    <row r="3711" spans="1:6" x14ac:dyDescent="0.45">
      <c r="A3711">
        <v>40</v>
      </c>
      <c r="B3711">
        <v>12</v>
      </c>
      <c r="C3711">
        <v>12000</v>
      </c>
      <c r="D3711" t="s">
        <v>71</v>
      </c>
      <c r="E3711" t="s">
        <v>72</v>
      </c>
      <c r="F3711" t="s">
        <v>80</v>
      </c>
    </row>
    <row r="3712" spans="1:6" x14ac:dyDescent="0.45">
      <c r="A3712">
        <v>38</v>
      </c>
      <c r="B3712">
        <v>12</v>
      </c>
      <c r="C3712">
        <v>12000</v>
      </c>
      <c r="D3712" t="s">
        <v>77</v>
      </c>
      <c r="E3712" t="s">
        <v>72</v>
      </c>
      <c r="F3712" t="s">
        <v>80</v>
      </c>
    </row>
    <row r="3713" spans="1:6" x14ac:dyDescent="0.45">
      <c r="A3713">
        <v>40</v>
      </c>
      <c r="B3713">
        <v>12</v>
      </c>
      <c r="C3713">
        <v>12000</v>
      </c>
      <c r="D3713" t="s">
        <v>71</v>
      </c>
      <c r="E3713" t="s">
        <v>72</v>
      </c>
      <c r="F3713" t="s">
        <v>80</v>
      </c>
    </row>
    <row r="3714" spans="1:6" x14ac:dyDescent="0.45">
      <c r="A3714">
        <v>40</v>
      </c>
      <c r="B3714">
        <v>12</v>
      </c>
      <c r="C3714">
        <v>12000</v>
      </c>
      <c r="D3714" t="s">
        <v>71</v>
      </c>
      <c r="E3714" t="s">
        <v>72</v>
      </c>
      <c r="F3714" t="s">
        <v>80</v>
      </c>
    </row>
    <row r="3715" spans="1:6" x14ac:dyDescent="0.45">
      <c r="A3715">
        <v>36</v>
      </c>
      <c r="B3715">
        <v>12</v>
      </c>
      <c r="C3715">
        <v>12000</v>
      </c>
      <c r="D3715" t="s">
        <v>71</v>
      </c>
      <c r="E3715" t="s">
        <v>72</v>
      </c>
      <c r="F3715" t="s">
        <v>80</v>
      </c>
    </row>
    <row r="3716" spans="1:6" x14ac:dyDescent="0.45">
      <c r="A3716">
        <v>75</v>
      </c>
      <c r="B3716">
        <v>12</v>
      </c>
      <c r="C3716">
        <v>12000</v>
      </c>
      <c r="D3716" t="s">
        <v>71</v>
      </c>
      <c r="E3716" t="s">
        <v>74</v>
      </c>
      <c r="F3716" t="s">
        <v>80</v>
      </c>
    </row>
    <row r="3717" spans="1:6" x14ac:dyDescent="0.45">
      <c r="A3717">
        <v>40</v>
      </c>
      <c r="B3717">
        <v>12</v>
      </c>
      <c r="C3717">
        <v>12000</v>
      </c>
      <c r="D3717" t="s">
        <v>71</v>
      </c>
      <c r="E3717" t="s">
        <v>74</v>
      </c>
      <c r="F3717" t="s">
        <v>80</v>
      </c>
    </row>
    <row r="3718" spans="1:6" x14ac:dyDescent="0.45">
      <c r="A3718">
        <v>40</v>
      </c>
      <c r="B3718">
        <v>12</v>
      </c>
      <c r="C3718">
        <v>12083</v>
      </c>
      <c r="D3718" t="s">
        <v>71</v>
      </c>
      <c r="E3718" t="s">
        <v>74</v>
      </c>
      <c r="F3718" t="s">
        <v>80</v>
      </c>
    </row>
    <row r="3719" spans="1:6" x14ac:dyDescent="0.45">
      <c r="A3719">
        <v>40</v>
      </c>
      <c r="B3719">
        <v>12</v>
      </c>
      <c r="C3719">
        <v>12120</v>
      </c>
      <c r="D3719" t="s">
        <v>71</v>
      </c>
      <c r="E3719" t="s">
        <v>72</v>
      </c>
      <c r="F3719" t="s">
        <v>80</v>
      </c>
    </row>
    <row r="3720" spans="1:6" x14ac:dyDescent="0.45">
      <c r="A3720">
        <v>35</v>
      </c>
      <c r="B3720">
        <v>12</v>
      </c>
      <c r="C3720">
        <v>12200</v>
      </c>
      <c r="D3720" t="s">
        <v>76</v>
      </c>
      <c r="E3720" t="s">
        <v>72</v>
      </c>
      <c r="F3720" t="s">
        <v>80</v>
      </c>
    </row>
    <row r="3721" spans="1:6" x14ac:dyDescent="0.45">
      <c r="A3721">
        <v>40</v>
      </c>
      <c r="B3721">
        <v>12</v>
      </c>
      <c r="C3721">
        <v>12243</v>
      </c>
      <c r="D3721" t="s">
        <v>71</v>
      </c>
      <c r="E3721" t="s">
        <v>72</v>
      </c>
      <c r="F3721" t="s">
        <v>80</v>
      </c>
    </row>
    <row r="3722" spans="1:6" x14ac:dyDescent="0.45">
      <c r="A3722">
        <v>40</v>
      </c>
      <c r="B3722">
        <v>12</v>
      </c>
      <c r="C3722">
        <v>12300</v>
      </c>
      <c r="D3722" t="s">
        <v>71</v>
      </c>
      <c r="E3722" t="s">
        <v>72</v>
      </c>
      <c r="F3722" t="s">
        <v>80</v>
      </c>
    </row>
    <row r="3723" spans="1:6" x14ac:dyDescent="0.45">
      <c r="A3723">
        <v>40</v>
      </c>
      <c r="B3723">
        <v>12</v>
      </c>
      <c r="C3723">
        <v>12326</v>
      </c>
      <c r="D3723" t="s">
        <v>71</v>
      </c>
      <c r="E3723" t="s">
        <v>72</v>
      </c>
      <c r="F3723" t="s">
        <v>80</v>
      </c>
    </row>
    <row r="3724" spans="1:6" x14ac:dyDescent="0.45">
      <c r="A3724">
        <v>40</v>
      </c>
      <c r="B3724">
        <v>12</v>
      </c>
      <c r="C3724">
        <v>12350</v>
      </c>
      <c r="D3724" t="s">
        <v>71</v>
      </c>
      <c r="E3724" t="s">
        <v>72</v>
      </c>
      <c r="F3724" t="s">
        <v>80</v>
      </c>
    </row>
    <row r="3725" spans="1:6" x14ac:dyDescent="0.45">
      <c r="A3725">
        <v>40</v>
      </c>
      <c r="B3725">
        <v>12</v>
      </c>
      <c r="C3725">
        <v>12400</v>
      </c>
      <c r="D3725" t="s">
        <v>71</v>
      </c>
      <c r="E3725" t="s">
        <v>72</v>
      </c>
      <c r="F3725" t="s">
        <v>80</v>
      </c>
    </row>
    <row r="3726" spans="1:6" x14ac:dyDescent="0.45">
      <c r="A3726">
        <v>35</v>
      </c>
      <c r="B3726">
        <v>12</v>
      </c>
      <c r="C3726">
        <v>12480</v>
      </c>
      <c r="D3726" t="s">
        <v>71</v>
      </c>
      <c r="E3726" t="s">
        <v>74</v>
      </c>
      <c r="F3726" t="s">
        <v>80</v>
      </c>
    </row>
    <row r="3727" spans="1:6" x14ac:dyDescent="0.45">
      <c r="A3727">
        <v>40</v>
      </c>
      <c r="B3727">
        <v>12</v>
      </c>
      <c r="C3727">
        <v>12480</v>
      </c>
      <c r="D3727" t="s">
        <v>71</v>
      </c>
      <c r="E3727" t="s">
        <v>72</v>
      </c>
      <c r="F3727" t="s">
        <v>80</v>
      </c>
    </row>
    <row r="3728" spans="1:6" x14ac:dyDescent="0.45">
      <c r="A3728">
        <v>40</v>
      </c>
      <c r="B3728">
        <v>12</v>
      </c>
      <c r="C3728">
        <v>12500</v>
      </c>
      <c r="D3728" t="s">
        <v>71</v>
      </c>
      <c r="E3728" t="s">
        <v>74</v>
      </c>
      <c r="F3728" t="s">
        <v>80</v>
      </c>
    </row>
    <row r="3729" spans="1:6" x14ac:dyDescent="0.45">
      <c r="A3729">
        <v>40</v>
      </c>
      <c r="B3729">
        <v>12</v>
      </c>
      <c r="C3729">
        <v>12500</v>
      </c>
      <c r="D3729" t="s">
        <v>71</v>
      </c>
      <c r="E3729" t="s">
        <v>72</v>
      </c>
      <c r="F3729" t="s">
        <v>80</v>
      </c>
    </row>
    <row r="3730" spans="1:6" x14ac:dyDescent="0.45">
      <c r="A3730">
        <v>60</v>
      </c>
      <c r="B3730">
        <v>12</v>
      </c>
      <c r="C3730">
        <v>12500</v>
      </c>
      <c r="D3730" t="s">
        <v>71</v>
      </c>
      <c r="E3730" t="s">
        <v>72</v>
      </c>
      <c r="F3730" t="s">
        <v>80</v>
      </c>
    </row>
    <row r="3731" spans="1:6" x14ac:dyDescent="0.45">
      <c r="A3731">
        <v>0</v>
      </c>
      <c r="B3731">
        <v>12</v>
      </c>
      <c r="C3731">
        <v>12500</v>
      </c>
      <c r="D3731" t="s">
        <v>71</v>
      </c>
      <c r="E3731" t="s">
        <v>72</v>
      </c>
      <c r="F3731" t="s">
        <v>80</v>
      </c>
    </row>
    <row r="3732" spans="1:6" x14ac:dyDescent="0.45">
      <c r="A3732">
        <v>40</v>
      </c>
      <c r="B3732">
        <v>12</v>
      </c>
      <c r="C3732">
        <v>12500</v>
      </c>
      <c r="D3732" t="s">
        <v>71</v>
      </c>
      <c r="E3732" t="s">
        <v>72</v>
      </c>
      <c r="F3732" t="s">
        <v>80</v>
      </c>
    </row>
    <row r="3733" spans="1:6" x14ac:dyDescent="0.45">
      <c r="A3733">
        <v>40</v>
      </c>
      <c r="B3733">
        <v>12</v>
      </c>
      <c r="C3733">
        <v>12600</v>
      </c>
      <c r="D3733" t="s">
        <v>71</v>
      </c>
      <c r="E3733" t="s">
        <v>72</v>
      </c>
      <c r="F3733" t="s">
        <v>80</v>
      </c>
    </row>
    <row r="3734" spans="1:6" x14ac:dyDescent="0.45">
      <c r="A3734">
        <v>0</v>
      </c>
      <c r="B3734">
        <v>12</v>
      </c>
      <c r="C3734">
        <v>12650</v>
      </c>
      <c r="D3734" t="s">
        <v>71</v>
      </c>
      <c r="E3734" t="s">
        <v>72</v>
      </c>
      <c r="F3734" t="s">
        <v>80</v>
      </c>
    </row>
    <row r="3735" spans="1:6" x14ac:dyDescent="0.45">
      <c r="A3735">
        <v>40</v>
      </c>
      <c r="B3735">
        <v>12</v>
      </c>
      <c r="C3735">
        <v>12700</v>
      </c>
      <c r="D3735" t="s">
        <v>71</v>
      </c>
      <c r="E3735" t="s">
        <v>74</v>
      </c>
      <c r="F3735" t="s">
        <v>80</v>
      </c>
    </row>
    <row r="3736" spans="1:6" x14ac:dyDescent="0.45">
      <c r="A3736">
        <v>40</v>
      </c>
      <c r="B3736">
        <v>12</v>
      </c>
      <c r="C3736">
        <v>12700</v>
      </c>
      <c r="D3736" t="s">
        <v>76</v>
      </c>
      <c r="E3736" t="s">
        <v>74</v>
      </c>
      <c r="F3736" t="s">
        <v>80</v>
      </c>
    </row>
    <row r="3737" spans="1:6" x14ac:dyDescent="0.45">
      <c r="A3737">
        <v>40</v>
      </c>
      <c r="B3737">
        <v>12</v>
      </c>
      <c r="C3737">
        <v>12907</v>
      </c>
      <c r="D3737" t="s">
        <v>71</v>
      </c>
      <c r="E3737" t="s">
        <v>72</v>
      </c>
      <c r="F3737" t="s">
        <v>80</v>
      </c>
    </row>
    <row r="3738" spans="1:6" x14ac:dyDescent="0.45">
      <c r="A3738">
        <v>40</v>
      </c>
      <c r="B3738">
        <v>12</v>
      </c>
      <c r="C3738">
        <v>13000</v>
      </c>
      <c r="D3738" t="s">
        <v>71</v>
      </c>
      <c r="E3738" t="s">
        <v>74</v>
      </c>
      <c r="F3738" t="s">
        <v>80</v>
      </c>
    </row>
    <row r="3739" spans="1:6" x14ac:dyDescent="0.45">
      <c r="A3739">
        <v>52</v>
      </c>
      <c r="B3739">
        <v>12</v>
      </c>
      <c r="C3739">
        <v>13000</v>
      </c>
      <c r="D3739" t="s">
        <v>76</v>
      </c>
      <c r="E3739" t="s">
        <v>74</v>
      </c>
      <c r="F3739" t="s">
        <v>80</v>
      </c>
    </row>
    <row r="3740" spans="1:6" x14ac:dyDescent="0.45">
      <c r="A3740">
        <v>35</v>
      </c>
      <c r="B3740">
        <v>12</v>
      </c>
      <c r="C3740">
        <v>13000</v>
      </c>
      <c r="D3740" t="s">
        <v>71</v>
      </c>
      <c r="E3740" t="s">
        <v>72</v>
      </c>
      <c r="F3740" t="s">
        <v>80</v>
      </c>
    </row>
    <row r="3741" spans="1:6" x14ac:dyDescent="0.45">
      <c r="A3741">
        <v>35</v>
      </c>
      <c r="B3741">
        <v>12</v>
      </c>
      <c r="C3741">
        <v>13000</v>
      </c>
      <c r="D3741" t="s">
        <v>71</v>
      </c>
      <c r="E3741" t="s">
        <v>72</v>
      </c>
      <c r="F3741" t="s">
        <v>80</v>
      </c>
    </row>
    <row r="3742" spans="1:6" x14ac:dyDescent="0.45">
      <c r="A3742">
        <v>48</v>
      </c>
      <c r="B3742">
        <v>12</v>
      </c>
      <c r="C3742">
        <v>13000</v>
      </c>
      <c r="D3742" t="s">
        <v>71</v>
      </c>
      <c r="E3742" t="s">
        <v>72</v>
      </c>
      <c r="F3742" t="s">
        <v>80</v>
      </c>
    </row>
    <row r="3743" spans="1:6" x14ac:dyDescent="0.45">
      <c r="A3743">
        <v>45</v>
      </c>
      <c r="B3743">
        <v>12</v>
      </c>
      <c r="C3743">
        <v>13000</v>
      </c>
      <c r="D3743" t="s">
        <v>71</v>
      </c>
      <c r="E3743" t="s">
        <v>74</v>
      </c>
      <c r="F3743" t="s">
        <v>80</v>
      </c>
    </row>
    <row r="3744" spans="1:6" x14ac:dyDescent="0.45">
      <c r="A3744">
        <v>35</v>
      </c>
      <c r="B3744">
        <v>12</v>
      </c>
      <c r="C3744">
        <v>13000</v>
      </c>
      <c r="D3744" t="s">
        <v>71</v>
      </c>
      <c r="E3744" t="s">
        <v>72</v>
      </c>
      <c r="F3744" t="s">
        <v>80</v>
      </c>
    </row>
    <row r="3745" spans="1:6" x14ac:dyDescent="0.45">
      <c r="A3745">
        <v>45</v>
      </c>
      <c r="B3745">
        <v>12</v>
      </c>
      <c r="C3745">
        <v>13000</v>
      </c>
      <c r="D3745" t="s">
        <v>71</v>
      </c>
      <c r="E3745" t="s">
        <v>72</v>
      </c>
      <c r="F3745" t="s">
        <v>80</v>
      </c>
    </row>
    <row r="3746" spans="1:6" x14ac:dyDescent="0.45">
      <c r="A3746">
        <v>0</v>
      </c>
      <c r="B3746">
        <v>12</v>
      </c>
      <c r="C3746">
        <v>13000</v>
      </c>
      <c r="D3746" t="s">
        <v>71</v>
      </c>
      <c r="E3746" t="s">
        <v>72</v>
      </c>
      <c r="F3746" t="s">
        <v>80</v>
      </c>
    </row>
    <row r="3747" spans="1:6" x14ac:dyDescent="0.45">
      <c r="A3747">
        <v>40</v>
      </c>
      <c r="B3747">
        <v>12</v>
      </c>
      <c r="C3747">
        <v>13000</v>
      </c>
      <c r="D3747" t="s">
        <v>71</v>
      </c>
      <c r="E3747" t="s">
        <v>72</v>
      </c>
      <c r="F3747" t="s">
        <v>80</v>
      </c>
    </row>
    <row r="3748" spans="1:6" x14ac:dyDescent="0.45">
      <c r="A3748">
        <v>40</v>
      </c>
      <c r="B3748">
        <v>12</v>
      </c>
      <c r="C3748">
        <v>13000</v>
      </c>
      <c r="D3748" t="s">
        <v>71</v>
      </c>
      <c r="E3748" t="s">
        <v>72</v>
      </c>
      <c r="F3748" t="s">
        <v>80</v>
      </c>
    </row>
    <row r="3749" spans="1:6" x14ac:dyDescent="0.45">
      <c r="A3749">
        <v>40</v>
      </c>
      <c r="B3749">
        <v>12</v>
      </c>
      <c r="C3749">
        <v>13000</v>
      </c>
      <c r="D3749" t="s">
        <v>76</v>
      </c>
      <c r="E3749" t="s">
        <v>74</v>
      </c>
      <c r="F3749" t="s">
        <v>80</v>
      </c>
    </row>
    <row r="3750" spans="1:6" x14ac:dyDescent="0.45">
      <c r="A3750">
        <v>40</v>
      </c>
      <c r="B3750">
        <v>12</v>
      </c>
      <c r="C3750">
        <v>13000</v>
      </c>
      <c r="D3750" t="s">
        <v>71</v>
      </c>
      <c r="E3750" t="s">
        <v>72</v>
      </c>
      <c r="F3750" t="s">
        <v>80</v>
      </c>
    </row>
    <row r="3751" spans="1:6" x14ac:dyDescent="0.45">
      <c r="A3751">
        <v>40</v>
      </c>
      <c r="B3751">
        <v>12</v>
      </c>
      <c r="C3751">
        <v>13000</v>
      </c>
      <c r="D3751" t="s">
        <v>71</v>
      </c>
      <c r="E3751" t="s">
        <v>72</v>
      </c>
      <c r="F3751" t="s">
        <v>80</v>
      </c>
    </row>
    <row r="3752" spans="1:6" x14ac:dyDescent="0.45">
      <c r="A3752">
        <v>40</v>
      </c>
      <c r="B3752">
        <v>12</v>
      </c>
      <c r="C3752">
        <v>13000</v>
      </c>
      <c r="D3752" t="s">
        <v>71</v>
      </c>
      <c r="E3752" t="s">
        <v>72</v>
      </c>
      <c r="F3752" t="s">
        <v>80</v>
      </c>
    </row>
    <row r="3753" spans="1:6" x14ac:dyDescent="0.45">
      <c r="A3753">
        <v>40</v>
      </c>
      <c r="B3753">
        <v>12</v>
      </c>
      <c r="C3753">
        <v>13000</v>
      </c>
      <c r="D3753" t="s">
        <v>75</v>
      </c>
      <c r="E3753" t="s">
        <v>74</v>
      </c>
      <c r="F3753" t="s">
        <v>80</v>
      </c>
    </row>
    <row r="3754" spans="1:6" x14ac:dyDescent="0.45">
      <c r="A3754">
        <v>35</v>
      </c>
      <c r="B3754">
        <v>12</v>
      </c>
      <c r="C3754">
        <v>13000</v>
      </c>
      <c r="D3754" t="s">
        <v>71</v>
      </c>
      <c r="E3754" t="s">
        <v>72</v>
      </c>
      <c r="F3754" t="s">
        <v>80</v>
      </c>
    </row>
    <row r="3755" spans="1:6" x14ac:dyDescent="0.45">
      <c r="A3755">
        <v>40</v>
      </c>
      <c r="B3755">
        <v>12</v>
      </c>
      <c r="C3755">
        <v>13000</v>
      </c>
      <c r="D3755" t="s">
        <v>76</v>
      </c>
      <c r="E3755" t="s">
        <v>72</v>
      </c>
      <c r="F3755" t="s">
        <v>80</v>
      </c>
    </row>
    <row r="3756" spans="1:6" x14ac:dyDescent="0.45">
      <c r="A3756">
        <v>40</v>
      </c>
      <c r="B3756">
        <v>12</v>
      </c>
      <c r="C3756">
        <v>13000</v>
      </c>
      <c r="D3756" t="s">
        <v>76</v>
      </c>
      <c r="E3756" t="s">
        <v>74</v>
      </c>
      <c r="F3756" t="s">
        <v>80</v>
      </c>
    </row>
    <row r="3757" spans="1:6" x14ac:dyDescent="0.45">
      <c r="A3757">
        <v>40</v>
      </c>
      <c r="B3757">
        <v>12</v>
      </c>
      <c r="C3757">
        <v>13000</v>
      </c>
      <c r="D3757" t="s">
        <v>71</v>
      </c>
      <c r="E3757" t="s">
        <v>72</v>
      </c>
      <c r="F3757" t="s">
        <v>80</v>
      </c>
    </row>
    <row r="3758" spans="1:6" x14ac:dyDescent="0.45">
      <c r="A3758">
        <v>40</v>
      </c>
      <c r="B3758">
        <v>12</v>
      </c>
      <c r="C3758">
        <v>13000</v>
      </c>
      <c r="D3758" t="s">
        <v>71</v>
      </c>
      <c r="E3758" t="s">
        <v>72</v>
      </c>
      <c r="F3758" t="s">
        <v>80</v>
      </c>
    </row>
    <row r="3759" spans="1:6" x14ac:dyDescent="0.45">
      <c r="A3759">
        <v>40</v>
      </c>
      <c r="B3759">
        <v>12</v>
      </c>
      <c r="C3759">
        <v>13000</v>
      </c>
      <c r="D3759" t="s">
        <v>71</v>
      </c>
      <c r="E3759" t="s">
        <v>74</v>
      </c>
      <c r="F3759" t="s">
        <v>80</v>
      </c>
    </row>
    <row r="3760" spans="1:6" x14ac:dyDescent="0.45">
      <c r="A3760">
        <v>40</v>
      </c>
      <c r="B3760">
        <v>12</v>
      </c>
      <c r="C3760">
        <v>13000</v>
      </c>
      <c r="D3760" t="s">
        <v>71</v>
      </c>
      <c r="E3760" t="s">
        <v>74</v>
      </c>
      <c r="F3760" t="s">
        <v>80</v>
      </c>
    </row>
    <row r="3761" spans="1:6" x14ac:dyDescent="0.45">
      <c r="A3761">
        <v>40</v>
      </c>
      <c r="B3761">
        <v>12</v>
      </c>
      <c r="C3761">
        <v>13000</v>
      </c>
      <c r="D3761" t="s">
        <v>71</v>
      </c>
      <c r="E3761" t="s">
        <v>74</v>
      </c>
      <c r="F3761" t="s">
        <v>80</v>
      </c>
    </row>
    <row r="3762" spans="1:6" x14ac:dyDescent="0.45">
      <c r="A3762">
        <v>48</v>
      </c>
      <c r="B3762">
        <v>12</v>
      </c>
      <c r="C3762">
        <v>13000</v>
      </c>
      <c r="D3762" t="s">
        <v>71</v>
      </c>
      <c r="E3762" t="s">
        <v>74</v>
      </c>
      <c r="F3762" t="s">
        <v>80</v>
      </c>
    </row>
    <row r="3763" spans="1:6" x14ac:dyDescent="0.45">
      <c r="A3763">
        <v>40</v>
      </c>
      <c r="B3763">
        <v>12</v>
      </c>
      <c r="C3763">
        <v>13000</v>
      </c>
      <c r="D3763" t="s">
        <v>76</v>
      </c>
      <c r="E3763" t="s">
        <v>72</v>
      </c>
      <c r="F3763" t="s">
        <v>80</v>
      </c>
    </row>
    <row r="3764" spans="1:6" x14ac:dyDescent="0.45">
      <c r="A3764">
        <v>40</v>
      </c>
      <c r="B3764">
        <v>12</v>
      </c>
      <c r="C3764">
        <v>13000</v>
      </c>
      <c r="D3764" t="s">
        <v>71</v>
      </c>
      <c r="E3764" t="s">
        <v>72</v>
      </c>
      <c r="F3764" t="s">
        <v>80</v>
      </c>
    </row>
    <row r="3765" spans="1:6" x14ac:dyDescent="0.45">
      <c r="A3765">
        <v>47</v>
      </c>
      <c r="B3765">
        <v>12</v>
      </c>
      <c r="C3765">
        <v>13000</v>
      </c>
      <c r="D3765" t="s">
        <v>76</v>
      </c>
      <c r="E3765" t="s">
        <v>74</v>
      </c>
      <c r="F3765" t="s">
        <v>80</v>
      </c>
    </row>
    <row r="3766" spans="1:6" x14ac:dyDescent="0.45">
      <c r="A3766">
        <v>48</v>
      </c>
      <c r="B3766">
        <v>12</v>
      </c>
      <c r="C3766">
        <v>13000</v>
      </c>
      <c r="D3766" t="s">
        <v>71</v>
      </c>
      <c r="E3766" t="s">
        <v>72</v>
      </c>
      <c r="F3766" t="s">
        <v>80</v>
      </c>
    </row>
    <row r="3767" spans="1:6" x14ac:dyDescent="0.45">
      <c r="A3767">
        <v>40</v>
      </c>
      <c r="B3767">
        <v>12</v>
      </c>
      <c r="C3767">
        <v>13000</v>
      </c>
      <c r="D3767" t="s">
        <v>71</v>
      </c>
      <c r="E3767" t="s">
        <v>72</v>
      </c>
      <c r="F3767" t="s">
        <v>80</v>
      </c>
    </row>
    <row r="3768" spans="1:6" x14ac:dyDescent="0.45">
      <c r="A3768">
        <v>40</v>
      </c>
      <c r="B3768">
        <v>12</v>
      </c>
      <c r="C3768">
        <v>13000</v>
      </c>
      <c r="D3768" t="s">
        <v>71</v>
      </c>
      <c r="E3768" t="s">
        <v>72</v>
      </c>
      <c r="F3768" t="s">
        <v>80</v>
      </c>
    </row>
    <row r="3769" spans="1:6" x14ac:dyDescent="0.45">
      <c r="A3769">
        <v>40</v>
      </c>
      <c r="B3769">
        <v>12</v>
      </c>
      <c r="C3769">
        <v>13000</v>
      </c>
      <c r="D3769" t="s">
        <v>71</v>
      </c>
      <c r="E3769" t="s">
        <v>72</v>
      </c>
      <c r="F3769" t="s">
        <v>80</v>
      </c>
    </row>
    <row r="3770" spans="1:6" x14ac:dyDescent="0.45">
      <c r="A3770">
        <v>40</v>
      </c>
      <c r="B3770">
        <v>12</v>
      </c>
      <c r="C3770">
        <v>13082</v>
      </c>
      <c r="D3770" t="s">
        <v>71</v>
      </c>
      <c r="E3770" t="s">
        <v>72</v>
      </c>
      <c r="F3770" t="s">
        <v>80</v>
      </c>
    </row>
    <row r="3771" spans="1:6" x14ac:dyDescent="0.45">
      <c r="A3771">
        <v>40</v>
      </c>
      <c r="B3771">
        <v>12</v>
      </c>
      <c r="C3771">
        <v>13242</v>
      </c>
      <c r="D3771" t="s">
        <v>71</v>
      </c>
      <c r="E3771" t="s">
        <v>72</v>
      </c>
      <c r="F3771" t="s">
        <v>80</v>
      </c>
    </row>
    <row r="3772" spans="1:6" x14ac:dyDescent="0.45">
      <c r="A3772">
        <v>57</v>
      </c>
      <c r="B3772">
        <v>12</v>
      </c>
      <c r="C3772">
        <v>13300</v>
      </c>
      <c r="D3772" t="s">
        <v>71</v>
      </c>
      <c r="E3772" t="s">
        <v>74</v>
      </c>
      <c r="F3772" t="s">
        <v>80</v>
      </c>
    </row>
    <row r="3773" spans="1:6" x14ac:dyDescent="0.45">
      <c r="A3773">
        <v>40</v>
      </c>
      <c r="B3773">
        <v>12</v>
      </c>
      <c r="C3773">
        <v>13520</v>
      </c>
      <c r="D3773" t="s">
        <v>76</v>
      </c>
      <c r="E3773" t="s">
        <v>74</v>
      </c>
      <c r="F3773" t="s">
        <v>80</v>
      </c>
    </row>
    <row r="3774" spans="1:6" x14ac:dyDescent="0.45">
      <c r="A3774">
        <v>40</v>
      </c>
      <c r="B3774">
        <v>12</v>
      </c>
      <c r="C3774">
        <v>13624</v>
      </c>
      <c r="D3774" t="s">
        <v>75</v>
      </c>
      <c r="E3774" t="s">
        <v>74</v>
      </c>
      <c r="F3774" t="s">
        <v>80</v>
      </c>
    </row>
    <row r="3775" spans="1:6" x14ac:dyDescent="0.45">
      <c r="A3775">
        <v>40</v>
      </c>
      <c r="B3775">
        <v>12</v>
      </c>
      <c r="C3775">
        <v>13650</v>
      </c>
      <c r="D3775" t="s">
        <v>71</v>
      </c>
      <c r="E3775" t="s">
        <v>72</v>
      </c>
      <c r="F3775" t="s">
        <v>80</v>
      </c>
    </row>
    <row r="3776" spans="1:6" x14ac:dyDescent="0.45">
      <c r="A3776">
        <v>60</v>
      </c>
      <c r="B3776">
        <v>12</v>
      </c>
      <c r="C3776">
        <v>13920</v>
      </c>
      <c r="D3776" t="s">
        <v>71</v>
      </c>
      <c r="E3776" t="s">
        <v>74</v>
      </c>
      <c r="F3776" t="s">
        <v>80</v>
      </c>
    </row>
    <row r="3777" spans="1:6" x14ac:dyDescent="0.45">
      <c r="A3777">
        <v>35</v>
      </c>
      <c r="B3777">
        <v>12</v>
      </c>
      <c r="C3777">
        <v>13988</v>
      </c>
      <c r="D3777" t="s">
        <v>71</v>
      </c>
      <c r="E3777" t="s">
        <v>72</v>
      </c>
      <c r="F3777" t="s">
        <v>80</v>
      </c>
    </row>
    <row r="3778" spans="1:6" x14ac:dyDescent="0.45">
      <c r="A3778">
        <v>40</v>
      </c>
      <c r="B3778">
        <v>12</v>
      </c>
      <c r="C3778">
        <v>14000</v>
      </c>
      <c r="D3778" t="s">
        <v>71</v>
      </c>
      <c r="E3778" t="s">
        <v>74</v>
      </c>
      <c r="F3778" t="s">
        <v>80</v>
      </c>
    </row>
    <row r="3779" spans="1:6" x14ac:dyDescent="0.45">
      <c r="A3779">
        <v>40</v>
      </c>
      <c r="B3779">
        <v>12</v>
      </c>
      <c r="C3779">
        <v>14000</v>
      </c>
      <c r="D3779" t="s">
        <v>71</v>
      </c>
      <c r="E3779" t="s">
        <v>72</v>
      </c>
      <c r="F3779" t="s">
        <v>80</v>
      </c>
    </row>
    <row r="3780" spans="1:6" x14ac:dyDescent="0.45">
      <c r="A3780">
        <v>45</v>
      </c>
      <c r="B3780">
        <v>12</v>
      </c>
      <c r="C3780">
        <v>14000</v>
      </c>
      <c r="D3780" t="s">
        <v>71</v>
      </c>
      <c r="E3780" t="s">
        <v>74</v>
      </c>
      <c r="F3780" t="s">
        <v>80</v>
      </c>
    </row>
    <row r="3781" spans="1:6" x14ac:dyDescent="0.45">
      <c r="A3781">
        <v>0</v>
      </c>
      <c r="B3781">
        <v>12</v>
      </c>
      <c r="C3781">
        <v>14000</v>
      </c>
      <c r="D3781" t="s">
        <v>76</v>
      </c>
      <c r="E3781" t="s">
        <v>72</v>
      </c>
      <c r="F3781" t="s">
        <v>80</v>
      </c>
    </row>
    <row r="3782" spans="1:6" x14ac:dyDescent="0.45">
      <c r="A3782">
        <v>40</v>
      </c>
      <c r="B3782">
        <v>12</v>
      </c>
      <c r="C3782">
        <v>14000</v>
      </c>
      <c r="D3782" t="s">
        <v>71</v>
      </c>
      <c r="E3782" t="s">
        <v>74</v>
      </c>
      <c r="F3782" t="s">
        <v>80</v>
      </c>
    </row>
    <row r="3783" spans="1:6" x14ac:dyDescent="0.45">
      <c r="A3783">
        <v>40</v>
      </c>
      <c r="B3783">
        <v>12</v>
      </c>
      <c r="C3783">
        <v>14000</v>
      </c>
      <c r="D3783" t="s">
        <v>71</v>
      </c>
      <c r="E3783" t="s">
        <v>72</v>
      </c>
      <c r="F3783" t="s">
        <v>80</v>
      </c>
    </row>
    <row r="3784" spans="1:6" x14ac:dyDescent="0.45">
      <c r="A3784">
        <v>40</v>
      </c>
      <c r="B3784">
        <v>12</v>
      </c>
      <c r="C3784">
        <v>14000</v>
      </c>
      <c r="D3784" t="s">
        <v>71</v>
      </c>
      <c r="E3784" t="s">
        <v>74</v>
      </c>
      <c r="F3784" t="s">
        <v>80</v>
      </c>
    </row>
    <row r="3785" spans="1:6" x14ac:dyDescent="0.45">
      <c r="A3785">
        <v>39</v>
      </c>
      <c r="B3785">
        <v>12</v>
      </c>
      <c r="C3785">
        <v>14000</v>
      </c>
      <c r="D3785" t="s">
        <v>71</v>
      </c>
      <c r="E3785" t="s">
        <v>72</v>
      </c>
      <c r="F3785" t="s">
        <v>80</v>
      </c>
    </row>
    <row r="3786" spans="1:6" x14ac:dyDescent="0.45">
      <c r="A3786">
        <v>38</v>
      </c>
      <c r="B3786">
        <v>12</v>
      </c>
      <c r="C3786">
        <v>14000</v>
      </c>
      <c r="D3786" t="s">
        <v>71</v>
      </c>
      <c r="E3786" t="s">
        <v>72</v>
      </c>
      <c r="F3786" t="s">
        <v>80</v>
      </c>
    </row>
    <row r="3787" spans="1:6" x14ac:dyDescent="0.45">
      <c r="A3787">
        <v>37</v>
      </c>
      <c r="B3787">
        <v>12</v>
      </c>
      <c r="C3787">
        <v>14000</v>
      </c>
      <c r="D3787" t="s">
        <v>71</v>
      </c>
      <c r="E3787" t="s">
        <v>74</v>
      </c>
      <c r="F3787" t="s">
        <v>80</v>
      </c>
    </row>
    <row r="3788" spans="1:6" x14ac:dyDescent="0.45">
      <c r="A3788">
        <v>40</v>
      </c>
      <c r="B3788">
        <v>12</v>
      </c>
      <c r="C3788">
        <v>14000</v>
      </c>
      <c r="D3788" t="s">
        <v>71</v>
      </c>
      <c r="E3788" t="s">
        <v>72</v>
      </c>
      <c r="F3788" t="s">
        <v>80</v>
      </c>
    </row>
    <row r="3789" spans="1:6" x14ac:dyDescent="0.45">
      <c r="A3789">
        <v>40</v>
      </c>
      <c r="B3789">
        <v>12</v>
      </c>
      <c r="C3789">
        <v>14000</v>
      </c>
      <c r="D3789" t="s">
        <v>71</v>
      </c>
      <c r="E3789" t="s">
        <v>74</v>
      </c>
      <c r="F3789" t="s">
        <v>80</v>
      </c>
    </row>
    <row r="3790" spans="1:6" x14ac:dyDescent="0.45">
      <c r="A3790">
        <v>0</v>
      </c>
      <c r="B3790">
        <v>12</v>
      </c>
      <c r="C3790">
        <v>14000</v>
      </c>
      <c r="D3790" t="s">
        <v>71</v>
      </c>
      <c r="E3790" t="s">
        <v>72</v>
      </c>
      <c r="F3790" t="s">
        <v>80</v>
      </c>
    </row>
    <row r="3791" spans="1:6" x14ac:dyDescent="0.45">
      <c r="A3791">
        <v>40</v>
      </c>
      <c r="B3791">
        <v>12</v>
      </c>
      <c r="C3791">
        <v>14000</v>
      </c>
      <c r="D3791" t="s">
        <v>71</v>
      </c>
      <c r="E3791" t="s">
        <v>74</v>
      </c>
      <c r="F3791" t="s">
        <v>80</v>
      </c>
    </row>
    <row r="3792" spans="1:6" x14ac:dyDescent="0.45">
      <c r="A3792">
        <v>35</v>
      </c>
      <c r="B3792">
        <v>12</v>
      </c>
      <c r="C3792">
        <v>14000</v>
      </c>
      <c r="D3792" t="s">
        <v>71</v>
      </c>
      <c r="E3792" t="s">
        <v>72</v>
      </c>
      <c r="F3792" t="s">
        <v>80</v>
      </c>
    </row>
    <row r="3793" spans="1:6" x14ac:dyDescent="0.45">
      <c r="A3793">
        <v>40</v>
      </c>
      <c r="B3793">
        <v>12</v>
      </c>
      <c r="C3793">
        <v>14000</v>
      </c>
      <c r="D3793" t="s">
        <v>71</v>
      </c>
      <c r="E3793" t="s">
        <v>72</v>
      </c>
      <c r="F3793" t="s">
        <v>80</v>
      </c>
    </row>
    <row r="3794" spans="1:6" x14ac:dyDescent="0.45">
      <c r="A3794">
        <v>45</v>
      </c>
      <c r="B3794">
        <v>12</v>
      </c>
      <c r="C3794">
        <v>14000</v>
      </c>
      <c r="D3794" t="s">
        <v>75</v>
      </c>
      <c r="E3794" t="s">
        <v>74</v>
      </c>
      <c r="F3794" t="s">
        <v>80</v>
      </c>
    </row>
    <row r="3795" spans="1:6" x14ac:dyDescent="0.45">
      <c r="A3795">
        <v>40</v>
      </c>
      <c r="B3795">
        <v>12</v>
      </c>
      <c r="C3795">
        <v>14000</v>
      </c>
      <c r="D3795" t="s">
        <v>76</v>
      </c>
      <c r="E3795" t="s">
        <v>72</v>
      </c>
      <c r="F3795" t="s">
        <v>80</v>
      </c>
    </row>
    <row r="3796" spans="1:6" x14ac:dyDescent="0.45">
      <c r="A3796">
        <v>40</v>
      </c>
      <c r="B3796">
        <v>12</v>
      </c>
      <c r="C3796">
        <v>14000</v>
      </c>
      <c r="D3796" t="s">
        <v>71</v>
      </c>
      <c r="E3796" t="s">
        <v>74</v>
      </c>
      <c r="F3796" t="s">
        <v>80</v>
      </c>
    </row>
    <row r="3797" spans="1:6" x14ac:dyDescent="0.45">
      <c r="A3797">
        <v>40</v>
      </c>
      <c r="B3797">
        <v>12</v>
      </c>
      <c r="C3797">
        <v>14000</v>
      </c>
      <c r="D3797" t="s">
        <v>71</v>
      </c>
      <c r="E3797" t="s">
        <v>72</v>
      </c>
      <c r="F3797" t="s">
        <v>80</v>
      </c>
    </row>
    <row r="3798" spans="1:6" x14ac:dyDescent="0.45">
      <c r="A3798">
        <v>40</v>
      </c>
      <c r="B3798">
        <v>12</v>
      </c>
      <c r="C3798">
        <v>14000</v>
      </c>
      <c r="D3798" t="s">
        <v>71</v>
      </c>
      <c r="E3798" t="s">
        <v>74</v>
      </c>
      <c r="F3798" t="s">
        <v>80</v>
      </c>
    </row>
    <row r="3799" spans="1:6" x14ac:dyDescent="0.45">
      <c r="A3799">
        <v>40</v>
      </c>
      <c r="B3799">
        <v>12</v>
      </c>
      <c r="C3799">
        <v>14000</v>
      </c>
      <c r="D3799" t="s">
        <v>76</v>
      </c>
      <c r="E3799" t="s">
        <v>74</v>
      </c>
      <c r="F3799" t="s">
        <v>80</v>
      </c>
    </row>
    <row r="3800" spans="1:6" x14ac:dyDescent="0.45">
      <c r="A3800">
        <v>40</v>
      </c>
      <c r="B3800">
        <v>12</v>
      </c>
      <c r="C3800">
        <v>14000</v>
      </c>
      <c r="D3800" t="s">
        <v>71</v>
      </c>
      <c r="E3800" t="s">
        <v>72</v>
      </c>
      <c r="F3800" t="s">
        <v>80</v>
      </c>
    </row>
    <row r="3801" spans="1:6" x14ac:dyDescent="0.45">
      <c r="A3801">
        <v>40</v>
      </c>
      <c r="B3801">
        <v>12</v>
      </c>
      <c r="C3801">
        <v>14000</v>
      </c>
      <c r="D3801" t="s">
        <v>71</v>
      </c>
      <c r="E3801" t="s">
        <v>72</v>
      </c>
      <c r="F3801" t="s">
        <v>80</v>
      </c>
    </row>
    <row r="3802" spans="1:6" x14ac:dyDescent="0.45">
      <c r="A3802">
        <v>40</v>
      </c>
      <c r="B3802">
        <v>12</v>
      </c>
      <c r="C3802">
        <v>14000</v>
      </c>
      <c r="D3802" t="s">
        <v>71</v>
      </c>
      <c r="E3802" t="s">
        <v>72</v>
      </c>
      <c r="F3802" t="s">
        <v>80</v>
      </c>
    </row>
    <row r="3803" spans="1:6" x14ac:dyDescent="0.45">
      <c r="A3803">
        <v>65</v>
      </c>
      <c r="B3803">
        <v>12</v>
      </c>
      <c r="C3803">
        <v>14000</v>
      </c>
      <c r="D3803" t="s">
        <v>71</v>
      </c>
      <c r="E3803" t="s">
        <v>72</v>
      </c>
      <c r="F3803" t="s">
        <v>80</v>
      </c>
    </row>
    <row r="3804" spans="1:6" x14ac:dyDescent="0.45">
      <c r="A3804">
        <v>40</v>
      </c>
      <c r="B3804">
        <v>12</v>
      </c>
      <c r="C3804">
        <v>14000</v>
      </c>
      <c r="D3804" t="s">
        <v>77</v>
      </c>
      <c r="E3804" t="s">
        <v>74</v>
      </c>
      <c r="F3804" t="s">
        <v>80</v>
      </c>
    </row>
    <row r="3805" spans="1:6" x14ac:dyDescent="0.45">
      <c r="A3805">
        <v>50</v>
      </c>
      <c r="B3805">
        <v>12</v>
      </c>
      <c r="C3805">
        <v>14000</v>
      </c>
      <c r="D3805" t="s">
        <v>71</v>
      </c>
      <c r="E3805" t="s">
        <v>74</v>
      </c>
      <c r="F3805" t="s">
        <v>80</v>
      </c>
    </row>
    <row r="3806" spans="1:6" x14ac:dyDescent="0.45">
      <c r="A3806">
        <v>40</v>
      </c>
      <c r="B3806">
        <v>12</v>
      </c>
      <c r="C3806">
        <v>14000</v>
      </c>
      <c r="D3806" t="s">
        <v>71</v>
      </c>
      <c r="E3806" t="s">
        <v>72</v>
      </c>
      <c r="F3806" t="s">
        <v>80</v>
      </c>
    </row>
    <row r="3807" spans="1:6" x14ac:dyDescent="0.45">
      <c r="A3807">
        <v>40</v>
      </c>
      <c r="B3807">
        <v>12</v>
      </c>
      <c r="C3807">
        <v>14000</v>
      </c>
      <c r="D3807" t="s">
        <v>71</v>
      </c>
      <c r="E3807" t="s">
        <v>74</v>
      </c>
      <c r="F3807" t="s">
        <v>80</v>
      </c>
    </row>
    <row r="3808" spans="1:6" x14ac:dyDescent="0.45">
      <c r="A3808">
        <v>40</v>
      </c>
      <c r="B3808">
        <v>12</v>
      </c>
      <c r="C3808">
        <v>14000</v>
      </c>
      <c r="D3808" t="s">
        <v>71</v>
      </c>
      <c r="E3808" t="s">
        <v>74</v>
      </c>
      <c r="F3808" t="s">
        <v>80</v>
      </c>
    </row>
    <row r="3809" spans="1:6" x14ac:dyDescent="0.45">
      <c r="A3809">
        <v>55</v>
      </c>
      <c r="B3809">
        <v>12</v>
      </c>
      <c r="C3809">
        <v>14105</v>
      </c>
      <c r="D3809" t="s">
        <v>71</v>
      </c>
      <c r="E3809" t="s">
        <v>72</v>
      </c>
      <c r="F3809" t="s">
        <v>80</v>
      </c>
    </row>
    <row r="3810" spans="1:6" x14ac:dyDescent="0.45">
      <c r="A3810">
        <v>45</v>
      </c>
      <c r="B3810">
        <v>12</v>
      </c>
      <c r="C3810">
        <v>14171</v>
      </c>
      <c r="D3810" t="s">
        <v>71</v>
      </c>
      <c r="E3810" t="s">
        <v>72</v>
      </c>
      <c r="F3810" t="s">
        <v>80</v>
      </c>
    </row>
    <row r="3811" spans="1:6" x14ac:dyDescent="0.45">
      <c r="A3811">
        <v>60</v>
      </c>
      <c r="B3811">
        <v>12</v>
      </c>
      <c r="C3811">
        <v>14300</v>
      </c>
      <c r="D3811" t="s">
        <v>71</v>
      </c>
      <c r="E3811" t="s">
        <v>74</v>
      </c>
      <c r="F3811" t="s">
        <v>80</v>
      </c>
    </row>
    <row r="3812" spans="1:6" x14ac:dyDescent="0.45">
      <c r="A3812">
        <v>40</v>
      </c>
      <c r="B3812">
        <v>12</v>
      </c>
      <c r="C3812">
        <v>14400</v>
      </c>
      <c r="D3812" t="s">
        <v>71</v>
      </c>
      <c r="E3812" t="s">
        <v>74</v>
      </c>
      <c r="F3812" t="s">
        <v>80</v>
      </c>
    </row>
    <row r="3813" spans="1:6" x14ac:dyDescent="0.45">
      <c r="A3813">
        <v>42</v>
      </c>
      <c r="B3813">
        <v>12</v>
      </c>
      <c r="C3813">
        <v>14400</v>
      </c>
      <c r="D3813" t="s">
        <v>71</v>
      </c>
      <c r="E3813" t="s">
        <v>72</v>
      </c>
      <c r="F3813" t="s">
        <v>80</v>
      </c>
    </row>
    <row r="3814" spans="1:6" x14ac:dyDescent="0.45">
      <c r="A3814">
        <v>50</v>
      </c>
      <c r="B3814">
        <v>12</v>
      </c>
      <c r="C3814">
        <v>14400</v>
      </c>
      <c r="D3814" t="s">
        <v>71</v>
      </c>
      <c r="E3814" t="s">
        <v>74</v>
      </c>
      <c r="F3814" t="s">
        <v>80</v>
      </c>
    </row>
    <row r="3815" spans="1:6" x14ac:dyDescent="0.45">
      <c r="A3815">
        <v>40</v>
      </c>
      <c r="B3815">
        <v>12</v>
      </c>
      <c r="C3815">
        <v>14444</v>
      </c>
      <c r="D3815" t="s">
        <v>71</v>
      </c>
      <c r="E3815" t="s">
        <v>72</v>
      </c>
      <c r="F3815" t="s">
        <v>80</v>
      </c>
    </row>
    <row r="3816" spans="1:6" x14ac:dyDescent="0.45">
      <c r="A3816">
        <v>40</v>
      </c>
      <c r="B3816">
        <v>12</v>
      </c>
      <c r="C3816">
        <v>14480</v>
      </c>
      <c r="D3816" t="s">
        <v>71</v>
      </c>
      <c r="E3816" t="s">
        <v>74</v>
      </c>
      <c r="F3816" t="s">
        <v>80</v>
      </c>
    </row>
    <row r="3817" spans="1:6" x14ac:dyDescent="0.45">
      <c r="A3817">
        <v>40</v>
      </c>
      <c r="B3817">
        <v>12</v>
      </c>
      <c r="C3817">
        <v>14500</v>
      </c>
      <c r="D3817" t="s">
        <v>71</v>
      </c>
      <c r="E3817" t="s">
        <v>74</v>
      </c>
      <c r="F3817" t="s">
        <v>80</v>
      </c>
    </row>
    <row r="3818" spans="1:6" x14ac:dyDescent="0.45">
      <c r="A3818">
        <v>40</v>
      </c>
      <c r="B3818">
        <v>12</v>
      </c>
      <c r="C3818">
        <v>14560</v>
      </c>
      <c r="D3818" t="s">
        <v>71</v>
      </c>
      <c r="E3818" t="s">
        <v>74</v>
      </c>
      <c r="F3818" t="s">
        <v>80</v>
      </c>
    </row>
    <row r="3819" spans="1:6" x14ac:dyDescent="0.45">
      <c r="A3819">
        <v>38</v>
      </c>
      <c r="B3819">
        <v>12</v>
      </c>
      <c r="C3819">
        <v>14780</v>
      </c>
      <c r="D3819" t="s">
        <v>71</v>
      </c>
      <c r="E3819" t="s">
        <v>72</v>
      </c>
      <c r="F3819" t="s">
        <v>80</v>
      </c>
    </row>
    <row r="3820" spans="1:6" x14ac:dyDescent="0.45">
      <c r="A3820">
        <v>40</v>
      </c>
      <c r="B3820">
        <v>12</v>
      </c>
      <c r="C3820">
        <v>15000</v>
      </c>
      <c r="D3820" t="s">
        <v>71</v>
      </c>
      <c r="E3820" t="s">
        <v>72</v>
      </c>
      <c r="F3820" t="s">
        <v>80</v>
      </c>
    </row>
    <row r="3821" spans="1:6" x14ac:dyDescent="0.45">
      <c r="A3821">
        <v>40</v>
      </c>
      <c r="B3821">
        <v>12</v>
      </c>
      <c r="C3821">
        <v>15000</v>
      </c>
      <c r="D3821" t="s">
        <v>71</v>
      </c>
      <c r="E3821" t="s">
        <v>74</v>
      </c>
      <c r="F3821" t="s">
        <v>80</v>
      </c>
    </row>
    <row r="3822" spans="1:6" x14ac:dyDescent="0.45">
      <c r="A3822">
        <v>40</v>
      </c>
      <c r="B3822">
        <v>12</v>
      </c>
      <c r="C3822">
        <v>15000</v>
      </c>
      <c r="D3822" t="s">
        <v>75</v>
      </c>
      <c r="E3822" t="s">
        <v>72</v>
      </c>
      <c r="F3822" t="s">
        <v>80</v>
      </c>
    </row>
    <row r="3823" spans="1:6" x14ac:dyDescent="0.45">
      <c r="A3823">
        <v>40</v>
      </c>
      <c r="B3823">
        <v>12</v>
      </c>
      <c r="C3823">
        <v>15000</v>
      </c>
      <c r="D3823" t="s">
        <v>71</v>
      </c>
      <c r="E3823" t="s">
        <v>72</v>
      </c>
      <c r="F3823" t="s">
        <v>80</v>
      </c>
    </row>
    <row r="3824" spans="1:6" x14ac:dyDescent="0.45">
      <c r="A3824">
        <v>40</v>
      </c>
      <c r="B3824">
        <v>12</v>
      </c>
      <c r="C3824">
        <v>15000</v>
      </c>
      <c r="D3824" t="s">
        <v>76</v>
      </c>
      <c r="E3824" t="s">
        <v>74</v>
      </c>
      <c r="F3824" t="s">
        <v>80</v>
      </c>
    </row>
    <row r="3825" spans="1:6" x14ac:dyDescent="0.45">
      <c r="A3825">
        <v>40</v>
      </c>
      <c r="B3825">
        <v>12</v>
      </c>
      <c r="C3825">
        <v>15000</v>
      </c>
      <c r="D3825" t="s">
        <v>71</v>
      </c>
      <c r="E3825" t="s">
        <v>72</v>
      </c>
      <c r="F3825" t="s">
        <v>80</v>
      </c>
    </row>
    <row r="3826" spans="1:6" x14ac:dyDescent="0.45">
      <c r="A3826">
        <v>40</v>
      </c>
      <c r="B3826">
        <v>12</v>
      </c>
      <c r="C3826">
        <v>15000</v>
      </c>
      <c r="D3826" t="s">
        <v>76</v>
      </c>
      <c r="E3826" t="s">
        <v>74</v>
      </c>
      <c r="F3826" t="s">
        <v>80</v>
      </c>
    </row>
    <row r="3827" spans="1:6" x14ac:dyDescent="0.45">
      <c r="A3827">
        <v>35</v>
      </c>
      <c r="B3827">
        <v>12</v>
      </c>
      <c r="C3827">
        <v>15000</v>
      </c>
      <c r="D3827" t="s">
        <v>71</v>
      </c>
      <c r="E3827" t="s">
        <v>72</v>
      </c>
      <c r="F3827" t="s">
        <v>80</v>
      </c>
    </row>
    <row r="3828" spans="1:6" x14ac:dyDescent="0.45">
      <c r="A3828">
        <v>54</v>
      </c>
      <c r="B3828">
        <v>12</v>
      </c>
      <c r="C3828">
        <v>15000</v>
      </c>
      <c r="D3828" t="s">
        <v>71</v>
      </c>
      <c r="E3828" t="s">
        <v>74</v>
      </c>
      <c r="F3828" t="s">
        <v>80</v>
      </c>
    </row>
    <row r="3829" spans="1:6" x14ac:dyDescent="0.45">
      <c r="A3829">
        <v>48</v>
      </c>
      <c r="B3829">
        <v>12</v>
      </c>
      <c r="C3829">
        <v>15000</v>
      </c>
      <c r="D3829" t="s">
        <v>76</v>
      </c>
      <c r="E3829" t="s">
        <v>74</v>
      </c>
      <c r="F3829" t="s">
        <v>80</v>
      </c>
    </row>
    <row r="3830" spans="1:6" x14ac:dyDescent="0.45">
      <c r="A3830">
        <v>48</v>
      </c>
      <c r="B3830">
        <v>12</v>
      </c>
      <c r="C3830">
        <v>15000</v>
      </c>
      <c r="D3830" t="s">
        <v>71</v>
      </c>
      <c r="E3830" t="s">
        <v>74</v>
      </c>
      <c r="F3830" t="s">
        <v>80</v>
      </c>
    </row>
    <row r="3831" spans="1:6" x14ac:dyDescent="0.45">
      <c r="A3831">
        <v>40</v>
      </c>
      <c r="B3831">
        <v>12</v>
      </c>
      <c r="C3831">
        <v>15000</v>
      </c>
      <c r="D3831" t="s">
        <v>71</v>
      </c>
      <c r="E3831" t="s">
        <v>72</v>
      </c>
      <c r="F3831" t="s">
        <v>80</v>
      </c>
    </row>
    <row r="3832" spans="1:6" x14ac:dyDescent="0.45">
      <c r="A3832">
        <v>45</v>
      </c>
      <c r="B3832">
        <v>12</v>
      </c>
      <c r="C3832">
        <v>15000</v>
      </c>
      <c r="D3832" t="s">
        <v>71</v>
      </c>
      <c r="E3832" t="s">
        <v>72</v>
      </c>
      <c r="F3832" t="s">
        <v>80</v>
      </c>
    </row>
    <row r="3833" spans="1:6" x14ac:dyDescent="0.45">
      <c r="A3833">
        <v>40</v>
      </c>
      <c r="B3833">
        <v>12</v>
      </c>
      <c r="C3833">
        <v>15000</v>
      </c>
      <c r="D3833" t="s">
        <v>71</v>
      </c>
      <c r="E3833" t="s">
        <v>72</v>
      </c>
      <c r="F3833" t="s">
        <v>80</v>
      </c>
    </row>
    <row r="3834" spans="1:6" x14ac:dyDescent="0.45">
      <c r="A3834">
        <v>40</v>
      </c>
      <c r="B3834">
        <v>12</v>
      </c>
      <c r="C3834">
        <v>15000</v>
      </c>
      <c r="D3834" t="s">
        <v>71</v>
      </c>
      <c r="E3834" t="s">
        <v>72</v>
      </c>
      <c r="F3834" t="s">
        <v>80</v>
      </c>
    </row>
    <row r="3835" spans="1:6" x14ac:dyDescent="0.45">
      <c r="A3835">
        <v>40</v>
      </c>
      <c r="B3835">
        <v>12</v>
      </c>
      <c r="C3835">
        <v>15000</v>
      </c>
      <c r="D3835" t="s">
        <v>71</v>
      </c>
      <c r="E3835" t="s">
        <v>74</v>
      </c>
      <c r="F3835" t="s">
        <v>80</v>
      </c>
    </row>
    <row r="3836" spans="1:6" x14ac:dyDescent="0.45">
      <c r="A3836">
        <v>40</v>
      </c>
      <c r="B3836">
        <v>12</v>
      </c>
      <c r="C3836">
        <v>15000</v>
      </c>
      <c r="D3836" t="s">
        <v>71</v>
      </c>
      <c r="E3836" t="s">
        <v>74</v>
      </c>
      <c r="F3836" t="s">
        <v>80</v>
      </c>
    </row>
    <row r="3837" spans="1:6" x14ac:dyDescent="0.45">
      <c r="A3837">
        <v>40</v>
      </c>
      <c r="B3837">
        <v>12</v>
      </c>
      <c r="C3837">
        <v>15000</v>
      </c>
      <c r="D3837" t="s">
        <v>71</v>
      </c>
      <c r="E3837" t="s">
        <v>72</v>
      </c>
      <c r="F3837" t="s">
        <v>80</v>
      </c>
    </row>
    <row r="3838" spans="1:6" x14ac:dyDescent="0.45">
      <c r="A3838">
        <v>40</v>
      </c>
      <c r="B3838">
        <v>12</v>
      </c>
      <c r="C3838">
        <v>15000</v>
      </c>
      <c r="D3838" t="s">
        <v>71</v>
      </c>
      <c r="E3838" t="s">
        <v>72</v>
      </c>
      <c r="F3838" t="s">
        <v>80</v>
      </c>
    </row>
    <row r="3839" spans="1:6" x14ac:dyDescent="0.45">
      <c r="A3839">
        <v>40</v>
      </c>
      <c r="B3839">
        <v>12</v>
      </c>
      <c r="C3839">
        <v>15000</v>
      </c>
      <c r="D3839" t="s">
        <v>71</v>
      </c>
      <c r="E3839" t="s">
        <v>72</v>
      </c>
      <c r="F3839" t="s">
        <v>80</v>
      </c>
    </row>
    <row r="3840" spans="1:6" x14ac:dyDescent="0.45">
      <c r="A3840">
        <v>40</v>
      </c>
      <c r="B3840">
        <v>12</v>
      </c>
      <c r="C3840">
        <v>15000</v>
      </c>
      <c r="D3840" t="s">
        <v>71</v>
      </c>
      <c r="E3840" t="s">
        <v>72</v>
      </c>
      <c r="F3840" t="s">
        <v>80</v>
      </c>
    </row>
    <row r="3841" spans="1:6" x14ac:dyDescent="0.45">
      <c r="A3841">
        <v>35</v>
      </c>
      <c r="B3841">
        <v>12</v>
      </c>
      <c r="C3841">
        <v>15000</v>
      </c>
      <c r="D3841" t="s">
        <v>76</v>
      </c>
      <c r="E3841" t="s">
        <v>72</v>
      </c>
      <c r="F3841" t="s">
        <v>80</v>
      </c>
    </row>
    <row r="3842" spans="1:6" x14ac:dyDescent="0.45">
      <c r="A3842">
        <v>40</v>
      </c>
      <c r="B3842">
        <v>12</v>
      </c>
      <c r="C3842">
        <v>15000</v>
      </c>
      <c r="D3842" t="s">
        <v>71</v>
      </c>
      <c r="E3842" t="s">
        <v>72</v>
      </c>
      <c r="F3842" t="s">
        <v>80</v>
      </c>
    </row>
    <row r="3843" spans="1:6" x14ac:dyDescent="0.45">
      <c r="A3843">
        <v>35</v>
      </c>
      <c r="B3843">
        <v>12</v>
      </c>
      <c r="C3843">
        <v>15000</v>
      </c>
      <c r="D3843" t="s">
        <v>71</v>
      </c>
      <c r="E3843" t="s">
        <v>72</v>
      </c>
      <c r="F3843" t="s">
        <v>80</v>
      </c>
    </row>
    <row r="3844" spans="1:6" x14ac:dyDescent="0.45">
      <c r="A3844">
        <v>40</v>
      </c>
      <c r="B3844">
        <v>12</v>
      </c>
      <c r="C3844">
        <v>15000</v>
      </c>
      <c r="D3844" t="s">
        <v>71</v>
      </c>
      <c r="E3844" t="s">
        <v>72</v>
      </c>
      <c r="F3844" t="s">
        <v>80</v>
      </c>
    </row>
    <row r="3845" spans="1:6" x14ac:dyDescent="0.45">
      <c r="A3845">
        <v>40</v>
      </c>
      <c r="B3845">
        <v>12</v>
      </c>
      <c r="C3845">
        <v>15000</v>
      </c>
      <c r="D3845" t="s">
        <v>77</v>
      </c>
      <c r="E3845" t="s">
        <v>74</v>
      </c>
      <c r="F3845" t="s">
        <v>80</v>
      </c>
    </row>
    <row r="3846" spans="1:6" x14ac:dyDescent="0.45">
      <c r="A3846">
        <v>50</v>
      </c>
      <c r="B3846">
        <v>12</v>
      </c>
      <c r="C3846">
        <v>15000</v>
      </c>
      <c r="D3846" t="s">
        <v>71</v>
      </c>
      <c r="E3846" t="s">
        <v>74</v>
      </c>
      <c r="F3846" t="s">
        <v>80</v>
      </c>
    </row>
    <row r="3847" spans="1:6" x14ac:dyDescent="0.45">
      <c r="A3847">
        <v>40</v>
      </c>
      <c r="B3847">
        <v>12</v>
      </c>
      <c r="C3847">
        <v>15000</v>
      </c>
      <c r="D3847" t="s">
        <v>76</v>
      </c>
      <c r="E3847" t="s">
        <v>74</v>
      </c>
      <c r="F3847" t="s">
        <v>80</v>
      </c>
    </row>
    <row r="3848" spans="1:6" x14ac:dyDescent="0.45">
      <c r="A3848">
        <v>40</v>
      </c>
      <c r="B3848">
        <v>12</v>
      </c>
      <c r="C3848">
        <v>15000</v>
      </c>
      <c r="D3848" t="s">
        <v>75</v>
      </c>
      <c r="E3848" t="s">
        <v>72</v>
      </c>
      <c r="F3848" t="s">
        <v>80</v>
      </c>
    </row>
    <row r="3849" spans="1:6" x14ac:dyDescent="0.45">
      <c r="A3849">
        <v>40</v>
      </c>
      <c r="B3849">
        <v>12</v>
      </c>
      <c r="C3849">
        <v>15000</v>
      </c>
      <c r="D3849" t="s">
        <v>76</v>
      </c>
      <c r="E3849" t="s">
        <v>72</v>
      </c>
      <c r="F3849" t="s">
        <v>80</v>
      </c>
    </row>
    <row r="3850" spans="1:6" x14ac:dyDescent="0.45">
      <c r="A3850">
        <v>40</v>
      </c>
      <c r="B3850">
        <v>12</v>
      </c>
      <c r="C3850">
        <v>15000</v>
      </c>
      <c r="D3850" t="s">
        <v>71</v>
      </c>
      <c r="E3850" t="s">
        <v>74</v>
      </c>
      <c r="F3850" t="s">
        <v>80</v>
      </c>
    </row>
    <row r="3851" spans="1:6" x14ac:dyDescent="0.45">
      <c r="A3851">
        <v>40</v>
      </c>
      <c r="B3851">
        <v>12</v>
      </c>
      <c r="C3851">
        <v>15000</v>
      </c>
      <c r="D3851" t="s">
        <v>71</v>
      </c>
      <c r="E3851" t="s">
        <v>74</v>
      </c>
      <c r="F3851" t="s">
        <v>80</v>
      </c>
    </row>
    <row r="3852" spans="1:6" x14ac:dyDescent="0.45">
      <c r="A3852">
        <v>40</v>
      </c>
      <c r="B3852">
        <v>12</v>
      </c>
      <c r="C3852">
        <v>15000</v>
      </c>
      <c r="D3852" t="s">
        <v>76</v>
      </c>
      <c r="E3852" t="s">
        <v>72</v>
      </c>
      <c r="F3852" t="s">
        <v>80</v>
      </c>
    </row>
    <row r="3853" spans="1:6" x14ac:dyDescent="0.45">
      <c r="A3853">
        <v>40</v>
      </c>
      <c r="B3853">
        <v>12</v>
      </c>
      <c r="C3853">
        <v>15000</v>
      </c>
      <c r="D3853" t="s">
        <v>76</v>
      </c>
      <c r="E3853" t="s">
        <v>72</v>
      </c>
      <c r="F3853" t="s">
        <v>80</v>
      </c>
    </row>
    <row r="3854" spans="1:6" x14ac:dyDescent="0.45">
      <c r="A3854">
        <v>40</v>
      </c>
      <c r="B3854">
        <v>12</v>
      </c>
      <c r="C3854">
        <v>15000</v>
      </c>
      <c r="D3854" t="s">
        <v>76</v>
      </c>
      <c r="E3854" t="s">
        <v>72</v>
      </c>
      <c r="F3854" t="s">
        <v>80</v>
      </c>
    </row>
    <row r="3855" spans="1:6" x14ac:dyDescent="0.45">
      <c r="A3855">
        <v>35</v>
      </c>
      <c r="B3855">
        <v>12</v>
      </c>
      <c r="C3855">
        <v>15000</v>
      </c>
      <c r="D3855" t="s">
        <v>76</v>
      </c>
      <c r="E3855" t="s">
        <v>72</v>
      </c>
      <c r="F3855" t="s">
        <v>80</v>
      </c>
    </row>
    <row r="3856" spans="1:6" x14ac:dyDescent="0.45">
      <c r="A3856">
        <v>40</v>
      </c>
      <c r="B3856">
        <v>12</v>
      </c>
      <c r="C3856">
        <v>15000</v>
      </c>
      <c r="D3856" t="s">
        <v>71</v>
      </c>
      <c r="E3856" t="s">
        <v>74</v>
      </c>
      <c r="F3856" t="s">
        <v>80</v>
      </c>
    </row>
    <row r="3857" spans="1:6" x14ac:dyDescent="0.45">
      <c r="A3857">
        <v>35</v>
      </c>
      <c r="B3857">
        <v>12</v>
      </c>
      <c r="C3857">
        <v>15000</v>
      </c>
      <c r="D3857" t="s">
        <v>76</v>
      </c>
      <c r="E3857" t="s">
        <v>72</v>
      </c>
      <c r="F3857" t="s">
        <v>80</v>
      </c>
    </row>
    <row r="3858" spans="1:6" x14ac:dyDescent="0.45">
      <c r="A3858">
        <v>40</v>
      </c>
      <c r="B3858">
        <v>12</v>
      </c>
      <c r="C3858">
        <v>15000</v>
      </c>
      <c r="D3858" t="s">
        <v>71</v>
      </c>
      <c r="E3858" t="s">
        <v>74</v>
      </c>
      <c r="F3858" t="s">
        <v>80</v>
      </c>
    </row>
    <row r="3859" spans="1:6" x14ac:dyDescent="0.45">
      <c r="A3859">
        <v>40</v>
      </c>
      <c r="B3859">
        <v>12</v>
      </c>
      <c r="C3859">
        <v>15000</v>
      </c>
      <c r="D3859" t="s">
        <v>71</v>
      </c>
      <c r="E3859" t="s">
        <v>72</v>
      </c>
      <c r="F3859" t="s">
        <v>80</v>
      </c>
    </row>
    <row r="3860" spans="1:6" x14ac:dyDescent="0.45">
      <c r="A3860">
        <v>40</v>
      </c>
      <c r="B3860">
        <v>12</v>
      </c>
      <c r="C3860">
        <v>15000</v>
      </c>
      <c r="D3860" t="s">
        <v>71</v>
      </c>
      <c r="E3860" t="s">
        <v>74</v>
      </c>
      <c r="F3860" t="s">
        <v>80</v>
      </c>
    </row>
    <row r="3861" spans="1:6" x14ac:dyDescent="0.45">
      <c r="A3861">
        <v>40</v>
      </c>
      <c r="B3861">
        <v>12</v>
      </c>
      <c r="C3861">
        <v>15000</v>
      </c>
      <c r="D3861" t="s">
        <v>71</v>
      </c>
      <c r="E3861" t="s">
        <v>72</v>
      </c>
      <c r="F3861" t="s">
        <v>80</v>
      </c>
    </row>
    <row r="3862" spans="1:6" x14ac:dyDescent="0.45">
      <c r="A3862">
        <v>40</v>
      </c>
      <c r="B3862">
        <v>12</v>
      </c>
      <c r="C3862">
        <v>15000</v>
      </c>
      <c r="D3862" t="s">
        <v>71</v>
      </c>
      <c r="E3862" t="s">
        <v>74</v>
      </c>
      <c r="F3862" t="s">
        <v>80</v>
      </c>
    </row>
    <row r="3863" spans="1:6" x14ac:dyDescent="0.45">
      <c r="A3863">
        <v>35</v>
      </c>
      <c r="B3863">
        <v>12</v>
      </c>
      <c r="C3863">
        <v>15000</v>
      </c>
      <c r="D3863" t="s">
        <v>71</v>
      </c>
      <c r="E3863" t="s">
        <v>72</v>
      </c>
      <c r="F3863" t="s">
        <v>80</v>
      </c>
    </row>
    <row r="3864" spans="1:6" x14ac:dyDescent="0.45">
      <c r="A3864">
        <v>40</v>
      </c>
      <c r="B3864">
        <v>12</v>
      </c>
      <c r="C3864">
        <v>15000</v>
      </c>
      <c r="D3864" t="s">
        <v>71</v>
      </c>
      <c r="E3864" t="s">
        <v>74</v>
      </c>
      <c r="F3864" t="s">
        <v>80</v>
      </c>
    </row>
    <row r="3865" spans="1:6" x14ac:dyDescent="0.45">
      <c r="A3865">
        <v>37</v>
      </c>
      <c r="B3865">
        <v>12</v>
      </c>
      <c r="C3865">
        <v>15000</v>
      </c>
      <c r="D3865" t="s">
        <v>71</v>
      </c>
      <c r="E3865" t="s">
        <v>72</v>
      </c>
      <c r="F3865" t="s">
        <v>80</v>
      </c>
    </row>
    <row r="3866" spans="1:6" x14ac:dyDescent="0.45">
      <c r="A3866">
        <v>40</v>
      </c>
      <c r="B3866">
        <v>12</v>
      </c>
      <c r="C3866">
        <v>15000</v>
      </c>
      <c r="D3866" t="s">
        <v>71</v>
      </c>
      <c r="E3866" t="s">
        <v>74</v>
      </c>
      <c r="F3866" t="s">
        <v>80</v>
      </c>
    </row>
    <row r="3867" spans="1:6" x14ac:dyDescent="0.45">
      <c r="A3867">
        <v>40</v>
      </c>
      <c r="B3867">
        <v>12</v>
      </c>
      <c r="C3867">
        <v>15000</v>
      </c>
      <c r="D3867" t="s">
        <v>71</v>
      </c>
      <c r="E3867" t="s">
        <v>74</v>
      </c>
      <c r="F3867" t="s">
        <v>80</v>
      </c>
    </row>
    <row r="3868" spans="1:6" x14ac:dyDescent="0.45">
      <c r="A3868">
        <v>40</v>
      </c>
      <c r="B3868">
        <v>12</v>
      </c>
      <c r="C3868">
        <v>15000</v>
      </c>
      <c r="D3868" t="s">
        <v>71</v>
      </c>
      <c r="E3868" t="s">
        <v>74</v>
      </c>
      <c r="F3868" t="s">
        <v>80</v>
      </c>
    </row>
    <row r="3869" spans="1:6" x14ac:dyDescent="0.45">
      <c r="A3869">
        <v>40</v>
      </c>
      <c r="B3869">
        <v>12</v>
      </c>
      <c r="C3869">
        <v>15000</v>
      </c>
      <c r="D3869" t="s">
        <v>71</v>
      </c>
      <c r="E3869" t="s">
        <v>74</v>
      </c>
      <c r="F3869" t="s">
        <v>80</v>
      </c>
    </row>
    <row r="3870" spans="1:6" x14ac:dyDescent="0.45">
      <c r="A3870">
        <v>42</v>
      </c>
      <c r="B3870">
        <v>12</v>
      </c>
      <c r="C3870">
        <v>15000</v>
      </c>
      <c r="D3870" t="s">
        <v>71</v>
      </c>
      <c r="E3870" t="s">
        <v>72</v>
      </c>
      <c r="F3870" t="s">
        <v>80</v>
      </c>
    </row>
    <row r="3871" spans="1:6" x14ac:dyDescent="0.45">
      <c r="A3871">
        <v>40</v>
      </c>
      <c r="B3871">
        <v>12</v>
      </c>
      <c r="C3871">
        <v>15000</v>
      </c>
      <c r="D3871" t="s">
        <v>71</v>
      </c>
      <c r="E3871" t="s">
        <v>72</v>
      </c>
      <c r="F3871" t="s">
        <v>80</v>
      </c>
    </row>
    <row r="3872" spans="1:6" x14ac:dyDescent="0.45">
      <c r="A3872">
        <v>40</v>
      </c>
      <c r="B3872">
        <v>12</v>
      </c>
      <c r="C3872">
        <v>15000</v>
      </c>
      <c r="D3872" t="s">
        <v>71</v>
      </c>
      <c r="E3872" t="s">
        <v>72</v>
      </c>
      <c r="F3872" t="s">
        <v>80</v>
      </c>
    </row>
    <row r="3873" spans="1:6" x14ac:dyDescent="0.45">
      <c r="A3873">
        <v>40</v>
      </c>
      <c r="B3873">
        <v>12</v>
      </c>
      <c r="C3873">
        <v>15000</v>
      </c>
      <c r="D3873" t="s">
        <v>76</v>
      </c>
      <c r="E3873" t="s">
        <v>72</v>
      </c>
      <c r="F3873" t="s">
        <v>80</v>
      </c>
    </row>
    <row r="3874" spans="1:6" x14ac:dyDescent="0.45">
      <c r="A3874">
        <v>44</v>
      </c>
      <c r="B3874">
        <v>12</v>
      </c>
      <c r="C3874">
        <v>15000</v>
      </c>
      <c r="D3874" t="s">
        <v>71</v>
      </c>
      <c r="E3874" t="s">
        <v>72</v>
      </c>
      <c r="F3874" t="s">
        <v>80</v>
      </c>
    </row>
    <row r="3875" spans="1:6" x14ac:dyDescent="0.45">
      <c r="A3875">
        <v>58</v>
      </c>
      <c r="B3875">
        <v>12</v>
      </c>
      <c r="C3875">
        <v>15000</v>
      </c>
      <c r="D3875" t="s">
        <v>71</v>
      </c>
      <c r="E3875" t="s">
        <v>74</v>
      </c>
      <c r="F3875" t="s">
        <v>80</v>
      </c>
    </row>
    <row r="3876" spans="1:6" x14ac:dyDescent="0.45">
      <c r="A3876">
        <v>40</v>
      </c>
      <c r="B3876">
        <v>12</v>
      </c>
      <c r="C3876">
        <v>15000</v>
      </c>
      <c r="D3876" t="s">
        <v>71</v>
      </c>
      <c r="E3876" t="s">
        <v>72</v>
      </c>
      <c r="F3876" t="s">
        <v>80</v>
      </c>
    </row>
    <row r="3877" spans="1:6" x14ac:dyDescent="0.45">
      <c r="A3877">
        <v>40</v>
      </c>
      <c r="B3877">
        <v>12</v>
      </c>
      <c r="C3877">
        <v>15000</v>
      </c>
      <c r="D3877" t="s">
        <v>71</v>
      </c>
      <c r="E3877" t="s">
        <v>72</v>
      </c>
      <c r="F3877" t="s">
        <v>80</v>
      </c>
    </row>
    <row r="3878" spans="1:6" x14ac:dyDescent="0.45">
      <c r="A3878">
        <v>0</v>
      </c>
      <c r="B3878">
        <v>12</v>
      </c>
      <c r="C3878">
        <v>15000</v>
      </c>
      <c r="D3878" t="s">
        <v>71</v>
      </c>
      <c r="E3878" t="s">
        <v>74</v>
      </c>
      <c r="F3878" t="s">
        <v>80</v>
      </c>
    </row>
    <row r="3879" spans="1:6" x14ac:dyDescent="0.45">
      <c r="A3879">
        <v>35</v>
      </c>
      <c r="B3879">
        <v>12</v>
      </c>
      <c r="C3879">
        <v>15000</v>
      </c>
      <c r="D3879" t="s">
        <v>71</v>
      </c>
      <c r="E3879" t="s">
        <v>72</v>
      </c>
      <c r="F3879" t="s">
        <v>80</v>
      </c>
    </row>
    <row r="3880" spans="1:6" x14ac:dyDescent="0.45">
      <c r="A3880">
        <v>40</v>
      </c>
      <c r="B3880">
        <v>12</v>
      </c>
      <c r="C3880">
        <v>15000</v>
      </c>
      <c r="D3880" t="s">
        <v>71</v>
      </c>
      <c r="E3880" t="s">
        <v>72</v>
      </c>
      <c r="F3880" t="s">
        <v>80</v>
      </c>
    </row>
    <row r="3881" spans="1:6" x14ac:dyDescent="0.45">
      <c r="A3881">
        <v>40</v>
      </c>
      <c r="B3881">
        <v>12</v>
      </c>
      <c r="C3881">
        <v>15002</v>
      </c>
      <c r="D3881" t="s">
        <v>71</v>
      </c>
      <c r="E3881" t="s">
        <v>74</v>
      </c>
      <c r="F3881" t="s">
        <v>80</v>
      </c>
    </row>
    <row r="3882" spans="1:6" x14ac:dyDescent="0.45">
      <c r="A3882">
        <v>40</v>
      </c>
      <c r="B3882">
        <v>12</v>
      </c>
      <c r="C3882">
        <v>15499</v>
      </c>
      <c r="D3882" t="s">
        <v>71</v>
      </c>
      <c r="E3882" t="s">
        <v>72</v>
      </c>
      <c r="F3882" t="s">
        <v>80</v>
      </c>
    </row>
    <row r="3883" spans="1:6" x14ac:dyDescent="0.45">
      <c r="A3883">
        <v>40</v>
      </c>
      <c r="B3883">
        <v>12</v>
      </c>
      <c r="C3883">
        <v>15500</v>
      </c>
      <c r="D3883" t="s">
        <v>76</v>
      </c>
      <c r="E3883" t="s">
        <v>72</v>
      </c>
      <c r="F3883" t="s">
        <v>80</v>
      </c>
    </row>
    <row r="3884" spans="1:6" x14ac:dyDescent="0.45">
      <c r="A3884">
        <v>40</v>
      </c>
      <c r="B3884">
        <v>12</v>
      </c>
      <c r="C3884">
        <v>15500</v>
      </c>
      <c r="D3884" t="s">
        <v>71</v>
      </c>
      <c r="E3884" t="s">
        <v>72</v>
      </c>
      <c r="F3884" t="s">
        <v>80</v>
      </c>
    </row>
    <row r="3885" spans="1:6" x14ac:dyDescent="0.45">
      <c r="A3885">
        <v>52</v>
      </c>
      <c r="B3885">
        <v>12</v>
      </c>
      <c r="C3885">
        <v>15600</v>
      </c>
      <c r="D3885" t="s">
        <v>76</v>
      </c>
      <c r="E3885" t="s">
        <v>74</v>
      </c>
      <c r="F3885" t="s">
        <v>80</v>
      </c>
    </row>
    <row r="3886" spans="1:6" x14ac:dyDescent="0.45">
      <c r="A3886">
        <v>40</v>
      </c>
      <c r="B3886">
        <v>12</v>
      </c>
      <c r="C3886">
        <v>15600</v>
      </c>
      <c r="D3886" t="s">
        <v>71</v>
      </c>
      <c r="E3886" t="s">
        <v>72</v>
      </c>
      <c r="F3886" t="s">
        <v>80</v>
      </c>
    </row>
    <row r="3887" spans="1:6" x14ac:dyDescent="0.45">
      <c r="A3887">
        <v>40</v>
      </c>
      <c r="B3887">
        <v>12</v>
      </c>
      <c r="C3887">
        <v>15600</v>
      </c>
      <c r="D3887" t="s">
        <v>71</v>
      </c>
      <c r="E3887" t="s">
        <v>74</v>
      </c>
      <c r="F3887" t="s">
        <v>80</v>
      </c>
    </row>
    <row r="3888" spans="1:6" x14ac:dyDescent="0.45">
      <c r="A3888">
        <v>60</v>
      </c>
      <c r="B3888">
        <v>12</v>
      </c>
      <c r="C3888">
        <v>15600</v>
      </c>
      <c r="D3888" t="s">
        <v>71</v>
      </c>
      <c r="E3888" t="s">
        <v>74</v>
      </c>
      <c r="F3888" t="s">
        <v>80</v>
      </c>
    </row>
    <row r="3889" spans="1:6" x14ac:dyDescent="0.45">
      <c r="A3889">
        <v>40</v>
      </c>
      <c r="B3889">
        <v>12</v>
      </c>
      <c r="C3889">
        <v>15600</v>
      </c>
      <c r="D3889" t="s">
        <v>71</v>
      </c>
      <c r="E3889" t="s">
        <v>74</v>
      </c>
      <c r="F3889" t="s">
        <v>80</v>
      </c>
    </row>
    <row r="3890" spans="1:6" x14ac:dyDescent="0.45">
      <c r="A3890">
        <v>35</v>
      </c>
      <c r="B3890">
        <v>12</v>
      </c>
      <c r="C3890">
        <v>15600</v>
      </c>
      <c r="D3890" t="s">
        <v>71</v>
      </c>
      <c r="E3890" t="s">
        <v>72</v>
      </c>
      <c r="F3890" t="s">
        <v>80</v>
      </c>
    </row>
    <row r="3891" spans="1:6" x14ac:dyDescent="0.45">
      <c r="A3891">
        <v>40</v>
      </c>
      <c r="B3891">
        <v>12</v>
      </c>
      <c r="C3891">
        <v>15600</v>
      </c>
      <c r="D3891" t="s">
        <v>71</v>
      </c>
      <c r="E3891" t="s">
        <v>74</v>
      </c>
      <c r="F3891" t="s">
        <v>80</v>
      </c>
    </row>
    <row r="3892" spans="1:6" x14ac:dyDescent="0.45">
      <c r="A3892">
        <v>45</v>
      </c>
      <c r="B3892">
        <v>12</v>
      </c>
      <c r="C3892">
        <v>16000</v>
      </c>
      <c r="D3892" t="s">
        <v>71</v>
      </c>
      <c r="E3892" t="s">
        <v>74</v>
      </c>
      <c r="F3892" t="s">
        <v>80</v>
      </c>
    </row>
    <row r="3893" spans="1:6" x14ac:dyDescent="0.45">
      <c r="A3893">
        <v>50</v>
      </c>
      <c r="B3893">
        <v>12</v>
      </c>
      <c r="C3893">
        <v>16000</v>
      </c>
      <c r="D3893" t="s">
        <v>76</v>
      </c>
      <c r="E3893" t="s">
        <v>72</v>
      </c>
      <c r="F3893" t="s">
        <v>80</v>
      </c>
    </row>
    <row r="3894" spans="1:6" x14ac:dyDescent="0.45">
      <c r="A3894">
        <v>40</v>
      </c>
      <c r="B3894">
        <v>12</v>
      </c>
      <c r="C3894">
        <v>16000</v>
      </c>
      <c r="D3894" t="s">
        <v>71</v>
      </c>
      <c r="E3894" t="s">
        <v>72</v>
      </c>
      <c r="F3894" t="s">
        <v>80</v>
      </c>
    </row>
    <row r="3895" spans="1:6" x14ac:dyDescent="0.45">
      <c r="A3895">
        <v>40</v>
      </c>
      <c r="B3895">
        <v>12</v>
      </c>
      <c r="C3895">
        <v>16000</v>
      </c>
      <c r="D3895" t="s">
        <v>71</v>
      </c>
      <c r="E3895" t="s">
        <v>72</v>
      </c>
      <c r="F3895" t="s">
        <v>80</v>
      </c>
    </row>
    <row r="3896" spans="1:6" x14ac:dyDescent="0.45">
      <c r="A3896">
        <v>45</v>
      </c>
      <c r="B3896">
        <v>12</v>
      </c>
      <c r="C3896">
        <v>16000</v>
      </c>
      <c r="D3896" t="s">
        <v>71</v>
      </c>
      <c r="E3896" t="s">
        <v>74</v>
      </c>
      <c r="F3896" t="s">
        <v>80</v>
      </c>
    </row>
    <row r="3897" spans="1:6" x14ac:dyDescent="0.45">
      <c r="A3897">
        <v>40</v>
      </c>
      <c r="B3897">
        <v>12</v>
      </c>
      <c r="C3897">
        <v>16000</v>
      </c>
      <c r="D3897" t="s">
        <v>71</v>
      </c>
      <c r="E3897" t="s">
        <v>74</v>
      </c>
      <c r="F3897" t="s">
        <v>80</v>
      </c>
    </row>
    <row r="3898" spans="1:6" x14ac:dyDescent="0.45">
      <c r="A3898">
        <v>40</v>
      </c>
      <c r="B3898">
        <v>12</v>
      </c>
      <c r="C3898">
        <v>16000</v>
      </c>
      <c r="D3898" t="s">
        <v>71</v>
      </c>
      <c r="E3898" t="s">
        <v>72</v>
      </c>
      <c r="F3898" t="s">
        <v>80</v>
      </c>
    </row>
    <row r="3899" spans="1:6" x14ac:dyDescent="0.45">
      <c r="A3899">
        <v>40</v>
      </c>
      <c r="B3899">
        <v>12</v>
      </c>
      <c r="C3899">
        <v>16000</v>
      </c>
      <c r="D3899" t="s">
        <v>71</v>
      </c>
      <c r="E3899" t="s">
        <v>72</v>
      </c>
      <c r="F3899" t="s">
        <v>80</v>
      </c>
    </row>
    <row r="3900" spans="1:6" x14ac:dyDescent="0.45">
      <c r="A3900">
        <v>40</v>
      </c>
      <c r="B3900">
        <v>12</v>
      </c>
      <c r="C3900">
        <v>16000</v>
      </c>
      <c r="D3900" t="s">
        <v>71</v>
      </c>
      <c r="E3900" t="s">
        <v>72</v>
      </c>
      <c r="F3900" t="s">
        <v>80</v>
      </c>
    </row>
    <row r="3901" spans="1:6" x14ac:dyDescent="0.45">
      <c r="A3901">
        <v>40</v>
      </c>
      <c r="B3901">
        <v>12</v>
      </c>
      <c r="C3901">
        <v>16000</v>
      </c>
      <c r="D3901" t="s">
        <v>71</v>
      </c>
      <c r="E3901" t="s">
        <v>72</v>
      </c>
      <c r="F3901" t="s">
        <v>80</v>
      </c>
    </row>
    <row r="3902" spans="1:6" x14ac:dyDescent="0.45">
      <c r="A3902">
        <v>35</v>
      </c>
      <c r="B3902">
        <v>12</v>
      </c>
      <c r="C3902">
        <v>16000</v>
      </c>
      <c r="D3902" t="s">
        <v>71</v>
      </c>
      <c r="E3902" t="s">
        <v>72</v>
      </c>
      <c r="F3902" t="s">
        <v>80</v>
      </c>
    </row>
    <row r="3903" spans="1:6" x14ac:dyDescent="0.45">
      <c r="A3903">
        <v>70</v>
      </c>
      <c r="B3903">
        <v>12</v>
      </c>
      <c r="C3903">
        <v>16000</v>
      </c>
      <c r="D3903" t="s">
        <v>71</v>
      </c>
      <c r="E3903" t="s">
        <v>74</v>
      </c>
      <c r="F3903" t="s">
        <v>80</v>
      </c>
    </row>
    <row r="3904" spans="1:6" x14ac:dyDescent="0.45">
      <c r="A3904">
        <v>40</v>
      </c>
      <c r="B3904">
        <v>12</v>
      </c>
      <c r="C3904">
        <v>16000</v>
      </c>
      <c r="D3904" t="s">
        <v>76</v>
      </c>
      <c r="E3904" t="s">
        <v>72</v>
      </c>
      <c r="F3904" t="s">
        <v>80</v>
      </c>
    </row>
    <row r="3905" spans="1:6" x14ac:dyDescent="0.45">
      <c r="A3905">
        <v>45</v>
      </c>
      <c r="B3905">
        <v>12</v>
      </c>
      <c r="C3905">
        <v>16000</v>
      </c>
      <c r="D3905" t="s">
        <v>71</v>
      </c>
      <c r="E3905" t="s">
        <v>74</v>
      </c>
      <c r="F3905" t="s">
        <v>80</v>
      </c>
    </row>
    <row r="3906" spans="1:6" x14ac:dyDescent="0.45">
      <c r="A3906">
        <v>40</v>
      </c>
      <c r="B3906">
        <v>12</v>
      </c>
      <c r="C3906">
        <v>16000</v>
      </c>
      <c r="D3906" t="s">
        <v>71</v>
      </c>
      <c r="E3906" t="s">
        <v>72</v>
      </c>
      <c r="F3906" t="s">
        <v>80</v>
      </c>
    </row>
    <row r="3907" spans="1:6" x14ac:dyDescent="0.45">
      <c r="A3907">
        <v>80</v>
      </c>
      <c r="B3907">
        <v>12</v>
      </c>
      <c r="C3907">
        <v>16000</v>
      </c>
      <c r="D3907" t="s">
        <v>76</v>
      </c>
      <c r="E3907" t="s">
        <v>72</v>
      </c>
      <c r="F3907" t="s">
        <v>80</v>
      </c>
    </row>
    <row r="3908" spans="1:6" x14ac:dyDescent="0.45">
      <c r="A3908">
        <v>45</v>
      </c>
      <c r="B3908">
        <v>12</v>
      </c>
      <c r="C3908">
        <v>16000</v>
      </c>
      <c r="D3908" t="s">
        <v>71</v>
      </c>
      <c r="E3908" t="s">
        <v>74</v>
      </c>
      <c r="F3908" t="s">
        <v>80</v>
      </c>
    </row>
    <row r="3909" spans="1:6" x14ac:dyDescent="0.45">
      <c r="A3909">
        <v>60</v>
      </c>
      <c r="B3909">
        <v>12</v>
      </c>
      <c r="C3909">
        <v>16000</v>
      </c>
      <c r="D3909" t="s">
        <v>71</v>
      </c>
      <c r="E3909" t="s">
        <v>74</v>
      </c>
      <c r="F3909" t="s">
        <v>80</v>
      </c>
    </row>
    <row r="3910" spans="1:6" x14ac:dyDescent="0.45">
      <c r="A3910">
        <v>40</v>
      </c>
      <c r="B3910">
        <v>12</v>
      </c>
      <c r="C3910">
        <v>16000</v>
      </c>
      <c r="D3910" t="s">
        <v>71</v>
      </c>
      <c r="E3910" t="s">
        <v>74</v>
      </c>
      <c r="F3910" t="s">
        <v>80</v>
      </c>
    </row>
    <row r="3911" spans="1:6" x14ac:dyDescent="0.45">
      <c r="A3911">
        <v>40</v>
      </c>
      <c r="B3911">
        <v>12</v>
      </c>
      <c r="C3911">
        <v>16000</v>
      </c>
      <c r="D3911" t="s">
        <v>76</v>
      </c>
      <c r="E3911" t="s">
        <v>72</v>
      </c>
      <c r="F3911" t="s">
        <v>80</v>
      </c>
    </row>
    <row r="3912" spans="1:6" x14ac:dyDescent="0.45">
      <c r="A3912">
        <v>50</v>
      </c>
      <c r="B3912">
        <v>12</v>
      </c>
      <c r="C3912">
        <v>16000</v>
      </c>
      <c r="D3912" t="s">
        <v>71</v>
      </c>
      <c r="E3912" t="s">
        <v>72</v>
      </c>
      <c r="F3912" t="s">
        <v>80</v>
      </c>
    </row>
    <row r="3913" spans="1:6" x14ac:dyDescent="0.45">
      <c r="A3913">
        <v>36</v>
      </c>
      <c r="B3913">
        <v>12</v>
      </c>
      <c r="C3913">
        <v>16000</v>
      </c>
      <c r="D3913" t="s">
        <v>71</v>
      </c>
      <c r="E3913" t="s">
        <v>72</v>
      </c>
      <c r="F3913" t="s">
        <v>80</v>
      </c>
    </row>
    <row r="3914" spans="1:6" x14ac:dyDescent="0.45">
      <c r="A3914">
        <v>45</v>
      </c>
      <c r="B3914">
        <v>12</v>
      </c>
      <c r="C3914">
        <v>16000</v>
      </c>
      <c r="D3914" t="s">
        <v>71</v>
      </c>
      <c r="E3914" t="s">
        <v>74</v>
      </c>
      <c r="F3914" t="s">
        <v>80</v>
      </c>
    </row>
    <row r="3915" spans="1:6" x14ac:dyDescent="0.45">
      <c r="A3915">
        <v>48</v>
      </c>
      <c r="B3915">
        <v>12</v>
      </c>
      <c r="C3915">
        <v>16000</v>
      </c>
      <c r="D3915" t="s">
        <v>71</v>
      </c>
      <c r="E3915" t="s">
        <v>74</v>
      </c>
      <c r="F3915" t="s">
        <v>80</v>
      </c>
    </row>
    <row r="3916" spans="1:6" x14ac:dyDescent="0.45">
      <c r="A3916">
        <v>35</v>
      </c>
      <c r="B3916">
        <v>12</v>
      </c>
      <c r="C3916">
        <v>16000</v>
      </c>
      <c r="D3916" t="s">
        <v>71</v>
      </c>
      <c r="E3916" t="s">
        <v>72</v>
      </c>
      <c r="F3916" t="s">
        <v>80</v>
      </c>
    </row>
    <row r="3917" spans="1:6" x14ac:dyDescent="0.45">
      <c r="A3917">
        <v>44</v>
      </c>
      <c r="B3917">
        <v>12</v>
      </c>
      <c r="C3917">
        <v>16092</v>
      </c>
      <c r="D3917" t="s">
        <v>71</v>
      </c>
      <c r="E3917" t="s">
        <v>74</v>
      </c>
      <c r="F3917" t="s">
        <v>80</v>
      </c>
    </row>
    <row r="3918" spans="1:6" x14ac:dyDescent="0.45">
      <c r="A3918">
        <v>40</v>
      </c>
      <c r="B3918">
        <v>12</v>
      </c>
      <c r="C3918">
        <v>16112</v>
      </c>
      <c r="D3918" t="s">
        <v>71</v>
      </c>
      <c r="E3918" t="s">
        <v>72</v>
      </c>
      <c r="F3918" t="s">
        <v>80</v>
      </c>
    </row>
    <row r="3919" spans="1:6" x14ac:dyDescent="0.45">
      <c r="A3919">
        <v>40</v>
      </c>
      <c r="B3919">
        <v>12</v>
      </c>
      <c r="C3919">
        <v>16160</v>
      </c>
      <c r="D3919" t="s">
        <v>71</v>
      </c>
      <c r="E3919" t="s">
        <v>72</v>
      </c>
      <c r="F3919" t="s">
        <v>80</v>
      </c>
    </row>
    <row r="3920" spans="1:6" x14ac:dyDescent="0.45">
      <c r="A3920">
        <v>40</v>
      </c>
      <c r="B3920">
        <v>12</v>
      </c>
      <c r="C3920">
        <v>16200</v>
      </c>
      <c r="D3920" t="s">
        <v>71</v>
      </c>
      <c r="E3920" t="s">
        <v>74</v>
      </c>
      <c r="F3920" t="s">
        <v>80</v>
      </c>
    </row>
    <row r="3921" spans="1:6" x14ac:dyDescent="0.45">
      <c r="A3921">
        <v>40</v>
      </c>
      <c r="B3921">
        <v>12</v>
      </c>
      <c r="C3921">
        <v>16200</v>
      </c>
      <c r="D3921" t="s">
        <v>71</v>
      </c>
      <c r="E3921" t="s">
        <v>74</v>
      </c>
      <c r="F3921" t="s">
        <v>80</v>
      </c>
    </row>
    <row r="3922" spans="1:6" x14ac:dyDescent="0.45">
      <c r="A3922">
        <v>40</v>
      </c>
      <c r="B3922">
        <v>12</v>
      </c>
      <c r="C3922">
        <v>16400</v>
      </c>
      <c r="D3922" t="s">
        <v>71</v>
      </c>
      <c r="E3922" t="s">
        <v>74</v>
      </c>
      <c r="F3922" t="s">
        <v>80</v>
      </c>
    </row>
    <row r="3923" spans="1:6" x14ac:dyDescent="0.45">
      <c r="A3923">
        <v>38</v>
      </c>
      <c r="B3923">
        <v>12</v>
      </c>
      <c r="C3923">
        <v>16475</v>
      </c>
      <c r="D3923" t="s">
        <v>71</v>
      </c>
      <c r="E3923" t="s">
        <v>72</v>
      </c>
      <c r="F3923" t="s">
        <v>80</v>
      </c>
    </row>
    <row r="3924" spans="1:6" x14ac:dyDescent="0.45">
      <c r="A3924">
        <v>38</v>
      </c>
      <c r="B3924">
        <v>12</v>
      </c>
      <c r="C3924">
        <v>16510</v>
      </c>
      <c r="D3924" t="s">
        <v>71</v>
      </c>
      <c r="E3924" t="s">
        <v>72</v>
      </c>
      <c r="F3924" t="s">
        <v>80</v>
      </c>
    </row>
    <row r="3925" spans="1:6" x14ac:dyDescent="0.45">
      <c r="A3925">
        <v>37</v>
      </c>
      <c r="B3925">
        <v>12</v>
      </c>
      <c r="C3925">
        <v>16560</v>
      </c>
      <c r="D3925" t="s">
        <v>71</v>
      </c>
      <c r="E3925" t="s">
        <v>72</v>
      </c>
      <c r="F3925" t="s">
        <v>80</v>
      </c>
    </row>
    <row r="3926" spans="1:6" x14ac:dyDescent="0.45">
      <c r="A3926">
        <v>40</v>
      </c>
      <c r="B3926">
        <v>12</v>
      </c>
      <c r="C3926">
        <v>16625</v>
      </c>
      <c r="D3926" t="s">
        <v>71</v>
      </c>
      <c r="E3926" t="s">
        <v>72</v>
      </c>
      <c r="F3926" t="s">
        <v>80</v>
      </c>
    </row>
    <row r="3927" spans="1:6" x14ac:dyDescent="0.45">
      <c r="A3927">
        <v>40</v>
      </c>
      <c r="B3927">
        <v>12</v>
      </c>
      <c r="C3927">
        <v>16640</v>
      </c>
      <c r="D3927" t="s">
        <v>71</v>
      </c>
      <c r="E3927" t="s">
        <v>72</v>
      </c>
      <c r="F3927" t="s">
        <v>80</v>
      </c>
    </row>
    <row r="3928" spans="1:6" x14ac:dyDescent="0.45">
      <c r="A3928">
        <v>40</v>
      </c>
      <c r="B3928">
        <v>12</v>
      </c>
      <c r="C3928">
        <v>16640</v>
      </c>
      <c r="D3928" t="s">
        <v>71</v>
      </c>
      <c r="E3928" t="s">
        <v>74</v>
      </c>
      <c r="F3928" t="s">
        <v>80</v>
      </c>
    </row>
    <row r="3929" spans="1:6" x14ac:dyDescent="0.45">
      <c r="A3929">
        <v>43</v>
      </c>
      <c r="B3929">
        <v>12</v>
      </c>
      <c r="C3929">
        <v>16700</v>
      </c>
      <c r="D3929" t="s">
        <v>71</v>
      </c>
      <c r="E3929" t="s">
        <v>72</v>
      </c>
      <c r="F3929" t="s">
        <v>80</v>
      </c>
    </row>
    <row r="3930" spans="1:6" x14ac:dyDescent="0.45">
      <c r="A3930">
        <v>35</v>
      </c>
      <c r="B3930">
        <v>12</v>
      </c>
      <c r="C3930">
        <v>16700</v>
      </c>
      <c r="D3930" t="s">
        <v>71</v>
      </c>
      <c r="E3930" t="s">
        <v>72</v>
      </c>
      <c r="F3930" t="s">
        <v>80</v>
      </c>
    </row>
    <row r="3931" spans="1:6" x14ac:dyDescent="0.45">
      <c r="A3931">
        <v>0</v>
      </c>
      <c r="B3931">
        <v>12</v>
      </c>
      <c r="C3931">
        <v>16700</v>
      </c>
      <c r="D3931" t="s">
        <v>76</v>
      </c>
      <c r="E3931" t="s">
        <v>72</v>
      </c>
      <c r="F3931" t="s">
        <v>80</v>
      </c>
    </row>
    <row r="3932" spans="1:6" x14ac:dyDescent="0.45">
      <c r="A3932">
        <v>65</v>
      </c>
      <c r="B3932">
        <v>12</v>
      </c>
      <c r="C3932">
        <v>16748</v>
      </c>
      <c r="D3932" t="s">
        <v>71</v>
      </c>
      <c r="E3932" t="s">
        <v>74</v>
      </c>
      <c r="F3932" t="s">
        <v>80</v>
      </c>
    </row>
    <row r="3933" spans="1:6" x14ac:dyDescent="0.45">
      <c r="A3933">
        <v>40</v>
      </c>
      <c r="B3933">
        <v>12</v>
      </c>
      <c r="C3933">
        <v>16800</v>
      </c>
      <c r="D3933" t="s">
        <v>71</v>
      </c>
      <c r="E3933" t="s">
        <v>74</v>
      </c>
      <c r="F3933" t="s">
        <v>80</v>
      </c>
    </row>
    <row r="3934" spans="1:6" x14ac:dyDescent="0.45">
      <c r="A3934">
        <v>40</v>
      </c>
      <c r="B3934">
        <v>12</v>
      </c>
      <c r="C3934">
        <v>16800</v>
      </c>
      <c r="D3934" t="s">
        <v>71</v>
      </c>
      <c r="E3934" t="s">
        <v>74</v>
      </c>
      <c r="F3934" t="s">
        <v>80</v>
      </c>
    </row>
    <row r="3935" spans="1:6" x14ac:dyDescent="0.45">
      <c r="A3935">
        <v>38</v>
      </c>
      <c r="B3935">
        <v>12</v>
      </c>
      <c r="C3935">
        <v>16830</v>
      </c>
      <c r="D3935" t="s">
        <v>71</v>
      </c>
      <c r="E3935" t="s">
        <v>74</v>
      </c>
      <c r="F3935" t="s">
        <v>80</v>
      </c>
    </row>
    <row r="3936" spans="1:6" x14ac:dyDescent="0.45">
      <c r="A3936">
        <v>40</v>
      </c>
      <c r="B3936">
        <v>12</v>
      </c>
      <c r="C3936">
        <v>16860</v>
      </c>
      <c r="D3936" t="s">
        <v>71</v>
      </c>
      <c r="E3936" t="s">
        <v>74</v>
      </c>
      <c r="F3936" t="s">
        <v>80</v>
      </c>
    </row>
    <row r="3937" spans="1:6" x14ac:dyDescent="0.45">
      <c r="A3937">
        <v>53</v>
      </c>
      <c r="B3937">
        <v>12</v>
      </c>
      <c r="C3937">
        <v>16900</v>
      </c>
      <c r="D3937" t="s">
        <v>71</v>
      </c>
      <c r="E3937" t="s">
        <v>72</v>
      </c>
      <c r="F3937" t="s">
        <v>80</v>
      </c>
    </row>
    <row r="3938" spans="1:6" x14ac:dyDescent="0.45">
      <c r="A3938">
        <v>45</v>
      </c>
      <c r="B3938">
        <v>12</v>
      </c>
      <c r="C3938">
        <v>16900</v>
      </c>
      <c r="D3938" t="s">
        <v>71</v>
      </c>
      <c r="E3938" t="s">
        <v>74</v>
      </c>
      <c r="F3938" t="s">
        <v>80</v>
      </c>
    </row>
    <row r="3939" spans="1:6" x14ac:dyDescent="0.45">
      <c r="A3939">
        <v>40</v>
      </c>
      <c r="B3939">
        <v>12</v>
      </c>
      <c r="C3939">
        <v>17000</v>
      </c>
      <c r="D3939" t="s">
        <v>71</v>
      </c>
      <c r="E3939" t="s">
        <v>72</v>
      </c>
      <c r="F3939" t="s">
        <v>80</v>
      </c>
    </row>
    <row r="3940" spans="1:6" x14ac:dyDescent="0.45">
      <c r="A3940">
        <v>45</v>
      </c>
      <c r="B3940">
        <v>12</v>
      </c>
      <c r="C3940">
        <v>17000</v>
      </c>
      <c r="D3940" t="s">
        <v>71</v>
      </c>
      <c r="E3940" t="s">
        <v>72</v>
      </c>
      <c r="F3940" t="s">
        <v>80</v>
      </c>
    </row>
    <row r="3941" spans="1:6" x14ac:dyDescent="0.45">
      <c r="A3941">
        <v>45</v>
      </c>
      <c r="B3941">
        <v>12</v>
      </c>
      <c r="C3941">
        <v>17000</v>
      </c>
      <c r="D3941" t="s">
        <v>71</v>
      </c>
      <c r="E3941" t="s">
        <v>72</v>
      </c>
      <c r="F3941" t="s">
        <v>80</v>
      </c>
    </row>
    <row r="3942" spans="1:6" x14ac:dyDescent="0.45">
      <c r="A3942">
        <v>40</v>
      </c>
      <c r="B3942">
        <v>12</v>
      </c>
      <c r="C3942">
        <v>17000</v>
      </c>
      <c r="D3942" t="s">
        <v>71</v>
      </c>
      <c r="E3942" t="s">
        <v>72</v>
      </c>
      <c r="F3942" t="s">
        <v>80</v>
      </c>
    </row>
    <row r="3943" spans="1:6" x14ac:dyDescent="0.45">
      <c r="A3943">
        <v>40</v>
      </c>
      <c r="B3943">
        <v>12</v>
      </c>
      <c r="C3943">
        <v>17000</v>
      </c>
      <c r="D3943" t="s">
        <v>71</v>
      </c>
      <c r="E3943" t="s">
        <v>72</v>
      </c>
      <c r="F3943" t="s">
        <v>80</v>
      </c>
    </row>
    <row r="3944" spans="1:6" x14ac:dyDescent="0.45">
      <c r="A3944">
        <v>40</v>
      </c>
      <c r="B3944">
        <v>12</v>
      </c>
      <c r="C3944">
        <v>17000</v>
      </c>
      <c r="D3944" t="s">
        <v>71</v>
      </c>
      <c r="E3944" t="s">
        <v>74</v>
      </c>
      <c r="F3944" t="s">
        <v>80</v>
      </c>
    </row>
    <row r="3945" spans="1:6" x14ac:dyDescent="0.45">
      <c r="A3945">
        <v>40</v>
      </c>
      <c r="B3945">
        <v>12</v>
      </c>
      <c r="C3945">
        <v>17000</v>
      </c>
      <c r="D3945" t="s">
        <v>71</v>
      </c>
      <c r="E3945" t="s">
        <v>74</v>
      </c>
      <c r="F3945" t="s">
        <v>80</v>
      </c>
    </row>
    <row r="3946" spans="1:6" x14ac:dyDescent="0.45">
      <c r="A3946">
        <v>40</v>
      </c>
      <c r="B3946">
        <v>12</v>
      </c>
      <c r="C3946">
        <v>17000</v>
      </c>
      <c r="D3946" t="s">
        <v>71</v>
      </c>
      <c r="E3946" t="s">
        <v>72</v>
      </c>
      <c r="F3946" t="s">
        <v>80</v>
      </c>
    </row>
    <row r="3947" spans="1:6" x14ac:dyDescent="0.45">
      <c r="A3947">
        <v>0</v>
      </c>
      <c r="B3947">
        <v>12</v>
      </c>
      <c r="C3947">
        <v>17000</v>
      </c>
      <c r="D3947" t="s">
        <v>71</v>
      </c>
      <c r="E3947" t="s">
        <v>72</v>
      </c>
      <c r="F3947" t="s">
        <v>80</v>
      </c>
    </row>
    <row r="3948" spans="1:6" x14ac:dyDescent="0.45">
      <c r="A3948">
        <v>38</v>
      </c>
      <c r="B3948">
        <v>12</v>
      </c>
      <c r="C3948">
        <v>17000</v>
      </c>
      <c r="D3948" t="s">
        <v>71</v>
      </c>
      <c r="E3948" t="s">
        <v>72</v>
      </c>
      <c r="F3948" t="s">
        <v>80</v>
      </c>
    </row>
    <row r="3949" spans="1:6" x14ac:dyDescent="0.45">
      <c r="A3949">
        <v>40</v>
      </c>
      <c r="B3949">
        <v>12</v>
      </c>
      <c r="C3949">
        <v>17000</v>
      </c>
      <c r="D3949" t="s">
        <v>71</v>
      </c>
      <c r="E3949" t="s">
        <v>74</v>
      </c>
      <c r="F3949" t="s">
        <v>80</v>
      </c>
    </row>
    <row r="3950" spans="1:6" x14ac:dyDescent="0.45">
      <c r="A3950">
        <v>40</v>
      </c>
      <c r="B3950">
        <v>12</v>
      </c>
      <c r="C3950">
        <v>17000</v>
      </c>
      <c r="D3950" t="s">
        <v>71</v>
      </c>
      <c r="E3950" t="s">
        <v>74</v>
      </c>
      <c r="F3950" t="s">
        <v>80</v>
      </c>
    </row>
    <row r="3951" spans="1:6" x14ac:dyDescent="0.45">
      <c r="A3951">
        <v>40</v>
      </c>
      <c r="B3951">
        <v>12</v>
      </c>
      <c r="C3951">
        <v>17000</v>
      </c>
      <c r="D3951" t="s">
        <v>71</v>
      </c>
      <c r="E3951" t="s">
        <v>74</v>
      </c>
      <c r="F3951" t="s">
        <v>80</v>
      </c>
    </row>
    <row r="3952" spans="1:6" x14ac:dyDescent="0.45">
      <c r="A3952">
        <v>0</v>
      </c>
      <c r="B3952">
        <v>12</v>
      </c>
      <c r="C3952">
        <v>17000</v>
      </c>
      <c r="D3952" t="s">
        <v>76</v>
      </c>
      <c r="E3952" t="s">
        <v>72</v>
      </c>
      <c r="F3952" t="s">
        <v>80</v>
      </c>
    </row>
    <row r="3953" spans="1:6" x14ac:dyDescent="0.45">
      <c r="A3953">
        <v>45</v>
      </c>
      <c r="B3953">
        <v>12</v>
      </c>
      <c r="C3953">
        <v>17000</v>
      </c>
      <c r="D3953" t="s">
        <v>71</v>
      </c>
      <c r="E3953" t="s">
        <v>72</v>
      </c>
      <c r="F3953" t="s">
        <v>80</v>
      </c>
    </row>
    <row r="3954" spans="1:6" x14ac:dyDescent="0.45">
      <c r="A3954">
        <v>40</v>
      </c>
      <c r="B3954">
        <v>12</v>
      </c>
      <c r="C3954">
        <v>17000</v>
      </c>
      <c r="D3954" t="s">
        <v>71</v>
      </c>
      <c r="E3954" t="s">
        <v>74</v>
      </c>
      <c r="F3954" t="s">
        <v>80</v>
      </c>
    </row>
    <row r="3955" spans="1:6" x14ac:dyDescent="0.45">
      <c r="A3955">
        <v>40</v>
      </c>
      <c r="B3955">
        <v>12</v>
      </c>
      <c r="C3955">
        <v>17000</v>
      </c>
      <c r="D3955" t="s">
        <v>76</v>
      </c>
      <c r="E3955" t="s">
        <v>72</v>
      </c>
      <c r="F3955" t="s">
        <v>80</v>
      </c>
    </row>
    <row r="3956" spans="1:6" x14ac:dyDescent="0.45">
      <c r="A3956">
        <v>40</v>
      </c>
      <c r="B3956">
        <v>12</v>
      </c>
      <c r="C3956">
        <v>17000</v>
      </c>
      <c r="D3956" t="s">
        <v>76</v>
      </c>
      <c r="E3956" t="s">
        <v>74</v>
      </c>
      <c r="F3956" t="s">
        <v>80</v>
      </c>
    </row>
    <row r="3957" spans="1:6" x14ac:dyDescent="0.45">
      <c r="A3957">
        <v>40</v>
      </c>
      <c r="B3957">
        <v>12</v>
      </c>
      <c r="C3957">
        <v>17000</v>
      </c>
      <c r="D3957" t="s">
        <v>71</v>
      </c>
      <c r="E3957" t="s">
        <v>74</v>
      </c>
      <c r="F3957" t="s">
        <v>80</v>
      </c>
    </row>
    <row r="3958" spans="1:6" x14ac:dyDescent="0.45">
      <c r="A3958">
        <v>40</v>
      </c>
      <c r="B3958">
        <v>12</v>
      </c>
      <c r="C3958">
        <v>17000</v>
      </c>
      <c r="D3958" t="s">
        <v>76</v>
      </c>
      <c r="E3958" t="s">
        <v>72</v>
      </c>
      <c r="F3958" t="s">
        <v>80</v>
      </c>
    </row>
    <row r="3959" spans="1:6" x14ac:dyDescent="0.45">
      <c r="A3959">
        <v>40</v>
      </c>
      <c r="B3959">
        <v>12</v>
      </c>
      <c r="C3959">
        <v>17000</v>
      </c>
      <c r="D3959" t="s">
        <v>71</v>
      </c>
      <c r="E3959" t="s">
        <v>74</v>
      </c>
      <c r="F3959" t="s">
        <v>80</v>
      </c>
    </row>
    <row r="3960" spans="1:6" x14ac:dyDescent="0.45">
      <c r="A3960">
        <v>40</v>
      </c>
      <c r="B3960">
        <v>12</v>
      </c>
      <c r="C3960">
        <v>17000</v>
      </c>
      <c r="D3960" t="s">
        <v>71</v>
      </c>
      <c r="E3960" t="s">
        <v>72</v>
      </c>
      <c r="F3960" t="s">
        <v>80</v>
      </c>
    </row>
    <row r="3961" spans="1:6" x14ac:dyDescent="0.45">
      <c r="A3961">
        <v>45</v>
      </c>
      <c r="B3961">
        <v>12</v>
      </c>
      <c r="C3961">
        <v>17000</v>
      </c>
      <c r="D3961" t="s">
        <v>71</v>
      </c>
      <c r="E3961" t="s">
        <v>72</v>
      </c>
      <c r="F3961" t="s">
        <v>80</v>
      </c>
    </row>
    <row r="3962" spans="1:6" x14ac:dyDescent="0.45">
      <c r="A3962">
        <v>40</v>
      </c>
      <c r="B3962">
        <v>12</v>
      </c>
      <c r="C3962">
        <v>17000</v>
      </c>
      <c r="D3962" t="s">
        <v>76</v>
      </c>
      <c r="E3962" t="s">
        <v>72</v>
      </c>
      <c r="F3962" t="s">
        <v>80</v>
      </c>
    </row>
    <row r="3963" spans="1:6" x14ac:dyDescent="0.45">
      <c r="A3963">
        <v>40</v>
      </c>
      <c r="B3963">
        <v>12</v>
      </c>
      <c r="C3963">
        <v>17200</v>
      </c>
      <c r="D3963" t="s">
        <v>71</v>
      </c>
      <c r="E3963" t="s">
        <v>72</v>
      </c>
      <c r="F3963" t="s">
        <v>80</v>
      </c>
    </row>
    <row r="3964" spans="1:6" x14ac:dyDescent="0.45">
      <c r="A3964">
        <v>72</v>
      </c>
      <c r="B3964">
        <v>12</v>
      </c>
      <c r="C3964">
        <v>17360</v>
      </c>
      <c r="D3964" t="s">
        <v>71</v>
      </c>
      <c r="E3964" t="s">
        <v>72</v>
      </c>
      <c r="F3964" t="s">
        <v>80</v>
      </c>
    </row>
    <row r="3965" spans="1:6" x14ac:dyDescent="0.45">
      <c r="A3965">
        <v>40</v>
      </c>
      <c r="B3965">
        <v>12</v>
      </c>
      <c r="C3965">
        <v>17400</v>
      </c>
      <c r="D3965" t="s">
        <v>71</v>
      </c>
      <c r="E3965" t="s">
        <v>74</v>
      </c>
      <c r="F3965" t="s">
        <v>80</v>
      </c>
    </row>
    <row r="3966" spans="1:6" x14ac:dyDescent="0.45">
      <c r="A3966">
        <v>40</v>
      </c>
      <c r="B3966">
        <v>12</v>
      </c>
      <c r="C3966">
        <v>17500</v>
      </c>
      <c r="D3966" t="s">
        <v>71</v>
      </c>
      <c r="E3966" t="s">
        <v>72</v>
      </c>
      <c r="F3966" t="s">
        <v>80</v>
      </c>
    </row>
    <row r="3967" spans="1:6" x14ac:dyDescent="0.45">
      <c r="A3967">
        <v>40</v>
      </c>
      <c r="B3967">
        <v>12</v>
      </c>
      <c r="C3967">
        <v>17500</v>
      </c>
      <c r="D3967" t="s">
        <v>71</v>
      </c>
      <c r="E3967" t="s">
        <v>74</v>
      </c>
      <c r="F3967" t="s">
        <v>80</v>
      </c>
    </row>
    <row r="3968" spans="1:6" x14ac:dyDescent="0.45">
      <c r="A3968">
        <v>38</v>
      </c>
      <c r="B3968">
        <v>12</v>
      </c>
      <c r="C3968">
        <v>17500</v>
      </c>
      <c r="D3968" t="s">
        <v>71</v>
      </c>
      <c r="E3968" t="s">
        <v>72</v>
      </c>
      <c r="F3968" t="s">
        <v>80</v>
      </c>
    </row>
    <row r="3969" spans="1:6" x14ac:dyDescent="0.45">
      <c r="A3969">
        <v>40</v>
      </c>
      <c r="B3969">
        <v>12</v>
      </c>
      <c r="C3969">
        <v>17500</v>
      </c>
      <c r="D3969" t="s">
        <v>76</v>
      </c>
      <c r="E3969" t="s">
        <v>72</v>
      </c>
      <c r="F3969" t="s">
        <v>80</v>
      </c>
    </row>
    <row r="3970" spans="1:6" x14ac:dyDescent="0.45">
      <c r="A3970">
        <v>40</v>
      </c>
      <c r="B3970">
        <v>12</v>
      </c>
      <c r="C3970">
        <v>17600</v>
      </c>
      <c r="D3970" t="s">
        <v>76</v>
      </c>
      <c r="E3970" t="s">
        <v>72</v>
      </c>
      <c r="F3970" t="s">
        <v>80</v>
      </c>
    </row>
    <row r="3971" spans="1:6" x14ac:dyDescent="0.45">
      <c r="A3971">
        <v>38</v>
      </c>
      <c r="B3971">
        <v>12</v>
      </c>
      <c r="C3971">
        <v>17600</v>
      </c>
      <c r="D3971" t="s">
        <v>76</v>
      </c>
      <c r="E3971" t="s">
        <v>72</v>
      </c>
      <c r="F3971" t="s">
        <v>80</v>
      </c>
    </row>
    <row r="3972" spans="1:6" x14ac:dyDescent="0.45">
      <c r="A3972">
        <v>40</v>
      </c>
      <c r="B3972">
        <v>12</v>
      </c>
      <c r="C3972">
        <v>17680</v>
      </c>
      <c r="D3972" t="s">
        <v>71</v>
      </c>
      <c r="E3972" t="s">
        <v>72</v>
      </c>
      <c r="F3972" t="s">
        <v>80</v>
      </c>
    </row>
    <row r="3973" spans="1:6" x14ac:dyDescent="0.45">
      <c r="A3973">
        <v>40</v>
      </c>
      <c r="B3973">
        <v>12</v>
      </c>
      <c r="C3973">
        <v>17680</v>
      </c>
      <c r="D3973" t="s">
        <v>71</v>
      </c>
      <c r="E3973" t="s">
        <v>72</v>
      </c>
      <c r="F3973" t="s">
        <v>80</v>
      </c>
    </row>
    <row r="3974" spans="1:6" x14ac:dyDescent="0.45">
      <c r="A3974">
        <v>45</v>
      </c>
      <c r="B3974">
        <v>12</v>
      </c>
      <c r="C3974">
        <v>17680</v>
      </c>
      <c r="D3974" t="s">
        <v>71</v>
      </c>
      <c r="E3974" t="s">
        <v>72</v>
      </c>
      <c r="F3974" t="s">
        <v>80</v>
      </c>
    </row>
    <row r="3975" spans="1:6" x14ac:dyDescent="0.45">
      <c r="A3975">
        <v>40</v>
      </c>
      <c r="B3975">
        <v>12</v>
      </c>
      <c r="C3975">
        <v>17740</v>
      </c>
      <c r="D3975" t="s">
        <v>71</v>
      </c>
      <c r="E3975" t="s">
        <v>72</v>
      </c>
      <c r="F3975" t="s">
        <v>80</v>
      </c>
    </row>
    <row r="3976" spans="1:6" x14ac:dyDescent="0.45">
      <c r="A3976">
        <v>40</v>
      </c>
      <c r="B3976">
        <v>12</v>
      </c>
      <c r="C3976">
        <v>17755</v>
      </c>
      <c r="D3976" t="s">
        <v>71</v>
      </c>
      <c r="E3976" t="s">
        <v>74</v>
      </c>
      <c r="F3976" t="s">
        <v>80</v>
      </c>
    </row>
    <row r="3977" spans="1:6" x14ac:dyDescent="0.45">
      <c r="A3977">
        <v>40</v>
      </c>
      <c r="B3977">
        <v>12</v>
      </c>
      <c r="C3977">
        <v>17800</v>
      </c>
      <c r="D3977" t="s">
        <v>71</v>
      </c>
      <c r="E3977" t="s">
        <v>72</v>
      </c>
      <c r="F3977" t="s">
        <v>80</v>
      </c>
    </row>
    <row r="3978" spans="1:6" x14ac:dyDescent="0.45">
      <c r="A3978">
        <v>53</v>
      </c>
      <c r="B3978">
        <v>12</v>
      </c>
      <c r="C3978">
        <v>18000</v>
      </c>
      <c r="D3978" t="s">
        <v>71</v>
      </c>
      <c r="E3978" t="s">
        <v>72</v>
      </c>
      <c r="F3978" t="s">
        <v>80</v>
      </c>
    </row>
    <row r="3979" spans="1:6" x14ac:dyDescent="0.45">
      <c r="A3979">
        <v>40</v>
      </c>
      <c r="B3979">
        <v>12</v>
      </c>
      <c r="C3979">
        <v>18000</v>
      </c>
      <c r="D3979" t="s">
        <v>71</v>
      </c>
      <c r="E3979" t="s">
        <v>72</v>
      </c>
      <c r="F3979" t="s">
        <v>80</v>
      </c>
    </row>
    <row r="3980" spans="1:6" x14ac:dyDescent="0.45">
      <c r="A3980">
        <v>45</v>
      </c>
      <c r="B3980">
        <v>12</v>
      </c>
      <c r="C3980">
        <v>18000</v>
      </c>
      <c r="D3980" t="s">
        <v>71</v>
      </c>
      <c r="E3980" t="s">
        <v>72</v>
      </c>
      <c r="F3980" t="s">
        <v>80</v>
      </c>
    </row>
    <row r="3981" spans="1:6" x14ac:dyDescent="0.45">
      <c r="A3981">
        <v>38</v>
      </c>
      <c r="B3981">
        <v>12</v>
      </c>
      <c r="C3981">
        <v>18000</v>
      </c>
      <c r="D3981" t="s">
        <v>76</v>
      </c>
      <c r="E3981" t="s">
        <v>74</v>
      </c>
      <c r="F3981" t="s">
        <v>80</v>
      </c>
    </row>
    <row r="3982" spans="1:6" x14ac:dyDescent="0.45">
      <c r="A3982">
        <v>60</v>
      </c>
      <c r="B3982">
        <v>12</v>
      </c>
      <c r="C3982">
        <v>18000</v>
      </c>
      <c r="D3982" t="s">
        <v>71</v>
      </c>
      <c r="E3982" t="s">
        <v>72</v>
      </c>
      <c r="F3982" t="s">
        <v>80</v>
      </c>
    </row>
    <row r="3983" spans="1:6" x14ac:dyDescent="0.45">
      <c r="A3983">
        <v>40</v>
      </c>
      <c r="B3983">
        <v>12</v>
      </c>
      <c r="C3983">
        <v>18000</v>
      </c>
      <c r="D3983" t="s">
        <v>71</v>
      </c>
      <c r="E3983" t="s">
        <v>72</v>
      </c>
      <c r="F3983" t="s">
        <v>80</v>
      </c>
    </row>
    <row r="3984" spans="1:6" x14ac:dyDescent="0.45">
      <c r="A3984">
        <v>40</v>
      </c>
      <c r="B3984">
        <v>12</v>
      </c>
      <c r="C3984">
        <v>18000</v>
      </c>
      <c r="D3984" t="s">
        <v>71</v>
      </c>
      <c r="E3984" t="s">
        <v>72</v>
      </c>
      <c r="F3984" t="s">
        <v>80</v>
      </c>
    </row>
    <row r="3985" spans="1:6" x14ac:dyDescent="0.45">
      <c r="A3985">
        <v>40</v>
      </c>
      <c r="B3985">
        <v>12</v>
      </c>
      <c r="C3985">
        <v>18000</v>
      </c>
      <c r="D3985" t="s">
        <v>71</v>
      </c>
      <c r="E3985" t="s">
        <v>72</v>
      </c>
      <c r="F3985" t="s">
        <v>80</v>
      </c>
    </row>
    <row r="3986" spans="1:6" x14ac:dyDescent="0.45">
      <c r="A3986">
        <v>40</v>
      </c>
      <c r="B3986">
        <v>12</v>
      </c>
      <c r="C3986">
        <v>18000</v>
      </c>
      <c r="D3986" t="s">
        <v>71</v>
      </c>
      <c r="E3986" t="s">
        <v>72</v>
      </c>
      <c r="F3986" t="s">
        <v>80</v>
      </c>
    </row>
    <row r="3987" spans="1:6" x14ac:dyDescent="0.45">
      <c r="A3987">
        <v>0</v>
      </c>
      <c r="B3987">
        <v>12</v>
      </c>
      <c r="C3987">
        <v>18000</v>
      </c>
      <c r="D3987" t="s">
        <v>71</v>
      </c>
      <c r="E3987" t="s">
        <v>74</v>
      </c>
      <c r="F3987" t="s">
        <v>80</v>
      </c>
    </row>
    <row r="3988" spans="1:6" x14ac:dyDescent="0.45">
      <c r="A3988">
        <v>40</v>
      </c>
      <c r="B3988">
        <v>12</v>
      </c>
      <c r="C3988">
        <v>18000</v>
      </c>
      <c r="D3988" t="s">
        <v>71</v>
      </c>
      <c r="E3988" t="s">
        <v>72</v>
      </c>
      <c r="F3988" t="s">
        <v>80</v>
      </c>
    </row>
    <row r="3989" spans="1:6" x14ac:dyDescent="0.45">
      <c r="A3989">
        <v>40</v>
      </c>
      <c r="B3989">
        <v>12</v>
      </c>
      <c r="C3989">
        <v>18000</v>
      </c>
      <c r="D3989" t="s">
        <v>71</v>
      </c>
      <c r="E3989" t="s">
        <v>74</v>
      </c>
      <c r="F3989" t="s">
        <v>80</v>
      </c>
    </row>
    <row r="3990" spans="1:6" x14ac:dyDescent="0.45">
      <c r="A3990">
        <v>45</v>
      </c>
      <c r="B3990">
        <v>12</v>
      </c>
      <c r="C3990">
        <v>18000</v>
      </c>
      <c r="D3990" t="s">
        <v>71</v>
      </c>
      <c r="E3990" t="s">
        <v>72</v>
      </c>
      <c r="F3990" t="s">
        <v>80</v>
      </c>
    </row>
    <row r="3991" spans="1:6" x14ac:dyDescent="0.45">
      <c r="A3991">
        <v>40</v>
      </c>
      <c r="B3991">
        <v>12</v>
      </c>
      <c r="C3991">
        <v>18000</v>
      </c>
      <c r="D3991" t="s">
        <v>71</v>
      </c>
      <c r="E3991" t="s">
        <v>74</v>
      </c>
      <c r="F3991" t="s">
        <v>80</v>
      </c>
    </row>
    <row r="3992" spans="1:6" x14ac:dyDescent="0.45">
      <c r="A3992">
        <v>40</v>
      </c>
      <c r="B3992">
        <v>12</v>
      </c>
      <c r="C3992">
        <v>18000</v>
      </c>
      <c r="D3992" t="s">
        <v>71</v>
      </c>
      <c r="E3992" t="s">
        <v>74</v>
      </c>
      <c r="F3992" t="s">
        <v>80</v>
      </c>
    </row>
    <row r="3993" spans="1:6" x14ac:dyDescent="0.45">
      <c r="A3993">
        <v>40</v>
      </c>
      <c r="B3993">
        <v>12</v>
      </c>
      <c r="C3993">
        <v>18000</v>
      </c>
      <c r="D3993" t="s">
        <v>71</v>
      </c>
      <c r="E3993" t="s">
        <v>72</v>
      </c>
      <c r="F3993" t="s">
        <v>80</v>
      </c>
    </row>
    <row r="3994" spans="1:6" x14ac:dyDescent="0.45">
      <c r="A3994">
        <v>40</v>
      </c>
      <c r="B3994">
        <v>12</v>
      </c>
      <c r="C3994">
        <v>18000</v>
      </c>
      <c r="D3994" t="s">
        <v>71</v>
      </c>
      <c r="E3994" t="s">
        <v>72</v>
      </c>
      <c r="F3994" t="s">
        <v>80</v>
      </c>
    </row>
    <row r="3995" spans="1:6" x14ac:dyDescent="0.45">
      <c r="A3995">
        <v>40</v>
      </c>
      <c r="B3995">
        <v>12</v>
      </c>
      <c r="C3995">
        <v>18000</v>
      </c>
      <c r="D3995" t="s">
        <v>71</v>
      </c>
      <c r="E3995" t="s">
        <v>74</v>
      </c>
      <c r="F3995" t="s">
        <v>80</v>
      </c>
    </row>
    <row r="3996" spans="1:6" x14ac:dyDescent="0.45">
      <c r="A3996">
        <v>38</v>
      </c>
      <c r="B3996">
        <v>12</v>
      </c>
      <c r="C3996">
        <v>18000</v>
      </c>
      <c r="D3996" t="s">
        <v>71</v>
      </c>
      <c r="E3996" t="s">
        <v>72</v>
      </c>
      <c r="F3996" t="s">
        <v>80</v>
      </c>
    </row>
    <row r="3997" spans="1:6" x14ac:dyDescent="0.45">
      <c r="A3997">
        <v>48</v>
      </c>
      <c r="B3997">
        <v>12</v>
      </c>
      <c r="C3997">
        <v>18000</v>
      </c>
      <c r="D3997" t="s">
        <v>71</v>
      </c>
      <c r="E3997" t="s">
        <v>72</v>
      </c>
      <c r="F3997" t="s">
        <v>80</v>
      </c>
    </row>
    <row r="3998" spans="1:6" x14ac:dyDescent="0.45">
      <c r="A3998">
        <v>40</v>
      </c>
      <c r="B3998">
        <v>12</v>
      </c>
      <c r="C3998">
        <v>18000</v>
      </c>
      <c r="D3998" t="s">
        <v>71</v>
      </c>
      <c r="E3998" t="s">
        <v>72</v>
      </c>
      <c r="F3998" t="s">
        <v>80</v>
      </c>
    </row>
    <row r="3999" spans="1:6" x14ac:dyDescent="0.45">
      <c r="A3999">
        <v>40</v>
      </c>
      <c r="B3999">
        <v>12</v>
      </c>
      <c r="C3999">
        <v>18000</v>
      </c>
      <c r="D3999" t="s">
        <v>71</v>
      </c>
      <c r="E3999" t="s">
        <v>74</v>
      </c>
      <c r="F3999" t="s">
        <v>80</v>
      </c>
    </row>
    <row r="4000" spans="1:6" x14ac:dyDescent="0.45">
      <c r="A4000">
        <v>40</v>
      </c>
      <c r="B4000">
        <v>12</v>
      </c>
      <c r="C4000">
        <v>18000</v>
      </c>
      <c r="D4000" t="s">
        <v>71</v>
      </c>
      <c r="E4000" t="s">
        <v>74</v>
      </c>
      <c r="F4000" t="s">
        <v>80</v>
      </c>
    </row>
    <row r="4001" spans="1:6" x14ac:dyDescent="0.45">
      <c r="A4001">
        <v>35</v>
      </c>
      <c r="B4001">
        <v>12</v>
      </c>
      <c r="C4001">
        <v>18000</v>
      </c>
      <c r="D4001" t="s">
        <v>71</v>
      </c>
      <c r="E4001" t="s">
        <v>72</v>
      </c>
      <c r="F4001" t="s">
        <v>80</v>
      </c>
    </row>
    <row r="4002" spans="1:6" x14ac:dyDescent="0.45">
      <c r="A4002">
        <v>35</v>
      </c>
      <c r="B4002">
        <v>12</v>
      </c>
      <c r="C4002">
        <v>18000</v>
      </c>
      <c r="D4002" t="s">
        <v>71</v>
      </c>
      <c r="E4002" t="s">
        <v>72</v>
      </c>
      <c r="F4002" t="s">
        <v>80</v>
      </c>
    </row>
    <row r="4003" spans="1:6" x14ac:dyDescent="0.45">
      <c r="A4003">
        <v>40</v>
      </c>
      <c r="B4003">
        <v>12</v>
      </c>
      <c r="C4003">
        <v>18000</v>
      </c>
      <c r="D4003" t="s">
        <v>76</v>
      </c>
      <c r="E4003" t="s">
        <v>72</v>
      </c>
      <c r="F4003" t="s">
        <v>80</v>
      </c>
    </row>
    <row r="4004" spans="1:6" x14ac:dyDescent="0.45">
      <c r="A4004">
        <v>40</v>
      </c>
      <c r="B4004">
        <v>12</v>
      </c>
      <c r="C4004">
        <v>18000</v>
      </c>
      <c r="D4004" t="s">
        <v>71</v>
      </c>
      <c r="E4004" t="s">
        <v>72</v>
      </c>
      <c r="F4004" t="s">
        <v>80</v>
      </c>
    </row>
    <row r="4005" spans="1:6" x14ac:dyDescent="0.45">
      <c r="A4005">
        <v>40</v>
      </c>
      <c r="B4005">
        <v>12</v>
      </c>
      <c r="C4005">
        <v>18000</v>
      </c>
      <c r="D4005" t="s">
        <v>71</v>
      </c>
      <c r="E4005" t="s">
        <v>72</v>
      </c>
      <c r="F4005" t="s">
        <v>80</v>
      </c>
    </row>
    <row r="4006" spans="1:6" x14ac:dyDescent="0.45">
      <c r="A4006">
        <v>40</v>
      </c>
      <c r="B4006">
        <v>12</v>
      </c>
      <c r="C4006">
        <v>18000</v>
      </c>
      <c r="D4006" t="s">
        <v>71</v>
      </c>
      <c r="E4006" t="s">
        <v>72</v>
      </c>
      <c r="F4006" t="s">
        <v>80</v>
      </c>
    </row>
    <row r="4007" spans="1:6" x14ac:dyDescent="0.45">
      <c r="A4007">
        <v>65</v>
      </c>
      <c r="B4007">
        <v>12</v>
      </c>
      <c r="C4007">
        <v>18000</v>
      </c>
      <c r="D4007" t="s">
        <v>71</v>
      </c>
      <c r="E4007" t="s">
        <v>74</v>
      </c>
      <c r="F4007" t="s">
        <v>80</v>
      </c>
    </row>
    <row r="4008" spans="1:6" x14ac:dyDescent="0.45">
      <c r="A4008">
        <v>45</v>
      </c>
      <c r="B4008">
        <v>12</v>
      </c>
      <c r="C4008">
        <v>18000</v>
      </c>
      <c r="D4008" t="s">
        <v>71</v>
      </c>
      <c r="E4008" t="s">
        <v>72</v>
      </c>
      <c r="F4008" t="s">
        <v>80</v>
      </c>
    </row>
    <row r="4009" spans="1:6" x14ac:dyDescent="0.45">
      <c r="A4009">
        <v>40</v>
      </c>
      <c r="B4009">
        <v>12</v>
      </c>
      <c r="C4009">
        <v>18000</v>
      </c>
      <c r="D4009" t="s">
        <v>71</v>
      </c>
      <c r="E4009" t="s">
        <v>72</v>
      </c>
      <c r="F4009" t="s">
        <v>80</v>
      </c>
    </row>
    <row r="4010" spans="1:6" x14ac:dyDescent="0.45">
      <c r="A4010">
        <v>70</v>
      </c>
      <c r="B4010">
        <v>12</v>
      </c>
      <c r="C4010">
        <v>18000</v>
      </c>
      <c r="D4010" t="s">
        <v>71</v>
      </c>
      <c r="E4010" t="s">
        <v>74</v>
      </c>
      <c r="F4010" t="s">
        <v>80</v>
      </c>
    </row>
    <row r="4011" spans="1:6" x14ac:dyDescent="0.45">
      <c r="A4011">
        <v>40</v>
      </c>
      <c r="B4011">
        <v>12</v>
      </c>
      <c r="C4011">
        <v>18000</v>
      </c>
      <c r="D4011" t="s">
        <v>71</v>
      </c>
      <c r="E4011" t="s">
        <v>72</v>
      </c>
      <c r="F4011" t="s">
        <v>80</v>
      </c>
    </row>
    <row r="4012" spans="1:6" x14ac:dyDescent="0.45">
      <c r="A4012">
        <v>40</v>
      </c>
      <c r="B4012">
        <v>12</v>
      </c>
      <c r="C4012">
        <v>18000</v>
      </c>
      <c r="D4012" t="s">
        <v>71</v>
      </c>
      <c r="E4012" t="s">
        <v>72</v>
      </c>
      <c r="F4012" t="s">
        <v>80</v>
      </c>
    </row>
    <row r="4013" spans="1:6" x14ac:dyDescent="0.45">
      <c r="A4013">
        <v>45</v>
      </c>
      <c r="B4013">
        <v>12</v>
      </c>
      <c r="C4013">
        <v>18000</v>
      </c>
      <c r="D4013" t="s">
        <v>71</v>
      </c>
      <c r="E4013" t="s">
        <v>72</v>
      </c>
      <c r="F4013" t="s">
        <v>80</v>
      </c>
    </row>
    <row r="4014" spans="1:6" x14ac:dyDescent="0.45">
      <c r="A4014">
        <v>40</v>
      </c>
      <c r="B4014">
        <v>12</v>
      </c>
      <c r="C4014">
        <v>18000</v>
      </c>
      <c r="D4014" t="s">
        <v>71</v>
      </c>
      <c r="E4014" t="s">
        <v>72</v>
      </c>
      <c r="F4014" t="s">
        <v>80</v>
      </c>
    </row>
    <row r="4015" spans="1:6" x14ac:dyDescent="0.45">
      <c r="A4015">
        <v>60</v>
      </c>
      <c r="B4015">
        <v>12</v>
      </c>
      <c r="C4015">
        <v>18000</v>
      </c>
      <c r="D4015" t="s">
        <v>71</v>
      </c>
      <c r="E4015" t="s">
        <v>74</v>
      </c>
      <c r="F4015" t="s">
        <v>80</v>
      </c>
    </row>
    <row r="4016" spans="1:6" x14ac:dyDescent="0.45">
      <c r="A4016">
        <v>40</v>
      </c>
      <c r="B4016">
        <v>12</v>
      </c>
      <c r="C4016">
        <v>18000</v>
      </c>
      <c r="D4016" t="s">
        <v>71</v>
      </c>
      <c r="E4016" t="s">
        <v>72</v>
      </c>
      <c r="F4016" t="s">
        <v>80</v>
      </c>
    </row>
    <row r="4017" spans="1:6" x14ac:dyDescent="0.45">
      <c r="A4017">
        <v>50</v>
      </c>
      <c r="B4017">
        <v>12</v>
      </c>
      <c r="C4017">
        <v>18000</v>
      </c>
      <c r="D4017" t="s">
        <v>76</v>
      </c>
      <c r="E4017" t="s">
        <v>72</v>
      </c>
      <c r="F4017" t="s">
        <v>80</v>
      </c>
    </row>
    <row r="4018" spans="1:6" x14ac:dyDescent="0.45">
      <c r="A4018">
        <v>40</v>
      </c>
      <c r="B4018">
        <v>12</v>
      </c>
      <c r="C4018">
        <v>18000</v>
      </c>
      <c r="D4018" t="s">
        <v>76</v>
      </c>
      <c r="E4018" t="s">
        <v>72</v>
      </c>
      <c r="F4018" t="s">
        <v>80</v>
      </c>
    </row>
    <row r="4019" spans="1:6" x14ac:dyDescent="0.45">
      <c r="A4019">
        <v>0</v>
      </c>
      <c r="B4019">
        <v>12</v>
      </c>
      <c r="C4019">
        <v>18000</v>
      </c>
      <c r="D4019" t="s">
        <v>76</v>
      </c>
      <c r="E4019" t="s">
        <v>74</v>
      </c>
      <c r="F4019" t="s">
        <v>80</v>
      </c>
    </row>
    <row r="4020" spans="1:6" x14ac:dyDescent="0.45">
      <c r="A4020">
        <v>40</v>
      </c>
      <c r="B4020">
        <v>12</v>
      </c>
      <c r="C4020">
        <v>18000</v>
      </c>
      <c r="D4020" t="s">
        <v>71</v>
      </c>
      <c r="E4020" t="s">
        <v>72</v>
      </c>
      <c r="F4020" t="s">
        <v>80</v>
      </c>
    </row>
    <row r="4021" spans="1:6" x14ac:dyDescent="0.45">
      <c r="A4021">
        <v>40</v>
      </c>
      <c r="B4021">
        <v>12</v>
      </c>
      <c r="C4021">
        <v>18000</v>
      </c>
      <c r="D4021" t="s">
        <v>71</v>
      </c>
      <c r="E4021" t="s">
        <v>72</v>
      </c>
      <c r="F4021" t="s">
        <v>80</v>
      </c>
    </row>
    <row r="4022" spans="1:6" x14ac:dyDescent="0.45">
      <c r="A4022">
        <v>40</v>
      </c>
      <c r="B4022">
        <v>12</v>
      </c>
      <c r="C4022">
        <v>18000</v>
      </c>
      <c r="D4022" t="s">
        <v>71</v>
      </c>
      <c r="E4022" t="s">
        <v>74</v>
      </c>
      <c r="F4022" t="s">
        <v>80</v>
      </c>
    </row>
    <row r="4023" spans="1:6" x14ac:dyDescent="0.45">
      <c r="A4023">
        <v>40</v>
      </c>
      <c r="B4023">
        <v>12</v>
      </c>
      <c r="C4023">
        <v>18000</v>
      </c>
      <c r="D4023" t="s">
        <v>71</v>
      </c>
      <c r="E4023" t="s">
        <v>72</v>
      </c>
      <c r="F4023" t="s">
        <v>80</v>
      </c>
    </row>
    <row r="4024" spans="1:6" x14ac:dyDescent="0.45">
      <c r="A4024">
        <v>40</v>
      </c>
      <c r="B4024">
        <v>12</v>
      </c>
      <c r="C4024">
        <v>18000</v>
      </c>
      <c r="D4024" t="s">
        <v>71</v>
      </c>
      <c r="E4024" t="s">
        <v>72</v>
      </c>
      <c r="F4024" t="s">
        <v>80</v>
      </c>
    </row>
    <row r="4025" spans="1:6" x14ac:dyDescent="0.45">
      <c r="A4025">
        <v>40</v>
      </c>
      <c r="B4025">
        <v>12</v>
      </c>
      <c r="C4025">
        <v>18000</v>
      </c>
      <c r="D4025" t="s">
        <v>71</v>
      </c>
      <c r="E4025" t="s">
        <v>72</v>
      </c>
      <c r="F4025" t="s">
        <v>80</v>
      </c>
    </row>
    <row r="4026" spans="1:6" x14ac:dyDescent="0.45">
      <c r="A4026">
        <v>36</v>
      </c>
      <c r="B4026">
        <v>12</v>
      </c>
      <c r="C4026">
        <v>18000</v>
      </c>
      <c r="D4026" t="s">
        <v>71</v>
      </c>
      <c r="E4026" t="s">
        <v>74</v>
      </c>
      <c r="F4026" t="s">
        <v>80</v>
      </c>
    </row>
    <row r="4027" spans="1:6" x14ac:dyDescent="0.45">
      <c r="A4027">
        <v>40</v>
      </c>
      <c r="B4027">
        <v>12</v>
      </c>
      <c r="C4027">
        <v>18000</v>
      </c>
      <c r="D4027" t="s">
        <v>76</v>
      </c>
      <c r="E4027" t="s">
        <v>72</v>
      </c>
      <c r="F4027" t="s">
        <v>80</v>
      </c>
    </row>
    <row r="4028" spans="1:6" x14ac:dyDescent="0.45">
      <c r="A4028">
        <v>45</v>
      </c>
      <c r="B4028">
        <v>12</v>
      </c>
      <c r="C4028">
        <v>18000</v>
      </c>
      <c r="D4028" t="s">
        <v>71</v>
      </c>
      <c r="E4028" t="s">
        <v>72</v>
      </c>
      <c r="F4028" t="s">
        <v>80</v>
      </c>
    </row>
    <row r="4029" spans="1:6" x14ac:dyDescent="0.45">
      <c r="A4029">
        <v>40</v>
      </c>
      <c r="B4029">
        <v>12</v>
      </c>
      <c r="C4029">
        <v>18000</v>
      </c>
      <c r="D4029" t="s">
        <v>71</v>
      </c>
      <c r="E4029" t="s">
        <v>74</v>
      </c>
      <c r="F4029" t="s">
        <v>80</v>
      </c>
    </row>
    <row r="4030" spans="1:6" x14ac:dyDescent="0.45">
      <c r="A4030">
        <v>40</v>
      </c>
      <c r="B4030">
        <v>12</v>
      </c>
      <c r="C4030">
        <v>18000</v>
      </c>
      <c r="D4030" t="s">
        <v>71</v>
      </c>
      <c r="E4030" t="s">
        <v>72</v>
      </c>
      <c r="F4030" t="s">
        <v>80</v>
      </c>
    </row>
    <row r="4031" spans="1:6" x14ac:dyDescent="0.45">
      <c r="A4031">
        <v>40</v>
      </c>
      <c r="B4031">
        <v>12</v>
      </c>
      <c r="C4031">
        <v>18005</v>
      </c>
      <c r="D4031" t="s">
        <v>71</v>
      </c>
      <c r="E4031" t="s">
        <v>74</v>
      </c>
      <c r="F4031" t="s">
        <v>80</v>
      </c>
    </row>
    <row r="4032" spans="1:6" x14ac:dyDescent="0.45">
      <c r="A4032">
        <v>40</v>
      </c>
      <c r="B4032">
        <v>12</v>
      </c>
      <c r="C4032">
        <v>18200</v>
      </c>
      <c r="D4032" t="s">
        <v>76</v>
      </c>
      <c r="E4032" t="s">
        <v>74</v>
      </c>
      <c r="F4032" t="s">
        <v>80</v>
      </c>
    </row>
    <row r="4033" spans="1:6" x14ac:dyDescent="0.45">
      <c r="A4033">
        <v>40</v>
      </c>
      <c r="B4033">
        <v>12</v>
      </c>
      <c r="C4033">
        <v>18200</v>
      </c>
      <c r="D4033" t="s">
        <v>71</v>
      </c>
      <c r="E4033" t="s">
        <v>74</v>
      </c>
      <c r="F4033" t="s">
        <v>80</v>
      </c>
    </row>
    <row r="4034" spans="1:6" x14ac:dyDescent="0.45">
      <c r="A4034">
        <v>0</v>
      </c>
      <c r="B4034">
        <v>12</v>
      </c>
      <c r="C4034">
        <v>18200</v>
      </c>
      <c r="D4034" t="s">
        <v>71</v>
      </c>
      <c r="E4034" t="s">
        <v>72</v>
      </c>
      <c r="F4034" t="s">
        <v>80</v>
      </c>
    </row>
    <row r="4035" spans="1:6" x14ac:dyDescent="0.45">
      <c r="A4035">
        <v>40</v>
      </c>
      <c r="B4035">
        <v>12</v>
      </c>
      <c r="C4035">
        <v>18200</v>
      </c>
      <c r="D4035" t="s">
        <v>76</v>
      </c>
      <c r="E4035" t="s">
        <v>74</v>
      </c>
      <c r="F4035" t="s">
        <v>80</v>
      </c>
    </row>
    <row r="4036" spans="1:6" x14ac:dyDescent="0.45">
      <c r="A4036">
        <v>40</v>
      </c>
      <c r="B4036">
        <v>12</v>
      </c>
      <c r="C4036">
        <v>18200</v>
      </c>
      <c r="D4036" t="s">
        <v>71</v>
      </c>
      <c r="E4036" t="s">
        <v>74</v>
      </c>
      <c r="F4036" t="s">
        <v>80</v>
      </c>
    </row>
    <row r="4037" spans="1:6" x14ac:dyDescent="0.45">
      <c r="A4037">
        <v>46</v>
      </c>
      <c r="B4037">
        <v>12</v>
      </c>
      <c r="C4037">
        <v>18300</v>
      </c>
      <c r="D4037" t="s">
        <v>71</v>
      </c>
      <c r="E4037" t="s">
        <v>72</v>
      </c>
      <c r="F4037" t="s">
        <v>80</v>
      </c>
    </row>
    <row r="4038" spans="1:6" x14ac:dyDescent="0.45">
      <c r="A4038">
        <v>40</v>
      </c>
      <c r="B4038">
        <v>12</v>
      </c>
      <c r="C4038">
        <v>18320</v>
      </c>
      <c r="D4038" t="s">
        <v>71</v>
      </c>
      <c r="E4038" t="s">
        <v>72</v>
      </c>
      <c r="F4038" t="s">
        <v>80</v>
      </c>
    </row>
    <row r="4039" spans="1:6" x14ac:dyDescent="0.45">
      <c r="A4039">
        <v>41</v>
      </c>
      <c r="B4039">
        <v>12</v>
      </c>
      <c r="C4039">
        <v>18365</v>
      </c>
      <c r="D4039" t="s">
        <v>71</v>
      </c>
      <c r="E4039" t="s">
        <v>72</v>
      </c>
      <c r="F4039" t="s">
        <v>80</v>
      </c>
    </row>
    <row r="4040" spans="1:6" x14ac:dyDescent="0.45">
      <c r="A4040">
        <v>50</v>
      </c>
      <c r="B4040">
        <v>12</v>
      </c>
      <c r="C4040">
        <v>18500</v>
      </c>
      <c r="D4040" t="s">
        <v>76</v>
      </c>
      <c r="E4040" t="s">
        <v>72</v>
      </c>
      <c r="F4040" t="s">
        <v>80</v>
      </c>
    </row>
    <row r="4041" spans="1:6" x14ac:dyDescent="0.45">
      <c r="A4041">
        <v>40</v>
      </c>
      <c r="B4041">
        <v>12</v>
      </c>
      <c r="C4041">
        <v>18500</v>
      </c>
      <c r="D4041" t="s">
        <v>71</v>
      </c>
      <c r="E4041" t="s">
        <v>72</v>
      </c>
      <c r="F4041" t="s">
        <v>80</v>
      </c>
    </row>
    <row r="4042" spans="1:6" x14ac:dyDescent="0.45">
      <c r="A4042">
        <v>40</v>
      </c>
      <c r="B4042">
        <v>12</v>
      </c>
      <c r="C4042">
        <v>18600</v>
      </c>
      <c r="D4042" t="s">
        <v>71</v>
      </c>
      <c r="E4042" t="s">
        <v>74</v>
      </c>
      <c r="F4042" t="s">
        <v>80</v>
      </c>
    </row>
    <row r="4043" spans="1:6" x14ac:dyDescent="0.45">
      <c r="A4043">
        <v>40</v>
      </c>
      <c r="B4043">
        <v>12</v>
      </c>
      <c r="C4043">
        <v>18600</v>
      </c>
      <c r="D4043" t="s">
        <v>71</v>
      </c>
      <c r="E4043" t="s">
        <v>74</v>
      </c>
      <c r="F4043" t="s">
        <v>80</v>
      </c>
    </row>
    <row r="4044" spans="1:6" x14ac:dyDescent="0.45">
      <c r="A4044">
        <v>48</v>
      </c>
      <c r="B4044">
        <v>12</v>
      </c>
      <c r="C4044">
        <v>18700</v>
      </c>
      <c r="D4044" t="s">
        <v>71</v>
      </c>
      <c r="E4044" t="s">
        <v>72</v>
      </c>
      <c r="F4044" t="s">
        <v>80</v>
      </c>
    </row>
    <row r="4045" spans="1:6" x14ac:dyDescent="0.45">
      <c r="A4045">
        <v>52</v>
      </c>
      <c r="B4045">
        <v>12</v>
      </c>
      <c r="C4045">
        <v>18720</v>
      </c>
      <c r="D4045" t="s">
        <v>76</v>
      </c>
      <c r="E4045" t="s">
        <v>74</v>
      </c>
      <c r="F4045" t="s">
        <v>80</v>
      </c>
    </row>
    <row r="4046" spans="1:6" x14ac:dyDescent="0.45">
      <c r="A4046">
        <v>40</v>
      </c>
      <c r="B4046">
        <v>12</v>
      </c>
      <c r="C4046">
        <v>18720</v>
      </c>
      <c r="D4046" t="s">
        <v>71</v>
      </c>
      <c r="E4046" t="s">
        <v>74</v>
      </c>
      <c r="F4046" t="s">
        <v>80</v>
      </c>
    </row>
    <row r="4047" spans="1:6" x14ac:dyDescent="0.45">
      <c r="A4047">
        <v>40</v>
      </c>
      <c r="B4047">
        <v>12</v>
      </c>
      <c r="C4047">
        <v>18720</v>
      </c>
      <c r="D4047" t="s">
        <v>71</v>
      </c>
      <c r="E4047" t="s">
        <v>74</v>
      </c>
      <c r="F4047" t="s">
        <v>80</v>
      </c>
    </row>
    <row r="4048" spans="1:6" x14ac:dyDescent="0.45">
      <c r="A4048">
        <v>40</v>
      </c>
      <c r="B4048">
        <v>12</v>
      </c>
      <c r="C4048">
        <v>18720</v>
      </c>
      <c r="D4048" t="s">
        <v>71</v>
      </c>
      <c r="E4048" t="s">
        <v>74</v>
      </c>
      <c r="F4048" t="s">
        <v>80</v>
      </c>
    </row>
    <row r="4049" spans="1:6" x14ac:dyDescent="0.45">
      <c r="A4049">
        <v>40</v>
      </c>
      <c r="B4049">
        <v>12</v>
      </c>
      <c r="C4049">
        <v>18720</v>
      </c>
      <c r="D4049" t="s">
        <v>76</v>
      </c>
      <c r="E4049" t="s">
        <v>74</v>
      </c>
      <c r="F4049" t="s">
        <v>80</v>
      </c>
    </row>
    <row r="4050" spans="1:6" x14ac:dyDescent="0.45">
      <c r="A4050">
        <v>40</v>
      </c>
      <c r="B4050">
        <v>12</v>
      </c>
      <c r="C4050">
        <v>18746</v>
      </c>
      <c r="D4050" t="s">
        <v>76</v>
      </c>
      <c r="E4050" t="s">
        <v>74</v>
      </c>
      <c r="F4050" t="s">
        <v>80</v>
      </c>
    </row>
    <row r="4051" spans="1:6" x14ac:dyDescent="0.45">
      <c r="A4051">
        <v>40</v>
      </c>
      <c r="B4051">
        <v>12</v>
      </c>
      <c r="C4051">
        <v>18800</v>
      </c>
      <c r="D4051" t="s">
        <v>76</v>
      </c>
      <c r="E4051" t="s">
        <v>74</v>
      </c>
      <c r="F4051" t="s">
        <v>80</v>
      </c>
    </row>
    <row r="4052" spans="1:6" x14ac:dyDescent="0.45">
      <c r="A4052">
        <v>40</v>
      </c>
      <c r="B4052">
        <v>12</v>
      </c>
      <c r="C4052">
        <v>18800</v>
      </c>
      <c r="D4052" t="s">
        <v>76</v>
      </c>
      <c r="E4052" t="s">
        <v>74</v>
      </c>
      <c r="F4052" t="s">
        <v>80</v>
      </c>
    </row>
    <row r="4053" spans="1:6" x14ac:dyDescent="0.45">
      <c r="A4053">
        <v>40</v>
      </c>
      <c r="B4053">
        <v>12</v>
      </c>
      <c r="C4053">
        <v>19000</v>
      </c>
      <c r="D4053" t="s">
        <v>71</v>
      </c>
      <c r="E4053" t="s">
        <v>72</v>
      </c>
      <c r="F4053" t="s">
        <v>80</v>
      </c>
    </row>
    <row r="4054" spans="1:6" x14ac:dyDescent="0.45">
      <c r="A4054">
        <v>40</v>
      </c>
      <c r="B4054">
        <v>12</v>
      </c>
      <c r="C4054">
        <v>19000</v>
      </c>
      <c r="D4054" t="s">
        <v>71</v>
      </c>
      <c r="E4054" t="s">
        <v>72</v>
      </c>
      <c r="F4054" t="s">
        <v>80</v>
      </c>
    </row>
    <row r="4055" spans="1:6" x14ac:dyDescent="0.45">
      <c r="A4055">
        <v>40</v>
      </c>
      <c r="B4055">
        <v>12</v>
      </c>
      <c r="C4055">
        <v>19000</v>
      </c>
      <c r="D4055" t="s">
        <v>71</v>
      </c>
      <c r="E4055" t="s">
        <v>72</v>
      </c>
      <c r="F4055" t="s">
        <v>80</v>
      </c>
    </row>
    <row r="4056" spans="1:6" x14ac:dyDescent="0.45">
      <c r="A4056">
        <v>40</v>
      </c>
      <c r="B4056">
        <v>12</v>
      </c>
      <c r="C4056">
        <v>19000</v>
      </c>
      <c r="D4056" t="s">
        <v>71</v>
      </c>
      <c r="E4056" t="s">
        <v>72</v>
      </c>
      <c r="F4056" t="s">
        <v>80</v>
      </c>
    </row>
    <row r="4057" spans="1:6" x14ac:dyDescent="0.45">
      <c r="A4057">
        <v>40</v>
      </c>
      <c r="B4057">
        <v>12</v>
      </c>
      <c r="C4057">
        <v>19000</v>
      </c>
      <c r="D4057" t="s">
        <v>71</v>
      </c>
      <c r="E4057" t="s">
        <v>74</v>
      </c>
      <c r="F4057" t="s">
        <v>80</v>
      </c>
    </row>
    <row r="4058" spans="1:6" x14ac:dyDescent="0.45">
      <c r="A4058">
        <v>48</v>
      </c>
      <c r="B4058">
        <v>12</v>
      </c>
      <c r="C4058">
        <v>19000</v>
      </c>
      <c r="D4058" t="s">
        <v>71</v>
      </c>
      <c r="E4058" t="s">
        <v>72</v>
      </c>
      <c r="F4058" t="s">
        <v>80</v>
      </c>
    </row>
    <row r="4059" spans="1:6" x14ac:dyDescent="0.45">
      <c r="A4059">
        <v>40</v>
      </c>
      <c r="B4059">
        <v>12</v>
      </c>
      <c r="C4059">
        <v>19000</v>
      </c>
      <c r="D4059" t="s">
        <v>71</v>
      </c>
      <c r="E4059" t="s">
        <v>74</v>
      </c>
      <c r="F4059" t="s">
        <v>80</v>
      </c>
    </row>
    <row r="4060" spans="1:6" x14ac:dyDescent="0.45">
      <c r="A4060">
        <v>40</v>
      </c>
      <c r="B4060">
        <v>12</v>
      </c>
      <c r="C4060">
        <v>19000</v>
      </c>
      <c r="D4060" t="s">
        <v>71</v>
      </c>
      <c r="E4060" t="s">
        <v>72</v>
      </c>
      <c r="F4060" t="s">
        <v>80</v>
      </c>
    </row>
    <row r="4061" spans="1:6" x14ac:dyDescent="0.45">
      <c r="A4061">
        <v>40</v>
      </c>
      <c r="B4061">
        <v>12</v>
      </c>
      <c r="C4061">
        <v>19000</v>
      </c>
      <c r="D4061" t="s">
        <v>71</v>
      </c>
      <c r="E4061" t="s">
        <v>72</v>
      </c>
      <c r="F4061" t="s">
        <v>80</v>
      </c>
    </row>
    <row r="4062" spans="1:6" x14ac:dyDescent="0.45">
      <c r="A4062">
        <v>50</v>
      </c>
      <c r="B4062">
        <v>12</v>
      </c>
      <c r="C4062">
        <v>19000</v>
      </c>
      <c r="D4062" t="s">
        <v>71</v>
      </c>
      <c r="E4062" t="s">
        <v>72</v>
      </c>
      <c r="F4062" t="s">
        <v>80</v>
      </c>
    </row>
    <row r="4063" spans="1:6" x14ac:dyDescent="0.45">
      <c r="A4063">
        <v>40</v>
      </c>
      <c r="B4063">
        <v>12</v>
      </c>
      <c r="C4063">
        <v>19000</v>
      </c>
      <c r="D4063" t="s">
        <v>71</v>
      </c>
      <c r="E4063" t="s">
        <v>74</v>
      </c>
      <c r="F4063" t="s">
        <v>80</v>
      </c>
    </row>
    <row r="4064" spans="1:6" x14ac:dyDescent="0.45">
      <c r="A4064">
        <v>40</v>
      </c>
      <c r="B4064">
        <v>12</v>
      </c>
      <c r="C4064">
        <v>19000</v>
      </c>
      <c r="D4064" t="s">
        <v>71</v>
      </c>
      <c r="E4064" t="s">
        <v>72</v>
      </c>
      <c r="F4064" t="s">
        <v>80</v>
      </c>
    </row>
    <row r="4065" spans="1:6" x14ac:dyDescent="0.45">
      <c r="A4065">
        <v>40</v>
      </c>
      <c r="B4065">
        <v>12</v>
      </c>
      <c r="C4065">
        <v>19000</v>
      </c>
      <c r="D4065" t="s">
        <v>71</v>
      </c>
      <c r="E4065" t="s">
        <v>72</v>
      </c>
      <c r="F4065" t="s">
        <v>80</v>
      </c>
    </row>
    <row r="4066" spans="1:6" x14ac:dyDescent="0.45">
      <c r="A4066">
        <v>40</v>
      </c>
      <c r="B4066">
        <v>12</v>
      </c>
      <c r="C4066">
        <v>19000</v>
      </c>
      <c r="D4066" t="s">
        <v>71</v>
      </c>
      <c r="E4066" t="s">
        <v>74</v>
      </c>
      <c r="F4066" t="s">
        <v>80</v>
      </c>
    </row>
    <row r="4067" spans="1:6" x14ac:dyDescent="0.45">
      <c r="A4067">
        <v>60</v>
      </c>
      <c r="B4067">
        <v>12</v>
      </c>
      <c r="C4067">
        <v>19000</v>
      </c>
      <c r="D4067" t="s">
        <v>71</v>
      </c>
      <c r="E4067" t="s">
        <v>74</v>
      </c>
      <c r="F4067" t="s">
        <v>80</v>
      </c>
    </row>
    <row r="4068" spans="1:6" x14ac:dyDescent="0.45">
      <c r="A4068">
        <v>50</v>
      </c>
      <c r="B4068">
        <v>12</v>
      </c>
      <c r="C4068">
        <v>19000</v>
      </c>
      <c r="D4068" t="s">
        <v>71</v>
      </c>
      <c r="E4068" t="s">
        <v>74</v>
      </c>
      <c r="F4068" t="s">
        <v>80</v>
      </c>
    </row>
    <row r="4069" spans="1:6" x14ac:dyDescent="0.45">
      <c r="A4069">
        <v>40</v>
      </c>
      <c r="B4069">
        <v>12</v>
      </c>
      <c r="C4069">
        <v>19000</v>
      </c>
      <c r="D4069" t="s">
        <v>71</v>
      </c>
      <c r="E4069" t="s">
        <v>72</v>
      </c>
      <c r="F4069" t="s">
        <v>80</v>
      </c>
    </row>
    <row r="4070" spans="1:6" x14ac:dyDescent="0.45">
      <c r="A4070">
        <v>40</v>
      </c>
      <c r="B4070">
        <v>12</v>
      </c>
      <c r="C4070">
        <v>19000</v>
      </c>
      <c r="D4070" t="s">
        <v>76</v>
      </c>
      <c r="E4070" t="s">
        <v>74</v>
      </c>
      <c r="F4070" t="s">
        <v>80</v>
      </c>
    </row>
    <row r="4071" spans="1:6" x14ac:dyDescent="0.45">
      <c r="A4071">
        <v>40</v>
      </c>
      <c r="B4071">
        <v>12</v>
      </c>
      <c r="C4071">
        <v>19000</v>
      </c>
      <c r="D4071" t="s">
        <v>71</v>
      </c>
      <c r="E4071" t="s">
        <v>72</v>
      </c>
      <c r="F4071" t="s">
        <v>80</v>
      </c>
    </row>
    <row r="4072" spans="1:6" x14ac:dyDescent="0.45">
      <c r="A4072">
        <v>40</v>
      </c>
      <c r="B4072">
        <v>12</v>
      </c>
      <c r="C4072">
        <v>19000</v>
      </c>
      <c r="D4072" t="s">
        <v>71</v>
      </c>
      <c r="E4072" t="s">
        <v>72</v>
      </c>
      <c r="F4072" t="s">
        <v>80</v>
      </c>
    </row>
    <row r="4073" spans="1:6" x14ac:dyDescent="0.45">
      <c r="A4073">
        <v>40</v>
      </c>
      <c r="B4073">
        <v>12</v>
      </c>
      <c r="C4073">
        <v>19000</v>
      </c>
      <c r="D4073" t="s">
        <v>71</v>
      </c>
      <c r="E4073" t="s">
        <v>74</v>
      </c>
      <c r="F4073" t="s">
        <v>80</v>
      </c>
    </row>
    <row r="4074" spans="1:6" x14ac:dyDescent="0.45">
      <c r="A4074">
        <v>40</v>
      </c>
      <c r="B4074">
        <v>12</v>
      </c>
      <c r="C4074">
        <v>19000</v>
      </c>
      <c r="D4074" t="s">
        <v>71</v>
      </c>
      <c r="E4074" t="s">
        <v>72</v>
      </c>
      <c r="F4074" t="s">
        <v>80</v>
      </c>
    </row>
    <row r="4075" spans="1:6" x14ac:dyDescent="0.45">
      <c r="A4075">
        <v>40</v>
      </c>
      <c r="B4075">
        <v>12</v>
      </c>
      <c r="C4075">
        <v>19000</v>
      </c>
      <c r="D4075" t="s">
        <v>71</v>
      </c>
      <c r="E4075" t="s">
        <v>72</v>
      </c>
      <c r="F4075" t="s">
        <v>80</v>
      </c>
    </row>
    <row r="4076" spans="1:6" x14ac:dyDescent="0.45">
      <c r="A4076">
        <v>53</v>
      </c>
      <c r="B4076">
        <v>12</v>
      </c>
      <c r="C4076">
        <v>19000</v>
      </c>
      <c r="D4076" t="s">
        <v>71</v>
      </c>
      <c r="E4076" t="s">
        <v>74</v>
      </c>
      <c r="F4076" t="s">
        <v>80</v>
      </c>
    </row>
    <row r="4077" spans="1:6" x14ac:dyDescent="0.45">
      <c r="A4077">
        <v>40</v>
      </c>
      <c r="B4077">
        <v>12</v>
      </c>
      <c r="C4077">
        <v>19056</v>
      </c>
      <c r="D4077" t="s">
        <v>71</v>
      </c>
      <c r="E4077" t="s">
        <v>74</v>
      </c>
      <c r="F4077" t="s">
        <v>80</v>
      </c>
    </row>
    <row r="4078" spans="1:6" x14ac:dyDescent="0.45">
      <c r="A4078">
        <v>40</v>
      </c>
      <c r="B4078">
        <v>12</v>
      </c>
      <c r="C4078">
        <v>19056</v>
      </c>
      <c r="D4078" t="s">
        <v>71</v>
      </c>
      <c r="E4078" t="s">
        <v>74</v>
      </c>
      <c r="F4078" t="s">
        <v>80</v>
      </c>
    </row>
    <row r="4079" spans="1:6" x14ac:dyDescent="0.45">
      <c r="A4079">
        <v>40</v>
      </c>
      <c r="B4079">
        <v>12</v>
      </c>
      <c r="C4079">
        <v>19200</v>
      </c>
      <c r="D4079" t="s">
        <v>76</v>
      </c>
      <c r="E4079" t="s">
        <v>74</v>
      </c>
      <c r="F4079" t="s">
        <v>80</v>
      </c>
    </row>
    <row r="4080" spans="1:6" x14ac:dyDescent="0.45">
      <c r="A4080">
        <v>40</v>
      </c>
      <c r="B4080">
        <v>12</v>
      </c>
      <c r="C4080">
        <v>19200</v>
      </c>
      <c r="D4080" t="s">
        <v>76</v>
      </c>
      <c r="E4080" t="s">
        <v>72</v>
      </c>
      <c r="F4080" t="s">
        <v>80</v>
      </c>
    </row>
    <row r="4081" spans="1:6" x14ac:dyDescent="0.45">
      <c r="A4081">
        <v>40</v>
      </c>
      <c r="B4081">
        <v>12</v>
      </c>
      <c r="C4081">
        <v>19500</v>
      </c>
      <c r="D4081" t="s">
        <v>71</v>
      </c>
      <c r="E4081" t="s">
        <v>72</v>
      </c>
      <c r="F4081" t="s">
        <v>80</v>
      </c>
    </row>
    <row r="4082" spans="1:6" x14ac:dyDescent="0.45">
      <c r="A4082">
        <v>40</v>
      </c>
      <c r="B4082">
        <v>12</v>
      </c>
      <c r="C4082">
        <v>19680</v>
      </c>
      <c r="D4082" t="s">
        <v>71</v>
      </c>
      <c r="E4082" t="s">
        <v>74</v>
      </c>
      <c r="F4082" t="s">
        <v>80</v>
      </c>
    </row>
    <row r="4083" spans="1:6" x14ac:dyDescent="0.45">
      <c r="A4083">
        <v>50</v>
      </c>
      <c r="B4083">
        <v>12</v>
      </c>
      <c r="C4083">
        <v>19733</v>
      </c>
      <c r="D4083" t="s">
        <v>71</v>
      </c>
      <c r="E4083" t="s">
        <v>74</v>
      </c>
      <c r="F4083" t="s">
        <v>80</v>
      </c>
    </row>
    <row r="4084" spans="1:6" x14ac:dyDescent="0.45">
      <c r="A4084">
        <v>38</v>
      </c>
      <c r="B4084">
        <v>12</v>
      </c>
      <c r="C4084">
        <v>19760</v>
      </c>
      <c r="D4084" t="s">
        <v>76</v>
      </c>
      <c r="E4084" t="s">
        <v>72</v>
      </c>
      <c r="F4084" t="s">
        <v>80</v>
      </c>
    </row>
    <row r="4085" spans="1:6" x14ac:dyDescent="0.45">
      <c r="A4085">
        <v>45</v>
      </c>
      <c r="B4085">
        <v>12</v>
      </c>
      <c r="C4085">
        <v>19940</v>
      </c>
      <c r="D4085" t="s">
        <v>71</v>
      </c>
      <c r="E4085" t="s">
        <v>72</v>
      </c>
      <c r="F4085" t="s">
        <v>80</v>
      </c>
    </row>
    <row r="4086" spans="1:6" x14ac:dyDescent="0.45">
      <c r="A4086">
        <v>40</v>
      </c>
      <c r="B4086">
        <v>12</v>
      </c>
      <c r="C4086">
        <v>20000</v>
      </c>
      <c r="D4086" t="s">
        <v>71</v>
      </c>
      <c r="E4086" t="s">
        <v>74</v>
      </c>
      <c r="F4086" t="s">
        <v>80</v>
      </c>
    </row>
    <row r="4087" spans="1:6" x14ac:dyDescent="0.45">
      <c r="A4087">
        <v>40</v>
      </c>
      <c r="B4087">
        <v>12</v>
      </c>
      <c r="C4087">
        <v>20000</v>
      </c>
      <c r="D4087" t="s">
        <v>71</v>
      </c>
      <c r="E4087" t="s">
        <v>74</v>
      </c>
      <c r="F4087" t="s">
        <v>80</v>
      </c>
    </row>
    <row r="4088" spans="1:6" x14ac:dyDescent="0.45">
      <c r="A4088">
        <v>40</v>
      </c>
      <c r="B4088">
        <v>12</v>
      </c>
      <c r="C4088">
        <v>20000</v>
      </c>
      <c r="D4088" t="s">
        <v>71</v>
      </c>
      <c r="E4088" t="s">
        <v>72</v>
      </c>
      <c r="F4088" t="s">
        <v>80</v>
      </c>
    </row>
    <row r="4089" spans="1:6" x14ac:dyDescent="0.45">
      <c r="A4089">
        <v>40</v>
      </c>
      <c r="B4089">
        <v>12</v>
      </c>
      <c r="C4089">
        <v>20000</v>
      </c>
      <c r="D4089" t="s">
        <v>71</v>
      </c>
      <c r="E4089" t="s">
        <v>72</v>
      </c>
      <c r="F4089" t="s">
        <v>80</v>
      </c>
    </row>
    <row r="4090" spans="1:6" x14ac:dyDescent="0.45">
      <c r="A4090">
        <v>40</v>
      </c>
      <c r="B4090">
        <v>12</v>
      </c>
      <c r="C4090">
        <v>20000</v>
      </c>
      <c r="D4090" t="s">
        <v>71</v>
      </c>
      <c r="E4090" t="s">
        <v>74</v>
      </c>
      <c r="F4090" t="s">
        <v>80</v>
      </c>
    </row>
    <row r="4091" spans="1:6" x14ac:dyDescent="0.45">
      <c r="A4091">
        <v>55</v>
      </c>
      <c r="B4091">
        <v>12</v>
      </c>
      <c r="C4091">
        <v>20000</v>
      </c>
      <c r="D4091" t="s">
        <v>71</v>
      </c>
      <c r="E4091" t="s">
        <v>74</v>
      </c>
      <c r="F4091" t="s">
        <v>80</v>
      </c>
    </row>
    <row r="4092" spans="1:6" x14ac:dyDescent="0.45">
      <c r="A4092">
        <v>55</v>
      </c>
      <c r="B4092">
        <v>12</v>
      </c>
      <c r="C4092">
        <v>20000</v>
      </c>
      <c r="D4092" t="s">
        <v>71</v>
      </c>
      <c r="E4092" t="s">
        <v>74</v>
      </c>
      <c r="F4092" t="s">
        <v>80</v>
      </c>
    </row>
    <row r="4093" spans="1:6" x14ac:dyDescent="0.45">
      <c r="A4093">
        <v>40</v>
      </c>
      <c r="B4093">
        <v>12</v>
      </c>
      <c r="C4093">
        <v>20000</v>
      </c>
      <c r="D4093" t="s">
        <v>71</v>
      </c>
      <c r="E4093" t="s">
        <v>74</v>
      </c>
      <c r="F4093" t="s">
        <v>80</v>
      </c>
    </row>
    <row r="4094" spans="1:6" x14ac:dyDescent="0.45">
      <c r="A4094">
        <v>40</v>
      </c>
      <c r="B4094">
        <v>12</v>
      </c>
      <c r="C4094">
        <v>20000</v>
      </c>
      <c r="D4094" t="s">
        <v>71</v>
      </c>
      <c r="E4094" t="s">
        <v>72</v>
      </c>
      <c r="F4094" t="s">
        <v>80</v>
      </c>
    </row>
    <row r="4095" spans="1:6" x14ac:dyDescent="0.45">
      <c r="A4095">
        <v>38</v>
      </c>
      <c r="B4095">
        <v>12</v>
      </c>
      <c r="C4095">
        <v>20000</v>
      </c>
      <c r="D4095" t="s">
        <v>71</v>
      </c>
      <c r="E4095" t="s">
        <v>72</v>
      </c>
      <c r="F4095" t="s">
        <v>80</v>
      </c>
    </row>
    <row r="4096" spans="1:6" x14ac:dyDescent="0.45">
      <c r="A4096">
        <v>40</v>
      </c>
      <c r="B4096">
        <v>12</v>
      </c>
      <c r="C4096">
        <v>20000</v>
      </c>
      <c r="D4096" t="s">
        <v>71</v>
      </c>
      <c r="E4096" t="s">
        <v>72</v>
      </c>
      <c r="F4096" t="s">
        <v>80</v>
      </c>
    </row>
    <row r="4097" spans="1:6" x14ac:dyDescent="0.45">
      <c r="A4097">
        <v>40</v>
      </c>
      <c r="B4097">
        <v>12</v>
      </c>
      <c r="C4097">
        <v>20000</v>
      </c>
      <c r="D4097" t="s">
        <v>71</v>
      </c>
      <c r="E4097" t="s">
        <v>72</v>
      </c>
      <c r="F4097" t="s">
        <v>80</v>
      </c>
    </row>
    <row r="4098" spans="1:6" x14ac:dyDescent="0.45">
      <c r="A4098">
        <v>40</v>
      </c>
      <c r="B4098">
        <v>12</v>
      </c>
      <c r="C4098">
        <v>20000</v>
      </c>
      <c r="D4098" t="s">
        <v>71</v>
      </c>
      <c r="E4098" t="s">
        <v>72</v>
      </c>
      <c r="F4098" t="s">
        <v>80</v>
      </c>
    </row>
    <row r="4099" spans="1:6" x14ac:dyDescent="0.45">
      <c r="A4099">
        <v>0</v>
      </c>
      <c r="B4099">
        <v>12</v>
      </c>
      <c r="C4099">
        <v>20000</v>
      </c>
      <c r="D4099" t="s">
        <v>71</v>
      </c>
      <c r="E4099" t="s">
        <v>74</v>
      </c>
      <c r="F4099" t="s">
        <v>80</v>
      </c>
    </row>
    <row r="4100" spans="1:6" x14ac:dyDescent="0.45">
      <c r="A4100">
        <v>45</v>
      </c>
      <c r="B4100">
        <v>12</v>
      </c>
      <c r="C4100">
        <v>20000</v>
      </c>
      <c r="D4100" t="s">
        <v>71</v>
      </c>
      <c r="E4100" t="s">
        <v>74</v>
      </c>
      <c r="F4100" t="s">
        <v>80</v>
      </c>
    </row>
    <row r="4101" spans="1:6" x14ac:dyDescent="0.45">
      <c r="A4101">
        <v>58</v>
      </c>
      <c r="B4101">
        <v>12</v>
      </c>
      <c r="C4101">
        <v>20000</v>
      </c>
      <c r="D4101" t="s">
        <v>71</v>
      </c>
      <c r="E4101" t="s">
        <v>74</v>
      </c>
      <c r="F4101" t="s">
        <v>80</v>
      </c>
    </row>
    <row r="4102" spans="1:6" x14ac:dyDescent="0.45">
      <c r="A4102">
        <v>40</v>
      </c>
      <c r="B4102">
        <v>12</v>
      </c>
      <c r="C4102">
        <v>20000</v>
      </c>
      <c r="D4102" t="s">
        <v>71</v>
      </c>
      <c r="E4102" t="s">
        <v>72</v>
      </c>
      <c r="F4102" t="s">
        <v>80</v>
      </c>
    </row>
    <row r="4103" spans="1:6" x14ac:dyDescent="0.45">
      <c r="A4103">
        <v>48</v>
      </c>
      <c r="B4103">
        <v>12</v>
      </c>
      <c r="C4103">
        <v>20000</v>
      </c>
      <c r="D4103" t="s">
        <v>76</v>
      </c>
      <c r="E4103" t="s">
        <v>74</v>
      </c>
      <c r="F4103" t="s">
        <v>80</v>
      </c>
    </row>
    <row r="4104" spans="1:6" x14ac:dyDescent="0.45">
      <c r="A4104">
        <v>40</v>
      </c>
      <c r="B4104">
        <v>12</v>
      </c>
      <c r="C4104">
        <v>20000</v>
      </c>
      <c r="D4104" t="s">
        <v>71</v>
      </c>
      <c r="E4104" t="s">
        <v>72</v>
      </c>
      <c r="F4104" t="s">
        <v>80</v>
      </c>
    </row>
    <row r="4105" spans="1:6" x14ac:dyDescent="0.45">
      <c r="A4105">
        <v>40</v>
      </c>
      <c r="B4105">
        <v>12</v>
      </c>
      <c r="C4105">
        <v>20000</v>
      </c>
      <c r="D4105" t="s">
        <v>71</v>
      </c>
      <c r="E4105" t="s">
        <v>72</v>
      </c>
      <c r="F4105" t="s">
        <v>80</v>
      </c>
    </row>
    <row r="4106" spans="1:6" x14ac:dyDescent="0.45">
      <c r="A4106">
        <v>40</v>
      </c>
      <c r="B4106">
        <v>12</v>
      </c>
      <c r="C4106">
        <v>20000</v>
      </c>
      <c r="D4106" t="s">
        <v>71</v>
      </c>
      <c r="E4106" t="s">
        <v>72</v>
      </c>
      <c r="F4106" t="s">
        <v>80</v>
      </c>
    </row>
    <row r="4107" spans="1:6" x14ac:dyDescent="0.45">
      <c r="A4107">
        <v>40</v>
      </c>
      <c r="B4107">
        <v>12</v>
      </c>
      <c r="C4107">
        <v>20000</v>
      </c>
      <c r="D4107" t="s">
        <v>76</v>
      </c>
      <c r="E4107" t="s">
        <v>72</v>
      </c>
      <c r="F4107" t="s">
        <v>80</v>
      </c>
    </row>
    <row r="4108" spans="1:6" x14ac:dyDescent="0.45">
      <c r="A4108">
        <v>50</v>
      </c>
      <c r="B4108">
        <v>12</v>
      </c>
      <c r="C4108">
        <v>20000</v>
      </c>
      <c r="D4108" t="s">
        <v>71</v>
      </c>
      <c r="E4108" t="s">
        <v>74</v>
      </c>
      <c r="F4108" t="s">
        <v>80</v>
      </c>
    </row>
    <row r="4109" spans="1:6" x14ac:dyDescent="0.45">
      <c r="A4109">
        <v>50</v>
      </c>
      <c r="B4109">
        <v>12</v>
      </c>
      <c r="C4109">
        <v>20000</v>
      </c>
      <c r="D4109" t="s">
        <v>71</v>
      </c>
      <c r="E4109" t="s">
        <v>72</v>
      </c>
      <c r="F4109" t="s">
        <v>80</v>
      </c>
    </row>
    <row r="4110" spans="1:6" x14ac:dyDescent="0.45">
      <c r="A4110">
        <v>40</v>
      </c>
      <c r="B4110">
        <v>12</v>
      </c>
      <c r="C4110">
        <v>20000</v>
      </c>
      <c r="D4110" t="s">
        <v>71</v>
      </c>
      <c r="E4110" t="s">
        <v>72</v>
      </c>
      <c r="F4110" t="s">
        <v>80</v>
      </c>
    </row>
    <row r="4111" spans="1:6" x14ac:dyDescent="0.45">
      <c r="A4111">
        <v>40</v>
      </c>
      <c r="B4111">
        <v>12</v>
      </c>
      <c r="C4111">
        <v>20000</v>
      </c>
      <c r="D4111" t="s">
        <v>71</v>
      </c>
      <c r="E4111" t="s">
        <v>74</v>
      </c>
      <c r="F4111" t="s">
        <v>80</v>
      </c>
    </row>
    <row r="4112" spans="1:6" x14ac:dyDescent="0.45">
      <c r="A4112">
        <v>40</v>
      </c>
      <c r="B4112">
        <v>12</v>
      </c>
      <c r="C4112">
        <v>20000</v>
      </c>
      <c r="D4112" t="s">
        <v>71</v>
      </c>
      <c r="E4112" t="s">
        <v>74</v>
      </c>
      <c r="F4112" t="s">
        <v>80</v>
      </c>
    </row>
    <row r="4113" spans="1:6" x14ac:dyDescent="0.45">
      <c r="A4113">
        <v>40</v>
      </c>
      <c r="B4113">
        <v>12</v>
      </c>
      <c r="C4113">
        <v>20000</v>
      </c>
      <c r="D4113" t="s">
        <v>71</v>
      </c>
      <c r="E4113" t="s">
        <v>72</v>
      </c>
      <c r="F4113" t="s">
        <v>80</v>
      </c>
    </row>
    <row r="4114" spans="1:6" x14ac:dyDescent="0.45">
      <c r="A4114">
        <v>55</v>
      </c>
      <c r="B4114">
        <v>12</v>
      </c>
      <c r="C4114">
        <v>20000</v>
      </c>
      <c r="D4114" t="s">
        <v>71</v>
      </c>
      <c r="E4114" t="s">
        <v>72</v>
      </c>
      <c r="F4114" t="s">
        <v>80</v>
      </c>
    </row>
    <row r="4115" spans="1:6" x14ac:dyDescent="0.45">
      <c r="A4115">
        <v>40</v>
      </c>
      <c r="B4115">
        <v>12</v>
      </c>
      <c r="C4115">
        <v>20000</v>
      </c>
      <c r="D4115" t="s">
        <v>71</v>
      </c>
      <c r="E4115" t="s">
        <v>72</v>
      </c>
      <c r="F4115" t="s">
        <v>80</v>
      </c>
    </row>
    <row r="4116" spans="1:6" x14ac:dyDescent="0.45">
      <c r="A4116">
        <v>40</v>
      </c>
      <c r="B4116">
        <v>12</v>
      </c>
      <c r="C4116">
        <v>20000</v>
      </c>
      <c r="D4116" t="s">
        <v>71</v>
      </c>
      <c r="E4116" t="s">
        <v>72</v>
      </c>
      <c r="F4116" t="s">
        <v>80</v>
      </c>
    </row>
    <row r="4117" spans="1:6" x14ac:dyDescent="0.45">
      <c r="A4117">
        <v>40</v>
      </c>
      <c r="B4117">
        <v>12</v>
      </c>
      <c r="C4117">
        <v>20000</v>
      </c>
      <c r="D4117" t="s">
        <v>71</v>
      </c>
      <c r="E4117" t="s">
        <v>72</v>
      </c>
      <c r="F4117" t="s">
        <v>80</v>
      </c>
    </row>
    <row r="4118" spans="1:6" x14ac:dyDescent="0.45">
      <c r="A4118">
        <v>40</v>
      </c>
      <c r="B4118">
        <v>12</v>
      </c>
      <c r="C4118">
        <v>20000</v>
      </c>
      <c r="D4118" t="s">
        <v>71</v>
      </c>
      <c r="E4118" t="s">
        <v>72</v>
      </c>
      <c r="F4118" t="s">
        <v>80</v>
      </c>
    </row>
    <row r="4119" spans="1:6" x14ac:dyDescent="0.45">
      <c r="A4119">
        <v>40</v>
      </c>
      <c r="B4119">
        <v>12</v>
      </c>
      <c r="C4119">
        <v>20000</v>
      </c>
      <c r="D4119" t="s">
        <v>76</v>
      </c>
      <c r="E4119" t="s">
        <v>74</v>
      </c>
      <c r="F4119" t="s">
        <v>80</v>
      </c>
    </row>
    <row r="4120" spans="1:6" x14ac:dyDescent="0.45">
      <c r="A4120">
        <v>40</v>
      </c>
      <c r="B4120">
        <v>12</v>
      </c>
      <c r="C4120">
        <v>20000</v>
      </c>
      <c r="D4120" t="s">
        <v>71</v>
      </c>
      <c r="E4120" t="s">
        <v>72</v>
      </c>
      <c r="F4120" t="s">
        <v>80</v>
      </c>
    </row>
    <row r="4121" spans="1:6" x14ac:dyDescent="0.45">
      <c r="A4121">
        <v>40</v>
      </c>
      <c r="B4121">
        <v>12</v>
      </c>
      <c r="C4121">
        <v>20000</v>
      </c>
      <c r="D4121" t="s">
        <v>71</v>
      </c>
      <c r="E4121" t="s">
        <v>72</v>
      </c>
      <c r="F4121" t="s">
        <v>80</v>
      </c>
    </row>
    <row r="4122" spans="1:6" x14ac:dyDescent="0.45">
      <c r="A4122">
        <v>40</v>
      </c>
      <c r="B4122">
        <v>12</v>
      </c>
      <c r="C4122">
        <v>20000</v>
      </c>
      <c r="D4122" t="s">
        <v>71</v>
      </c>
      <c r="E4122" t="s">
        <v>72</v>
      </c>
      <c r="F4122" t="s">
        <v>80</v>
      </c>
    </row>
    <row r="4123" spans="1:6" x14ac:dyDescent="0.45">
      <c r="A4123">
        <v>40</v>
      </c>
      <c r="B4123">
        <v>12</v>
      </c>
      <c r="C4123">
        <v>20000</v>
      </c>
      <c r="D4123" t="s">
        <v>71</v>
      </c>
      <c r="E4123" t="s">
        <v>72</v>
      </c>
      <c r="F4123" t="s">
        <v>80</v>
      </c>
    </row>
    <row r="4124" spans="1:6" x14ac:dyDescent="0.45">
      <c r="A4124">
        <v>40</v>
      </c>
      <c r="B4124">
        <v>12</v>
      </c>
      <c r="C4124">
        <v>20000</v>
      </c>
      <c r="D4124" t="s">
        <v>71</v>
      </c>
      <c r="E4124" t="s">
        <v>74</v>
      </c>
      <c r="F4124" t="s">
        <v>80</v>
      </c>
    </row>
    <row r="4125" spans="1:6" x14ac:dyDescent="0.45">
      <c r="A4125">
        <v>40</v>
      </c>
      <c r="B4125">
        <v>12</v>
      </c>
      <c r="C4125">
        <v>20000</v>
      </c>
      <c r="D4125" t="s">
        <v>71</v>
      </c>
      <c r="E4125" t="s">
        <v>72</v>
      </c>
      <c r="F4125" t="s">
        <v>80</v>
      </c>
    </row>
    <row r="4126" spans="1:6" x14ac:dyDescent="0.45">
      <c r="A4126">
        <v>40</v>
      </c>
      <c r="B4126">
        <v>12</v>
      </c>
      <c r="C4126">
        <v>20000</v>
      </c>
      <c r="D4126" t="s">
        <v>71</v>
      </c>
      <c r="E4126" t="s">
        <v>72</v>
      </c>
      <c r="F4126" t="s">
        <v>80</v>
      </c>
    </row>
    <row r="4127" spans="1:6" x14ac:dyDescent="0.45">
      <c r="A4127">
        <v>40</v>
      </c>
      <c r="B4127">
        <v>12</v>
      </c>
      <c r="C4127">
        <v>20000</v>
      </c>
      <c r="D4127" t="s">
        <v>71</v>
      </c>
      <c r="E4127" t="s">
        <v>74</v>
      </c>
      <c r="F4127" t="s">
        <v>80</v>
      </c>
    </row>
    <row r="4128" spans="1:6" x14ac:dyDescent="0.45">
      <c r="A4128">
        <v>40</v>
      </c>
      <c r="B4128">
        <v>12</v>
      </c>
      <c r="C4128">
        <v>20000</v>
      </c>
      <c r="D4128" t="s">
        <v>71</v>
      </c>
      <c r="E4128" t="s">
        <v>74</v>
      </c>
      <c r="F4128" t="s">
        <v>80</v>
      </c>
    </row>
    <row r="4129" spans="1:6" x14ac:dyDescent="0.45">
      <c r="A4129">
        <v>35</v>
      </c>
      <c r="B4129">
        <v>12</v>
      </c>
      <c r="C4129">
        <v>20000</v>
      </c>
      <c r="D4129" t="s">
        <v>71</v>
      </c>
      <c r="E4129" t="s">
        <v>72</v>
      </c>
      <c r="F4129" t="s">
        <v>80</v>
      </c>
    </row>
    <row r="4130" spans="1:6" x14ac:dyDescent="0.45">
      <c r="A4130">
        <v>40</v>
      </c>
      <c r="B4130">
        <v>12</v>
      </c>
      <c r="C4130">
        <v>20000</v>
      </c>
      <c r="D4130" t="s">
        <v>71</v>
      </c>
      <c r="E4130" t="s">
        <v>74</v>
      </c>
      <c r="F4130" t="s">
        <v>80</v>
      </c>
    </row>
    <row r="4131" spans="1:6" x14ac:dyDescent="0.45">
      <c r="A4131">
        <v>40</v>
      </c>
      <c r="B4131">
        <v>12</v>
      </c>
      <c r="C4131">
        <v>20000</v>
      </c>
      <c r="D4131" t="s">
        <v>71</v>
      </c>
      <c r="E4131" t="s">
        <v>74</v>
      </c>
      <c r="F4131" t="s">
        <v>80</v>
      </c>
    </row>
    <row r="4132" spans="1:6" x14ac:dyDescent="0.45">
      <c r="A4132">
        <v>40</v>
      </c>
      <c r="B4132">
        <v>12</v>
      </c>
      <c r="C4132">
        <v>20000</v>
      </c>
      <c r="D4132" t="s">
        <v>76</v>
      </c>
      <c r="E4132" t="s">
        <v>74</v>
      </c>
      <c r="F4132" t="s">
        <v>80</v>
      </c>
    </row>
    <row r="4133" spans="1:6" x14ac:dyDescent="0.45">
      <c r="A4133">
        <v>44</v>
      </c>
      <c r="B4133">
        <v>12</v>
      </c>
      <c r="C4133">
        <v>20000</v>
      </c>
      <c r="D4133" t="s">
        <v>71</v>
      </c>
      <c r="E4133" t="s">
        <v>72</v>
      </c>
      <c r="F4133" t="s">
        <v>80</v>
      </c>
    </row>
    <row r="4134" spans="1:6" x14ac:dyDescent="0.45">
      <c r="A4134">
        <v>40</v>
      </c>
      <c r="B4134">
        <v>12</v>
      </c>
      <c r="C4134">
        <v>20000</v>
      </c>
      <c r="D4134" t="s">
        <v>71</v>
      </c>
      <c r="E4134" t="s">
        <v>72</v>
      </c>
      <c r="F4134" t="s">
        <v>80</v>
      </c>
    </row>
    <row r="4135" spans="1:6" x14ac:dyDescent="0.45">
      <c r="A4135">
        <v>40</v>
      </c>
      <c r="B4135">
        <v>12</v>
      </c>
      <c r="C4135">
        <v>20000</v>
      </c>
      <c r="D4135" t="s">
        <v>71</v>
      </c>
      <c r="E4135" t="s">
        <v>74</v>
      </c>
      <c r="F4135" t="s">
        <v>80</v>
      </c>
    </row>
    <row r="4136" spans="1:6" x14ac:dyDescent="0.45">
      <c r="A4136">
        <v>40</v>
      </c>
      <c r="B4136">
        <v>12</v>
      </c>
      <c r="C4136">
        <v>20000</v>
      </c>
      <c r="D4136" t="s">
        <v>76</v>
      </c>
      <c r="E4136" t="s">
        <v>72</v>
      </c>
      <c r="F4136" t="s">
        <v>80</v>
      </c>
    </row>
    <row r="4137" spans="1:6" x14ac:dyDescent="0.45">
      <c r="A4137">
        <v>40</v>
      </c>
      <c r="B4137">
        <v>12</v>
      </c>
      <c r="C4137">
        <v>20000</v>
      </c>
      <c r="D4137" t="s">
        <v>71</v>
      </c>
      <c r="E4137" t="s">
        <v>74</v>
      </c>
      <c r="F4137" t="s">
        <v>80</v>
      </c>
    </row>
    <row r="4138" spans="1:6" x14ac:dyDescent="0.45">
      <c r="A4138">
        <v>40</v>
      </c>
      <c r="B4138">
        <v>12</v>
      </c>
      <c r="C4138">
        <v>20000</v>
      </c>
      <c r="D4138" t="s">
        <v>71</v>
      </c>
      <c r="E4138" t="s">
        <v>72</v>
      </c>
      <c r="F4138" t="s">
        <v>80</v>
      </c>
    </row>
    <row r="4139" spans="1:6" x14ac:dyDescent="0.45">
      <c r="A4139">
        <v>40</v>
      </c>
      <c r="B4139">
        <v>12</v>
      </c>
      <c r="C4139">
        <v>20000</v>
      </c>
      <c r="D4139" t="s">
        <v>71</v>
      </c>
      <c r="E4139" t="s">
        <v>74</v>
      </c>
      <c r="F4139" t="s">
        <v>80</v>
      </c>
    </row>
    <row r="4140" spans="1:6" x14ac:dyDescent="0.45">
      <c r="A4140">
        <v>40</v>
      </c>
      <c r="B4140">
        <v>12</v>
      </c>
      <c r="C4140">
        <v>20000</v>
      </c>
      <c r="D4140" t="s">
        <v>71</v>
      </c>
      <c r="E4140" t="s">
        <v>72</v>
      </c>
      <c r="F4140" t="s">
        <v>80</v>
      </c>
    </row>
    <row r="4141" spans="1:6" x14ac:dyDescent="0.45">
      <c r="A4141">
        <v>40</v>
      </c>
      <c r="B4141">
        <v>12</v>
      </c>
      <c r="C4141">
        <v>20000</v>
      </c>
      <c r="D4141" t="s">
        <v>71</v>
      </c>
      <c r="E4141" t="s">
        <v>72</v>
      </c>
      <c r="F4141" t="s">
        <v>80</v>
      </c>
    </row>
    <row r="4142" spans="1:6" x14ac:dyDescent="0.45">
      <c r="A4142">
        <v>40</v>
      </c>
      <c r="B4142">
        <v>12</v>
      </c>
      <c r="C4142">
        <v>20000</v>
      </c>
      <c r="D4142" t="s">
        <v>71</v>
      </c>
      <c r="E4142" t="s">
        <v>72</v>
      </c>
      <c r="F4142" t="s">
        <v>80</v>
      </c>
    </row>
    <row r="4143" spans="1:6" x14ac:dyDescent="0.45">
      <c r="A4143">
        <v>40</v>
      </c>
      <c r="B4143">
        <v>12</v>
      </c>
      <c r="C4143">
        <v>20000</v>
      </c>
      <c r="D4143" t="s">
        <v>71</v>
      </c>
      <c r="E4143" t="s">
        <v>72</v>
      </c>
      <c r="F4143" t="s">
        <v>80</v>
      </c>
    </row>
    <row r="4144" spans="1:6" x14ac:dyDescent="0.45">
      <c r="A4144">
        <v>40</v>
      </c>
      <c r="B4144">
        <v>12</v>
      </c>
      <c r="C4144">
        <v>20000</v>
      </c>
      <c r="D4144" t="s">
        <v>75</v>
      </c>
      <c r="E4144" t="s">
        <v>72</v>
      </c>
      <c r="F4144" t="s">
        <v>80</v>
      </c>
    </row>
    <row r="4145" spans="1:6" x14ac:dyDescent="0.45">
      <c r="A4145">
        <v>40</v>
      </c>
      <c r="B4145">
        <v>12</v>
      </c>
      <c r="C4145">
        <v>20000</v>
      </c>
      <c r="D4145" t="s">
        <v>71</v>
      </c>
      <c r="E4145" t="s">
        <v>72</v>
      </c>
      <c r="F4145" t="s">
        <v>80</v>
      </c>
    </row>
    <row r="4146" spans="1:6" x14ac:dyDescent="0.45">
      <c r="A4146">
        <v>70</v>
      </c>
      <c r="B4146">
        <v>12</v>
      </c>
      <c r="C4146">
        <v>20000</v>
      </c>
      <c r="D4146" t="s">
        <v>71</v>
      </c>
      <c r="E4146" t="s">
        <v>74</v>
      </c>
      <c r="F4146" t="s">
        <v>80</v>
      </c>
    </row>
    <row r="4147" spans="1:6" x14ac:dyDescent="0.45">
      <c r="A4147">
        <v>45</v>
      </c>
      <c r="B4147">
        <v>12</v>
      </c>
      <c r="C4147">
        <v>20000</v>
      </c>
      <c r="D4147" t="s">
        <v>71</v>
      </c>
      <c r="E4147" t="s">
        <v>74</v>
      </c>
      <c r="F4147" t="s">
        <v>80</v>
      </c>
    </row>
    <row r="4148" spans="1:6" x14ac:dyDescent="0.45">
      <c r="A4148">
        <v>40</v>
      </c>
      <c r="B4148">
        <v>12</v>
      </c>
      <c r="C4148">
        <v>20000</v>
      </c>
      <c r="D4148" t="s">
        <v>71</v>
      </c>
      <c r="E4148" t="s">
        <v>72</v>
      </c>
      <c r="F4148" t="s">
        <v>80</v>
      </c>
    </row>
    <row r="4149" spans="1:6" x14ac:dyDescent="0.45">
      <c r="A4149">
        <v>40</v>
      </c>
      <c r="B4149">
        <v>12</v>
      </c>
      <c r="C4149">
        <v>20000</v>
      </c>
      <c r="D4149" t="s">
        <v>71</v>
      </c>
      <c r="E4149" t="s">
        <v>72</v>
      </c>
      <c r="F4149" t="s">
        <v>80</v>
      </c>
    </row>
    <row r="4150" spans="1:6" x14ac:dyDescent="0.45">
      <c r="A4150">
        <v>40</v>
      </c>
      <c r="B4150">
        <v>12</v>
      </c>
      <c r="C4150">
        <v>20000</v>
      </c>
      <c r="D4150" t="s">
        <v>76</v>
      </c>
      <c r="E4150" t="s">
        <v>72</v>
      </c>
      <c r="F4150" t="s">
        <v>80</v>
      </c>
    </row>
    <row r="4151" spans="1:6" x14ac:dyDescent="0.45">
      <c r="A4151">
        <v>55</v>
      </c>
      <c r="B4151">
        <v>12</v>
      </c>
      <c r="C4151">
        <v>20000</v>
      </c>
      <c r="D4151" t="s">
        <v>71</v>
      </c>
      <c r="E4151" t="s">
        <v>74</v>
      </c>
      <c r="F4151" t="s">
        <v>80</v>
      </c>
    </row>
    <row r="4152" spans="1:6" x14ac:dyDescent="0.45">
      <c r="A4152">
        <v>50</v>
      </c>
      <c r="B4152">
        <v>12</v>
      </c>
      <c r="C4152">
        <v>20000</v>
      </c>
      <c r="D4152" t="s">
        <v>71</v>
      </c>
      <c r="E4152" t="s">
        <v>74</v>
      </c>
      <c r="F4152" t="s">
        <v>80</v>
      </c>
    </row>
    <row r="4153" spans="1:6" x14ac:dyDescent="0.45">
      <c r="A4153">
        <v>42</v>
      </c>
      <c r="B4153">
        <v>12</v>
      </c>
      <c r="C4153">
        <v>20000</v>
      </c>
      <c r="D4153" t="s">
        <v>71</v>
      </c>
      <c r="E4153" t="s">
        <v>74</v>
      </c>
      <c r="F4153" t="s">
        <v>80</v>
      </c>
    </row>
    <row r="4154" spans="1:6" x14ac:dyDescent="0.45">
      <c r="A4154">
        <v>40</v>
      </c>
      <c r="B4154">
        <v>12</v>
      </c>
      <c r="C4154">
        <v>20000</v>
      </c>
      <c r="D4154" t="s">
        <v>71</v>
      </c>
      <c r="E4154" t="s">
        <v>72</v>
      </c>
      <c r="F4154" t="s">
        <v>80</v>
      </c>
    </row>
    <row r="4155" spans="1:6" x14ac:dyDescent="0.45">
      <c r="A4155">
        <v>40</v>
      </c>
      <c r="B4155">
        <v>12</v>
      </c>
      <c r="C4155">
        <v>20000</v>
      </c>
      <c r="D4155" t="s">
        <v>71</v>
      </c>
      <c r="E4155" t="s">
        <v>74</v>
      </c>
      <c r="F4155" t="s">
        <v>80</v>
      </c>
    </row>
    <row r="4156" spans="1:6" x14ac:dyDescent="0.45">
      <c r="A4156">
        <v>40</v>
      </c>
      <c r="B4156">
        <v>12</v>
      </c>
      <c r="C4156">
        <v>20000</v>
      </c>
      <c r="D4156" t="s">
        <v>76</v>
      </c>
      <c r="E4156" t="s">
        <v>74</v>
      </c>
      <c r="F4156" t="s">
        <v>80</v>
      </c>
    </row>
    <row r="4157" spans="1:6" x14ac:dyDescent="0.45">
      <c r="A4157">
        <v>40</v>
      </c>
      <c r="B4157">
        <v>12</v>
      </c>
      <c r="C4157">
        <v>20000</v>
      </c>
      <c r="D4157" t="s">
        <v>71</v>
      </c>
      <c r="E4157" t="s">
        <v>74</v>
      </c>
      <c r="F4157" t="s">
        <v>80</v>
      </c>
    </row>
    <row r="4158" spans="1:6" x14ac:dyDescent="0.45">
      <c r="A4158">
        <v>40</v>
      </c>
      <c r="B4158">
        <v>12</v>
      </c>
      <c r="C4158">
        <v>20000</v>
      </c>
      <c r="D4158" t="s">
        <v>71</v>
      </c>
      <c r="E4158" t="s">
        <v>74</v>
      </c>
      <c r="F4158" t="s">
        <v>80</v>
      </c>
    </row>
    <row r="4159" spans="1:6" x14ac:dyDescent="0.45">
      <c r="A4159">
        <v>40</v>
      </c>
      <c r="B4159">
        <v>12</v>
      </c>
      <c r="C4159">
        <v>20000</v>
      </c>
      <c r="D4159" t="s">
        <v>71</v>
      </c>
      <c r="E4159" t="s">
        <v>72</v>
      </c>
      <c r="F4159" t="s">
        <v>80</v>
      </c>
    </row>
    <row r="4160" spans="1:6" x14ac:dyDescent="0.45">
      <c r="A4160">
        <v>60</v>
      </c>
      <c r="B4160">
        <v>12</v>
      </c>
      <c r="C4160">
        <v>20000</v>
      </c>
      <c r="D4160" t="s">
        <v>71</v>
      </c>
      <c r="E4160" t="s">
        <v>74</v>
      </c>
      <c r="F4160" t="s">
        <v>80</v>
      </c>
    </row>
    <row r="4161" spans="1:6" x14ac:dyDescent="0.45">
      <c r="A4161">
        <v>40</v>
      </c>
      <c r="B4161">
        <v>12</v>
      </c>
      <c r="C4161">
        <v>20000</v>
      </c>
      <c r="D4161" t="s">
        <v>71</v>
      </c>
      <c r="E4161" t="s">
        <v>72</v>
      </c>
      <c r="F4161" t="s">
        <v>80</v>
      </c>
    </row>
    <row r="4162" spans="1:6" x14ac:dyDescent="0.45">
      <c r="A4162">
        <v>40</v>
      </c>
      <c r="B4162">
        <v>12</v>
      </c>
      <c r="C4162">
        <v>20000</v>
      </c>
      <c r="D4162" t="s">
        <v>76</v>
      </c>
      <c r="E4162" t="s">
        <v>72</v>
      </c>
      <c r="F4162" t="s">
        <v>80</v>
      </c>
    </row>
    <row r="4163" spans="1:6" x14ac:dyDescent="0.45">
      <c r="A4163">
        <v>40</v>
      </c>
      <c r="B4163">
        <v>12</v>
      </c>
      <c r="C4163">
        <v>20000</v>
      </c>
      <c r="D4163" t="s">
        <v>71</v>
      </c>
      <c r="E4163" t="s">
        <v>72</v>
      </c>
      <c r="F4163" t="s">
        <v>80</v>
      </c>
    </row>
    <row r="4164" spans="1:6" x14ac:dyDescent="0.45">
      <c r="A4164">
        <v>40</v>
      </c>
      <c r="B4164">
        <v>12</v>
      </c>
      <c r="C4164">
        <v>20000</v>
      </c>
      <c r="D4164" t="s">
        <v>71</v>
      </c>
      <c r="E4164" t="s">
        <v>72</v>
      </c>
      <c r="F4164" t="s">
        <v>80</v>
      </c>
    </row>
    <row r="4165" spans="1:6" x14ac:dyDescent="0.45">
      <c r="A4165">
        <v>45</v>
      </c>
      <c r="B4165">
        <v>12</v>
      </c>
      <c r="C4165">
        <v>20000</v>
      </c>
      <c r="D4165" t="s">
        <v>71</v>
      </c>
      <c r="E4165" t="s">
        <v>74</v>
      </c>
      <c r="F4165" t="s">
        <v>80</v>
      </c>
    </row>
    <row r="4166" spans="1:6" x14ac:dyDescent="0.45">
      <c r="A4166">
        <v>40</v>
      </c>
      <c r="B4166">
        <v>12</v>
      </c>
      <c r="C4166">
        <v>20000</v>
      </c>
      <c r="D4166" t="s">
        <v>71</v>
      </c>
      <c r="E4166" t="s">
        <v>72</v>
      </c>
      <c r="F4166" t="s">
        <v>80</v>
      </c>
    </row>
    <row r="4167" spans="1:6" x14ac:dyDescent="0.45">
      <c r="A4167">
        <v>45</v>
      </c>
      <c r="B4167">
        <v>12</v>
      </c>
      <c r="C4167">
        <v>20000</v>
      </c>
      <c r="D4167" t="s">
        <v>71</v>
      </c>
      <c r="E4167" t="s">
        <v>74</v>
      </c>
      <c r="F4167" t="s">
        <v>80</v>
      </c>
    </row>
    <row r="4168" spans="1:6" x14ac:dyDescent="0.45">
      <c r="A4168">
        <v>40</v>
      </c>
      <c r="B4168">
        <v>12</v>
      </c>
      <c r="C4168">
        <v>20000</v>
      </c>
      <c r="D4168" t="s">
        <v>71</v>
      </c>
      <c r="E4168" t="s">
        <v>74</v>
      </c>
      <c r="F4168" t="s">
        <v>80</v>
      </c>
    </row>
    <row r="4169" spans="1:6" x14ac:dyDescent="0.45">
      <c r="A4169">
        <v>40</v>
      </c>
      <c r="B4169">
        <v>12</v>
      </c>
      <c r="C4169">
        <v>20005</v>
      </c>
      <c r="D4169" t="s">
        <v>71</v>
      </c>
      <c r="E4169" t="s">
        <v>74</v>
      </c>
      <c r="F4169" t="s">
        <v>80</v>
      </c>
    </row>
    <row r="4170" spans="1:6" x14ac:dyDescent="0.45">
      <c r="A4170">
        <v>40</v>
      </c>
      <c r="B4170">
        <v>12</v>
      </c>
      <c r="C4170">
        <v>20100</v>
      </c>
      <c r="D4170" t="s">
        <v>71</v>
      </c>
      <c r="E4170" t="s">
        <v>72</v>
      </c>
      <c r="F4170" t="s">
        <v>80</v>
      </c>
    </row>
    <row r="4171" spans="1:6" x14ac:dyDescent="0.45">
      <c r="A4171">
        <v>40</v>
      </c>
      <c r="B4171">
        <v>12</v>
      </c>
      <c r="C4171">
        <v>20162</v>
      </c>
      <c r="D4171" t="s">
        <v>71</v>
      </c>
      <c r="E4171" t="s">
        <v>72</v>
      </c>
      <c r="F4171" t="s">
        <v>80</v>
      </c>
    </row>
    <row r="4172" spans="1:6" x14ac:dyDescent="0.45">
      <c r="A4172">
        <v>40</v>
      </c>
      <c r="B4172">
        <v>12</v>
      </c>
      <c r="C4172">
        <v>20289</v>
      </c>
      <c r="D4172" t="s">
        <v>71</v>
      </c>
      <c r="E4172" t="s">
        <v>72</v>
      </c>
      <c r="F4172" t="s">
        <v>80</v>
      </c>
    </row>
    <row r="4173" spans="1:6" x14ac:dyDescent="0.45">
      <c r="A4173">
        <v>35</v>
      </c>
      <c r="B4173">
        <v>12</v>
      </c>
      <c r="C4173">
        <v>20400</v>
      </c>
      <c r="D4173" t="s">
        <v>71</v>
      </c>
      <c r="E4173" t="s">
        <v>74</v>
      </c>
      <c r="F4173" t="s">
        <v>80</v>
      </c>
    </row>
    <row r="4174" spans="1:6" x14ac:dyDescent="0.45">
      <c r="A4174">
        <v>0</v>
      </c>
      <c r="B4174">
        <v>12</v>
      </c>
      <c r="C4174">
        <v>20446</v>
      </c>
      <c r="D4174" t="s">
        <v>71</v>
      </c>
      <c r="E4174" t="s">
        <v>72</v>
      </c>
      <c r="F4174" t="s">
        <v>80</v>
      </c>
    </row>
    <row r="4175" spans="1:6" x14ac:dyDescent="0.45">
      <c r="A4175">
        <v>50</v>
      </c>
      <c r="B4175">
        <v>12</v>
      </c>
      <c r="C4175">
        <v>20470</v>
      </c>
      <c r="D4175" t="s">
        <v>71</v>
      </c>
      <c r="E4175" t="s">
        <v>72</v>
      </c>
      <c r="F4175" t="s">
        <v>80</v>
      </c>
    </row>
    <row r="4176" spans="1:6" x14ac:dyDescent="0.45">
      <c r="A4176">
        <v>40</v>
      </c>
      <c r="B4176">
        <v>12</v>
      </c>
      <c r="C4176">
        <v>20500</v>
      </c>
      <c r="D4176" t="s">
        <v>71</v>
      </c>
      <c r="E4176" t="s">
        <v>72</v>
      </c>
      <c r="F4176" t="s">
        <v>80</v>
      </c>
    </row>
    <row r="4177" spans="1:6" x14ac:dyDescent="0.45">
      <c r="A4177">
        <v>40</v>
      </c>
      <c r="B4177">
        <v>12</v>
      </c>
      <c r="C4177">
        <v>20500</v>
      </c>
      <c r="D4177" t="s">
        <v>71</v>
      </c>
      <c r="E4177" t="s">
        <v>74</v>
      </c>
      <c r="F4177" t="s">
        <v>80</v>
      </c>
    </row>
    <row r="4178" spans="1:6" x14ac:dyDescent="0.45">
      <c r="A4178">
        <v>40</v>
      </c>
      <c r="B4178">
        <v>12</v>
      </c>
      <c r="C4178">
        <v>20547</v>
      </c>
      <c r="D4178" t="s">
        <v>71</v>
      </c>
      <c r="E4178" t="s">
        <v>74</v>
      </c>
      <c r="F4178" t="s">
        <v>80</v>
      </c>
    </row>
    <row r="4179" spans="1:6" x14ac:dyDescent="0.45">
      <c r="A4179">
        <v>40</v>
      </c>
      <c r="B4179">
        <v>12</v>
      </c>
      <c r="C4179">
        <v>20600</v>
      </c>
      <c r="D4179" t="s">
        <v>71</v>
      </c>
      <c r="E4179" t="s">
        <v>74</v>
      </c>
      <c r="F4179" t="s">
        <v>80</v>
      </c>
    </row>
    <row r="4180" spans="1:6" x14ac:dyDescent="0.45">
      <c r="A4180">
        <v>40</v>
      </c>
      <c r="B4180">
        <v>12</v>
      </c>
      <c r="C4180">
        <v>20800</v>
      </c>
      <c r="D4180" t="s">
        <v>71</v>
      </c>
      <c r="E4180" t="s">
        <v>72</v>
      </c>
      <c r="F4180" t="s">
        <v>80</v>
      </c>
    </row>
    <row r="4181" spans="1:6" x14ac:dyDescent="0.45">
      <c r="A4181">
        <v>0</v>
      </c>
      <c r="B4181">
        <v>12</v>
      </c>
      <c r="C4181">
        <v>20800</v>
      </c>
      <c r="D4181" t="s">
        <v>71</v>
      </c>
      <c r="E4181" t="s">
        <v>74</v>
      </c>
      <c r="F4181" t="s">
        <v>80</v>
      </c>
    </row>
    <row r="4182" spans="1:6" x14ac:dyDescent="0.45">
      <c r="A4182">
        <v>50</v>
      </c>
      <c r="B4182">
        <v>12</v>
      </c>
      <c r="C4182">
        <v>20800</v>
      </c>
      <c r="D4182" t="s">
        <v>71</v>
      </c>
      <c r="E4182" t="s">
        <v>74</v>
      </c>
      <c r="F4182" t="s">
        <v>80</v>
      </c>
    </row>
    <row r="4183" spans="1:6" x14ac:dyDescent="0.45">
      <c r="A4183">
        <v>40</v>
      </c>
      <c r="B4183">
        <v>12</v>
      </c>
      <c r="C4183">
        <v>20800</v>
      </c>
      <c r="D4183" t="s">
        <v>76</v>
      </c>
      <c r="E4183" t="s">
        <v>72</v>
      </c>
      <c r="F4183" t="s">
        <v>80</v>
      </c>
    </row>
    <row r="4184" spans="1:6" x14ac:dyDescent="0.45">
      <c r="A4184">
        <v>40</v>
      </c>
      <c r="B4184">
        <v>12</v>
      </c>
      <c r="C4184">
        <v>20800</v>
      </c>
      <c r="D4184" t="s">
        <v>71</v>
      </c>
      <c r="E4184" t="s">
        <v>74</v>
      </c>
      <c r="F4184" t="s">
        <v>80</v>
      </c>
    </row>
    <row r="4185" spans="1:6" x14ac:dyDescent="0.45">
      <c r="A4185">
        <v>0</v>
      </c>
      <c r="B4185">
        <v>12</v>
      </c>
      <c r="C4185">
        <v>20800</v>
      </c>
      <c r="D4185" t="s">
        <v>76</v>
      </c>
      <c r="E4185" t="s">
        <v>74</v>
      </c>
      <c r="F4185" t="s">
        <v>80</v>
      </c>
    </row>
    <row r="4186" spans="1:6" x14ac:dyDescent="0.45">
      <c r="A4186">
        <v>40</v>
      </c>
      <c r="B4186">
        <v>12</v>
      </c>
      <c r="C4186">
        <v>20800</v>
      </c>
      <c r="D4186" t="s">
        <v>76</v>
      </c>
      <c r="E4186" t="s">
        <v>74</v>
      </c>
      <c r="F4186" t="s">
        <v>80</v>
      </c>
    </row>
    <row r="4187" spans="1:6" x14ac:dyDescent="0.45">
      <c r="A4187">
        <v>40</v>
      </c>
      <c r="B4187">
        <v>12</v>
      </c>
      <c r="C4187">
        <v>20800</v>
      </c>
      <c r="D4187" t="s">
        <v>71</v>
      </c>
      <c r="E4187" t="s">
        <v>74</v>
      </c>
      <c r="F4187" t="s">
        <v>80</v>
      </c>
    </row>
    <row r="4188" spans="1:6" x14ac:dyDescent="0.45">
      <c r="A4188">
        <v>40</v>
      </c>
      <c r="B4188">
        <v>12</v>
      </c>
      <c r="C4188">
        <v>20840</v>
      </c>
      <c r="D4188" t="s">
        <v>71</v>
      </c>
      <c r="E4188" t="s">
        <v>72</v>
      </c>
      <c r="F4188" t="s">
        <v>80</v>
      </c>
    </row>
    <row r="4189" spans="1:6" x14ac:dyDescent="0.45">
      <c r="A4189">
        <v>40</v>
      </c>
      <c r="B4189">
        <v>12</v>
      </c>
      <c r="C4189">
        <v>20900</v>
      </c>
      <c r="D4189" t="s">
        <v>71</v>
      </c>
      <c r="E4189" t="s">
        <v>72</v>
      </c>
      <c r="F4189" t="s">
        <v>80</v>
      </c>
    </row>
    <row r="4190" spans="1:6" x14ac:dyDescent="0.45">
      <c r="A4190">
        <v>45</v>
      </c>
      <c r="B4190">
        <v>12</v>
      </c>
      <c r="C4190">
        <v>21000</v>
      </c>
      <c r="D4190" t="s">
        <v>71</v>
      </c>
      <c r="E4190" t="s">
        <v>74</v>
      </c>
      <c r="F4190" t="s">
        <v>80</v>
      </c>
    </row>
    <row r="4191" spans="1:6" x14ac:dyDescent="0.45">
      <c r="A4191">
        <v>35</v>
      </c>
      <c r="B4191">
        <v>12</v>
      </c>
      <c r="C4191">
        <v>21000</v>
      </c>
      <c r="D4191" t="s">
        <v>71</v>
      </c>
      <c r="E4191" t="s">
        <v>72</v>
      </c>
      <c r="F4191" t="s">
        <v>80</v>
      </c>
    </row>
    <row r="4192" spans="1:6" x14ac:dyDescent="0.45">
      <c r="A4192">
        <v>40</v>
      </c>
      <c r="B4192">
        <v>12</v>
      </c>
      <c r="C4192">
        <v>21000</v>
      </c>
      <c r="D4192" t="s">
        <v>71</v>
      </c>
      <c r="E4192" t="s">
        <v>74</v>
      </c>
      <c r="F4192" t="s">
        <v>80</v>
      </c>
    </row>
    <row r="4193" spans="1:6" x14ac:dyDescent="0.45">
      <c r="A4193">
        <v>40</v>
      </c>
      <c r="B4193">
        <v>12</v>
      </c>
      <c r="C4193">
        <v>21000</v>
      </c>
      <c r="D4193" t="s">
        <v>71</v>
      </c>
      <c r="E4193" t="s">
        <v>74</v>
      </c>
      <c r="F4193" t="s">
        <v>80</v>
      </c>
    </row>
    <row r="4194" spans="1:6" x14ac:dyDescent="0.45">
      <c r="A4194">
        <v>40</v>
      </c>
      <c r="B4194">
        <v>12</v>
      </c>
      <c r="C4194">
        <v>21000</v>
      </c>
      <c r="D4194" t="s">
        <v>71</v>
      </c>
      <c r="E4194" t="s">
        <v>74</v>
      </c>
      <c r="F4194" t="s">
        <v>80</v>
      </c>
    </row>
    <row r="4195" spans="1:6" x14ac:dyDescent="0.45">
      <c r="A4195">
        <v>40</v>
      </c>
      <c r="B4195">
        <v>12</v>
      </c>
      <c r="C4195">
        <v>21000</v>
      </c>
      <c r="D4195" t="s">
        <v>71</v>
      </c>
      <c r="E4195" t="s">
        <v>72</v>
      </c>
      <c r="F4195" t="s">
        <v>80</v>
      </c>
    </row>
    <row r="4196" spans="1:6" x14ac:dyDescent="0.45">
      <c r="A4196">
        <v>38</v>
      </c>
      <c r="B4196">
        <v>12</v>
      </c>
      <c r="C4196">
        <v>21000</v>
      </c>
      <c r="D4196" t="s">
        <v>71</v>
      </c>
      <c r="E4196" t="s">
        <v>72</v>
      </c>
      <c r="F4196" t="s">
        <v>80</v>
      </c>
    </row>
    <row r="4197" spans="1:6" x14ac:dyDescent="0.45">
      <c r="A4197">
        <v>40</v>
      </c>
      <c r="B4197">
        <v>12</v>
      </c>
      <c r="C4197">
        <v>21000</v>
      </c>
      <c r="D4197" t="s">
        <v>71</v>
      </c>
      <c r="E4197" t="s">
        <v>74</v>
      </c>
      <c r="F4197" t="s">
        <v>80</v>
      </c>
    </row>
    <row r="4198" spans="1:6" x14ac:dyDescent="0.45">
      <c r="A4198">
        <v>55</v>
      </c>
      <c r="B4198">
        <v>12</v>
      </c>
      <c r="C4198">
        <v>21000</v>
      </c>
      <c r="D4198" t="s">
        <v>71</v>
      </c>
      <c r="E4198" t="s">
        <v>74</v>
      </c>
      <c r="F4198" t="s">
        <v>80</v>
      </c>
    </row>
    <row r="4199" spans="1:6" x14ac:dyDescent="0.45">
      <c r="A4199">
        <v>40</v>
      </c>
      <c r="B4199">
        <v>12</v>
      </c>
      <c r="C4199">
        <v>21000</v>
      </c>
      <c r="D4199" t="s">
        <v>71</v>
      </c>
      <c r="E4199" t="s">
        <v>72</v>
      </c>
      <c r="F4199" t="s">
        <v>80</v>
      </c>
    </row>
    <row r="4200" spans="1:6" x14ac:dyDescent="0.45">
      <c r="A4200">
        <v>49</v>
      </c>
      <c r="B4200">
        <v>12</v>
      </c>
      <c r="C4200">
        <v>21000</v>
      </c>
      <c r="D4200" t="s">
        <v>71</v>
      </c>
      <c r="E4200" t="s">
        <v>74</v>
      </c>
      <c r="F4200" t="s">
        <v>80</v>
      </c>
    </row>
    <row r="4201" spans="1:6" x14ac:dyDescent="0.45">
      <c r="A4201">
        <v>40</v>
      </c>
      <c r="B4201">
        <v>12</v>
      </c>
      <c r="C4201">
        <v>21000</v>
      </c>
      <c r="D4201" t="s">
        <v>71</v>
      </c>
      <c r="E4201" t="s">
        <v>72</v>
      </c>
      <c r="F4201" t="s">
        <v>80</v>
      </c>
    </row>
    <row r="4202" spans="1:6" x14ac:dyDescent="0.45">
      <c r="A4202">
        <v>40</v>
      </c>
      <c r="B4202">
        <v>12</v>
      </c>
      <c r="C4202">
        <v>21000</v>
      </c>
      <c r="D4202" t="s">
        <v>71</v>
      </c>
      <c r="E4202" t="s">
        <v>74</v>
      </c>
      <c r="F4202" t="s">
        <v>80</v>
      </c>
    </row>
    <row r="4203" spans="1:6" x14ac:dyDescent="0.45">
      <c r="A4203">
        <v>40</v>
      </c>
      <c r="B4203">
        <v>12</v>
      </c>
      <c r="C4203">
        <v>21000</v>
      </c>
      <c r="D4203" t="s">
        <v>71</v>
      </c>
      <c r="E4203" t="s">
        <v>72</v>
      </c>
      <c r="F4203" t="s">
        <v>80</v>
      </c>
    </row>
    <row r="4204" spans="1:6" x14ac:dyDescent="0.45">
      <c r="A4204">
        <v>40</v>
      </c>
      <c r="B4204">
        <v>12</v>
      </c>
      <c r="C4204">
        <v>21000</v>
      </c>
      <c r="D4204" t="s">
        <v>71</v>
      </c>
      <c r="E4204" t="s">
        <v>72</v>
      </c>
      <c r="F4204" t="s">
        <v>80</v>
      </c>
    </row>
    <row r="4205" spans="1:6" x14ac:dyDescent="0.45">
      <c r="A4205">
        <v>56</v>
      </c>
      <c r="B4205">
        <v>12</v>
      </c>
      <c r="C4205">
        <v>21000</v>
      </c>
      <c r="D4205" t="s">
        <v>76</v>
      </c>
      <c r="E4205" t="s">
        <v>72</v>
      </c>
      <c r="F4205" t="s">
        <v>80</v>
      </c>
    </row>
    <row r="4206" spans="1:6" x14ac:dyDescent="0.45">
      <c r="A4206">
        <v>40</v>
      </c>
      <c r="B4206">
        <v>12</v>
      </c>
      <c r="C4206">
        <v>21000</v>
      </c>
      <c r="D4206" t="s">
        <v>71</v>
      </c>
      <c r="E4206" t="s">
        <v>72</v>
      </c>
      <c r="F4206" t="s">
        <v>80</v>
      </c>
    </row>
    <row r="4207" spans="1:6" x14ac:dyDescent="0.45">
      <c r="A4207">
        <v>40</v>
      </c>
      <c r="B4207">
        <v>12</v>
      </c>
      <c r="C4207">
        <v>21000</v>
      </c>
      <c r="D4207" t="s">
        <v>71</v>
      </c>
      <c r="E4207" t="s">
        <v>74</v>
      </c>
      <c r="F4207" t="s">
        <v>80</v>
      </c>
    </row>
    <row r="4208" spans="1:6" x14ac:dyDescent="0.45">
      <c r="A4208">
        <v>40</v>
      </c>
      <c r="B4208">
        <v>12</v>
      </c>
      <c r="C4208">
        <v>21000</v>
      </c>
      <c r="D4208" t="s">
        <v>71</v>
      </c>
      <c r="E4208" t="s">
        <v>72</v>
      </c>
      <c r="F4208" t="s">
        <v>80</v>
      </c>
    </row>
    <row r="4209" spans="1:6" x14ac:dyDescent="0.45">
      <c r="A4209">
        <v>0</v>
      </c>
      <c r="B4209">
        <v>12</v>
      </c>
      <c r="C4209">
        <v>21000</v>
      </c>
      <c r="D4209" t="s">
        <v>71</v>
      </c>
      <c r="E4209" t="s">
        <v>74</v>
      </c>
      <c r="F4209" t="s">
        <v>80</v>
      </c>
    </row>
    <row r="4210" spans="1:6" x14ac:dyDescent="0.45">
      <c r="A4210">
        <v>40</v>
      </c>
      <c r="B4210">
        <v>12</v>
      </c>
      <c r="C4210">
        <v>21000</v>
      </c>
      <c r="D4210" t="s">
        <v>71</v>
      </c>
      <c r="E4210" t="s">
        <v>74</v>
      </c>
      <c r="F4210" t="s">
        <v>80</v>
      </c>
    </row>
    <row r="4211" spans="1:6" x14ac:dyDescent="0.45">
      <c r="A4211">
        <v>40</v>
      </c>
      <c r="B4211">
        <v>12</v>
      </c>
      <c r="C4211">
        <v>21000</v>
      </c>
      <c r="D4211" t="s">
        <v>71</v>
      </c>
      <c r="E4211" t="s">
        <v>72</v>
      </c>
      <c r="F4211" t="s">
        <v>80</v>
      </c>
    </row>
    <row r="4212" spans="1:6" x14ac:dyDescent="0.45">
      <c r="A4212">
        <v>40</v>
      </c>
      <c r="B4212">
        <v>12</v>
      </c>
      <c r="C4212">
        <v>21000</v>
      </c>
      <c r="D4212" t="s">
        <v>71</v>
      </c>
      <c r="E4212" t="s">
        <v>74</v>
      </c>
      <c r="F4212" t="s">
        <v>80</v>
      </c>
    </row>
    <row r="4213" spans="1:6" x14ac:dyDescent="0.45">
      <c r="A4213">
        <v>40</v>
      </c>
      <c r="B4213">
        <v>12</v>
      </c>
      <c r="C4213">
        <v>21000</v>
      </c>
      <c r="D4213" t="s">
        <v>71</v>
      </c>
      <c r="E4213" t="s">
        <v>72</v>
      </c>
      <c r="F4213" t="s">
        <v>80</v>
      </c>
    </row>
    <row r="4214" spans="1:6" x14ac:dyDescent="0.45">
      <c r="A4214">
        <v>40</v>
      </c>
      <c r="B4214">
        <v>12</v>
      </c>
      <c r="C4214">
        <v>21000</v>
      </c>
      <c r="D4214" t="s">
        <v>71</v>
      </c>
      <c r="E4214" t="s">
        <v>74</v>
      </c>
      <c r="F4214" t="s">
        <v>80</v>
      </c>
    </row>
    <row r="4215" spans="1:6" x14ac:dyDescent="0.45">
      <c r="A4215">
        <v>48</v>
      </c>
      <c r="B4215">
        <v>12</v>
      </c>
      <c r="C4215">
        <v>21000</v>
      </c>
      <c r="D4215" t="s">
        <v>71</v>
      </c>
      <c r="E4215" t="s">
        <v>72</v>
      </c>
      <c r="F4215" t="s">
        <v>80</v>
      </c>
    </row>
    <row r="4216" spans="1:6" x14ac:dyDescent="0.45">
      <c r="A4216">
        <v>40</v>
      </c>
      <c r="B4216">
        <v>12</v>
      </c>
      <c r="C4216">
        <v>21000</v>
      </c>
      <c r="D4216" t="s">
        <v>71</v>
      </c>
      <c r="E4216" t="s">
        <v>74</v>
      </c>
      <c r="F4216" t="s">
        <v>80</v>
      </c>
    </row>
    <row r="4217" spans="1:6" x14ac:dyDescent="0.45">
      <c r="A4217">
        <v>38</v>
      </c>
      <c r="B4217">
        <v>12</v>
      </c>
      <c r="C4217">
        <v>21000</v>
      </c>
      <c r="D4217" t="s">
        <v>71</v>
      </c>
      <c r="E4217" t="s">
        <v>72</v>
      </c>
      <c r="F4217" t="s">
        <v>80</v>
      </c>
    </row>
    <row r="4218" spans="1:6" x14ac:dyDescent="0.45">
      <c r="A4218">
        <v>40</v>
      </c>
      <c r="B4218">
        <v>12</v>
      </c>
      <c r="C4218">
        <v>21000</v>
      </c>
      <c r="D4218" t="s">
        <v>71</v>
      </c>
      <c r="E4218" t="s">
        <v>74</v>
      </c>
      <c r="F4218" t="s">
        <v>80</v>
      </c>
    </row>
    <row r="4219" spans="1:6" x14ac:dyDescent="0.45">
      <c r="A4219">
        <v>45</v>
      </c>
      <c r="B4219">
        <v>12</v>
      </c>
      <c r="C4219">
        <v>21000</v>
      </c>
      <c r="D4219" t="s">
        <v>71</v>
      </c>
      <c r="E4219" t="s">
        <v>74</v>
      </c>
      <c r="F4219" t="s">
        <v>80</v>
      </c>
    </row>
    <row r="4220" spans="1:6" x14ac:dyDescent="0.45">
      <c r="A4220">
        <v>40</v>
      </c>
      <c r="B4220">
        <v>12</v>
      </c>
      <c r="C4220">
        <v>21087</v>
      </c>
      <c r="D4220" t="s">
        <v>71</v>
      </c>
      <c r="E4220" t="s">
        <v>74</v>
      </c>
      <c r="F4220" t="s">
        <v>80</v>
      </c>
    </row>
    <row r="4221" spans="1:6" x14ac:dyDescent="0.45">
      <c r="A4221">
        <v>50</v>
      </c>
      <c r="B4221">
        <v>12</v>
      </c>
      <c r="C4221">
        <v>21260</v>
      </c>
      <c r="D4221" t="s">
        <v>71</v>
      </c>
      <c r="E4221" t="s">
        <v>74</v>
      </c>
      <c r="F4221" t="s">
        <v>80</v>
      </c>
    </row>
    <row r="4222" spans="1:6" x14ac:dyDescent="0.45">
      <c r="A4222">
        <v>40</v>
      </c>
      <c r="B4222">
        <v>12</v>
      </c>
      <c r="C4222">
        <v>21320</v>
      </c>
      <c r="D4222" t="s">
        <v>71</v>
      </c>
      <c r="E4222" t="s">
        <v>74</v>
      </c>
      <c r="F4222" t="s">
        <v>80</v>
      </c>
    </row>
    <row r="4223" spans="1:6" x14ac:dyDescent="0.45">
      <c r="A4223">
        <v>40</v>
      </c>
      <c r="B4223">
        <v>12</v>
      </c>
      <c r="C4223">
        <v>21400</v>
      </c>
      <c r="D4223" t="s">
        <v>71</v>
      </c>
      <c r="E4223" t="s">
        <v>74</v>
      </c>
      <c r="F4223" t="s">
        <v>80</v>
      </c>
    </row>
    <row r="4224" spans="1:6" x14ac:dyDescent="0.45">
      <c r="A4224">
        <v>37</v>
      </c>
      <c r="B4224">
        <v>12</v>
      </c>
      <c r="C4224">
        <v>21400</v>
      </c>
      <c r="D4224" t="s">
        <v>71</v>
      </c>
      <c r="E4224" t="s">
        <v>72</v>
      </c>
      <c r="F4224" t="s">
        <v>80</v>
      </c>
    </row>
    <row r="4225" spans="1:6" x14ac:dyDescent="0.45">
      <c r="A4225">
        <v>60</v>
      </c>
      <c r="B4225">
        <v>12</v>
      </c>
      <c r="C4225">
        <v>21500</v>
      </c>
      <c r="D4225" t="s">
        <v>71</v>
      </c>
      <c r="E4225" t="s">
        <v>74</v>
      </c>
      <c r="F4225" t="s">
        <v>80</v>
      </c>
    </row>
    <row r="4226" spans="1:6" x14ac:dyDescent="0.45">
      <c r="A4226">
        <v>50</v>
      </c>
      <c r="B4226">
        <v>12</v>
      </c>
      <c r="C4226">
        <v>21500</v>
      </c>
      <c r="D4226" t="s">
        <v>71</v>
      </c>
      <c r="E4226" t="s">
        <v>74</v>
      </c>
      <c r="F4226" t="s">
        <v>80</v>
      </c>
    </row>
    <row r="4227" spans="1:6" x14ac:dyDescent="0.45">
      <c r="A4227">
        <v>40</v>
      </c>
      <c r="B4227">
        <v>12</v>
      </c>
      <c r="C4227">
        <v>21984</v>
      </c>
      <c r="D4227" t="s">
        <v>71</v>
      </c>
      <c r="E4227" t="s">
        <v>72</v>
      </c>
      <c r="F4227" t="s">
        <v>80</v>
      </c>
    </row>
    <row r="4228" spans="1:6" x14ac:dyDescent="0.45">
      <c r="A4228">
        <v>40</v>
      </c>
      <c r="B4228">
        <v>12</v>
      </c>
      <c r="C4228">
        <v>22000</v>
      </c>
      <c r="D4228" t="s">
        <v>71</v>
      </c>
      <c r="E4228" t="s">
        <v>72</v>
      </c>
      <c r="F4228" t="s">
        <v>80</v>
      </c>
    </row>
    <row r="4229" spans="1:6" x14ac:dyDescent="0.45">
      <c r="A4229">
        <v>40</v>
      </c>
      <c r="B4229">
        <v>12</v>
      </c>
      <c r="C4229">
        <v>22000</v>
      </c>
      <c r="D4229" t="s">
        <v>71</v>
      </c>
      <c r="E4229" t="s">
        <v>74</v>
      </c>
      <c r="F4229" t="s">
        <v>80</v>
      </c>
    </row>
    <row r="4230" spans="1:6" x14ac:dyDescent="0.45">
      <c r="A4230">
        <v>45</v>
      </c>
      <c r="B4230">
        <v>12</v>
      </c>
      <c r="C4230">
        <v>22000</v>
      </c>
      <c r="D4230" t="s">
        <v>71</v>
      </c>
      <c r="E4230" t="s">
        <v>72</v>
      </c>
      <c r="F4230" t="s">
        <v>80</v>
      </c>
    </row>
    <row r="4231" spans="1:6" x14ac:dyDescent="0.45">
      <c r="A4231">
        <v>40</v>
      </c>
      <c r="B4231">
        <v>12</v>
      </c>
      <c r="C4231">
        <v>22000</v>
      </c>
      <c r="D4231" t="s">
        <v>71</v>
      </c>
      <c r="E4231" t="s">
        <v>74</v>
      </c>
      <c r="F4231" t="s">
        <v>80</v>
      </c>
    </row>
    <row r="4232" spans="1:6" x14ac:dyDescent="0.45">
      <c r="A4232">
        <v>40</v>
      </c>
      <c r="B4232">
        <v>12</v>
      </c>
      <c r="C4232">
        <v>22000</v>
      </c>
      <c r="D4232" t="s">
        <v>71</v>
      </c>
      <c r="E4232" t="s">
        <v>74</v>
      </c>
      <c r="F4232" t="s">
        <v>80</v>
      </c>
    </row>
    <row r="4233" spans="1:6" x14ac:dyDescent="0.45">
      <c r="A4233">
        <v>55</v>
      </c>
      <c r="B4233">
        <v>12</v>
      </c>
      <c r="C4233">
        <v>22000</v>
      </c>
      <c r="D4233" t="s">
        <v>71</v>
      </c>
      <c r="E4233" t="s">
        <v>74</v>
      </c>
      <c r="F4233" t="s">
        <v>80</v>
      </c>
    </row>
    <row r="4234" spans="1:6" x14ac:dyDescent="0.45">
      <c r="A4234">
        <v>45</v>
      </c>
      <c r="B4234">
        <v>12</v>
      </c>
      <c r="C4234">
        <v>22000</v>
      </c>
      <c r="D4234" t="s">
        <v>71</v>
      </c>
      <c r="E4234" t="s">
        <v>72</v>
      </c>
      <c r="F4234" t="s">
        <v>80</v>
      </c>
    </row>
    <row r="4235" spans="1:6" x14ac:dyDescent="0.45">
      <c r="A4235">
        <v>40</v>
      </c>
      <c r="B4235">
        <v>12</v>
      </c>
      <c r="C4235">
        <v>22000</v>
      </c>
      <c r="D4235" t="s">
        <v>76</v>
      </c>
      <c r="E4235" t="s">
        <v>72</v>
      </c>
      <c r="F4235" t="s">
        <v>80</v>
      </c>
    </row>
    <row r="4236" spans="1:6" x14ac:dyDescent="0.45">
      <c r="A4236">
        <v>40</v>
      </c>
      <c r="B4236">
        <v>12</v>
      </c>
      <c r="C4236">
        <v>22000</v>
      </c>
      <c r="D4236" t="s">
        <v>71</v>
      </c>
      <c r="E4236" t="s">
        <v>74</v>
      </c>
      <c r="F4236" t="s">
        <v>80</v>
      </c>
    </row>
    <row r="4237" spans="1:6" x14ac:dyDescent="0.45">
      <c r="A4237">
        <v>40</v>
      </c>
      <c r="B4237">
        <v>12</v>
      </c>
      <c r="C4237">
        <v>22000</v>
      </c>
      <c r="D4237" t="s">
        <v>71</v>
      </c>
      <c r="E4237" t="s">
        <v>72</v>
      </c>
      <c r="F4237" t="s">
        <v>80</v>
      </c>
    </row>
    <row r="4238" spans="1:6" x14ac:dyDescent="0.45">
      <c r="A4238">
        <v>38</v>
      </c>
      <c r="B4238">
        <v>12</v>
      </c>
      <c r="C4238">
        <v>22000</v>
      </c>
      <c r="D4238" t="s">
        <v>71</v>
      </c>
      <c r="E4238" t="s">
        <v>72</v>
      </c>
      <c r="F4238" t="s">
        <v>80</v>
      </c>
    </row>
    <row r="4239" spans="1:6" x14ac:dyDescent="0.45">
      <c r="A4239">
        <v>47</v>
      </c>
      <c r="B4239">
        <v>12</v>
      </c>
      <c r="C4239">
        <v>22000</v>
      </c>
      <c r="D4239" t="s">
        <v>71</v>
      </c>
      <c r="E4239" t="s">
        <v>72</v>
      </c>
      <c r="F4239" t="s">
        <v>80</v>
      </c>
    </row>
    <row r="4240" spans="1:6" x14ac:dyDescent="0.45">
      <c r="A4240">
        <v>40</v>
      </c>
      <c r="B4240">
        <v>12</v>
      </c>
      <c r="C4240">
        <v>22000</v>
      </c>
      <c r="D4240" t="s">
        <v>71</v>
      </c>
      <c r="E4240" t="s">
        <v>72</v>
      </c>
      <c r="F4240" t="s">
        <v>80</v>
      </c>
    </row>
    <row r="4241" spans="1:6" x14ac:dyDescent="0.45">
      <c r="A4241">
        <v>0</v>
      </c>
      <c r="B4241">
        <v>12</v>
      </c>
      <c r="C4241">
        <v>22000</v>
      </c>
      <c r="D4241" t="s">
        <v>71</v>
      </c>
      <c r="E4241" t="s">
        <v>72</v>
      </c>
      <c r="F4241" t="s">
        <v>80</v>
      </c>
    </row>
    <row r="4242" spans="1:6" x14ac:dyDescent="0.45">
      <c r="A4242">
        <v>40</v>
      </c>
      <c r="B4242">
        <v>12</v>
      </c>
      <c r="C4242">
        <v>22000</v>
      </c>
      <c r="D4242" t="s">
        <v>71</v>
      </c>
      <c r="E4242" t="s">
        <v>74</v>
      </c>
      <c r="F4242" t="s">
        <v>80</v>
      </c>
    </row>
    <row r="4243" spans="1:6" x14ac:dyDescent="0.45">
      <c r="A4243">
        <v>40</v>
      </c>
      <c r="B4243">
        <v>12</v>
      </c>
      <c r="C4243">
        <v>22000</v>
      </c>
      <c r="D4243" t="s">
        <v>71</v>
      </c>
      <c r="E4243" t="s">
        <v>74</v>
      </c>
      <c r="F4243" t="s">
        <v>80</v>
      </c>
    </row>
    <row r="4244" spans="1:6" x14ac:dyDescent="0.45">
      <c r="A4244">
        <v>40</v>
      </c>
      <c r="B4244">
        <v>12</v>
      </c>
      <c r="C4244">
        <v>22000</v>
      </c>
      <c r="D4244" t="s">
        <v>71</v>
      </c>
      <c r="E4244" t="s">
        <v>74</v>
      </c>
      <c r="F4244" t="s">
        <v>80</v>
      </c>
    </row>
    <row r="4245" spans="1:6" x14ac:dyDescent="0.45">
      <c r="A4245">
        <v>40</v>
      </c>
      <c r="B4245">
        <v>12</v>
      </c>
      <c r="C4245">
        <v>22000</v>
      </c>
      <c r="D4245" t="s">
        <v>71</v>
      </c>
      <c r="E4245" t="s">
        <v>72</v>
      </c>
      <c r="F4245" t="s">
        <v>80</v>
      </c>
    </row>
    <row r="4246" spans="1:6" x14ac:dyDescent="0.45">
      <c r="A4246">
        <v>40</v>
      </c>
      <c r="B4246">
        <v>12</v>
      </c>
      <c r="C4246">
        <v>22000</v>
      </c>
      <c r="D4246" t="s">
        <v>71</v>
      </c>
      <c r="E4246" t="s">
        <v>72</v>
      </c>
      <c r="F4246" t="s">
        <v>80</v>
      </c>
    </row>
    <row r="4247" spans="1:6" x14ac:dyDescent="0.45">
      <c r="A4247">
        <v>45</v>
      </c>
      <c r="B4247">
        <v>12</v>
      </c>
      <c r="C4247">
        <v>22000</v>
      </c>
      <c r="D4247" t="s">
        <v>71</v>
      </c>
      <c r="E4247" t="s">
        <v>72</v>
      </c>
      <c r="F4247" t="s">
        <v>80</v>
      </c>
    </row>
    <row r="4248" spans="1:6" x14ac:dyDescent="0.45">
      <c r="A4248">
        <v>45</v>
      </c>
      <c r="B4248">
        <v>12</v>
      </c>
      <c r="C4248">
        <v>22000</v>
      </c>
      <c r="D4248" t="s">
        <v>71</v>
      </c>
      <c r="E4248" t="s">
        <v>72</v>
      </c>
      <c r="F4248" t="s">
        <v>80</v>
      </c>
    </row>
    <row r="4249" spans="1:6" x14ac:dyDescent="0.45">
      <c r="A4249">
        <v>40</v>
      </c>
      <c r="B4249">
        <v>12</v>
      </c>
      <c r="C4249">
        <v>22000</v>
      </c>
      <c r="D4249" t="s">
        <v>71</v>
      </c>
      <c r="E4249" t="s">
        <v>74</v>
      </c>
      <c r="F4249" t="s">
        <v>80</v>
      </c>
    </row>
    <row r="4250" spans="1:6" x14ac:dyDescent="0.45">
      <c r="A4250">
        <v>40</v>
      </c>
      <c r="B4250">
        <v>12</v>
      </c>
      <c r="C4250">
        <v>22000</v>
      </c>
      <c r="D4250" t="s">
        <v>71</v>
      </c>
      <c r="E4250" t="s">
        <v>72</v>
      </c>
      <c r="F4250" t="s">
        <v>80</v>
      </c>
    </row>
    <row r="4251" spans="1:6" x14ac:dyDescent="0.45">
      <c r="A4251">
        <v>0</v>
      </c>
      <c r="B4251">
        <v>12</v>
      </c>
      <c r="C4251">
        <v>22000</v>
      </c>
      <c r="D4251" t="s">
        <v>71</v>
      </c>
      <c r="E4251" t="s">
        <v>74</v>
      </c>
      <c r="F4251" t="s">
        <v>80</v>
      </c>
    </row>
    <row r="4252" spans="1:6" x14ac:dyDescent="0.45">
      <c r="A4252">
        <v>40</v>
      </c>
      <c r="B4252">
        <v>12</v>
      </c>
      <c r="C4252">
        <v>22000</v>
      </c>
      <c r="D4252" t="s">
        <v>71</v>
      </c>
      <c r="E4252" t="s">
        <v>72</v>
      </c>
      <c r="F4252" t="s">
        <v>80</v>
      </c>
    </row>
    <row r="4253" spans="1:6" x14ac:dyDescent="0.45">
      <c r="A4253">
        <v>40</v>
      </c>
      <c r="B4253">
        <v>12</v>
      </c>
      <c r="C4253">
        <v>22000</v>
      </c>
      <c r="D4253" t="s">
        <v>71</v>
      </c>
      <c r="E4253" t="s">
        <v>72</v>
      </c>
      <c r="F4253" t="s">
        <v>80</v>
      </c>
    </row>
    <row r="4254" spans="1:6" x14ac:dyDescent="0.45">
      <c r="A4254">
        <v>40</v>
      </c>
      <c r="B4254">
        <v>12</v>
      </c>
      <c r="C4254">
        <v>22000</v>
      </c>
      <c r="D4254" t="s">
        <v>71</v>
      </c>
      <c r="E4254" t="s">
        <v>74</v>
      </c>
      <c r="F4254" t="s">
        <v>80</v>
      </c>
    </row>
    <row r="4255" spans="1:6" x14ac:dyDescent="0.45">
      <c r="A4255">
        <v>40</v>
      </c>
      <c r="B4255">
        <v>12</v>
      </c>
      <c r="C4255">
        <v>22000</v>
      </c>
      <c r="D4255" t="s">
        <v>71</v>
      </c>
      <c r="E4255" t="s">
        <v>74</v>
      </c>
      <c r="F4255" t="s">
        <v>80</v>
      </c>
    </row>
    <row r="4256" spans="1:6" x14ac:dyDescent="0.45">
      <c r="A4256">
        <v>40</v>
      </c>
      <c r="B4256">
        <v>12</v>
      </c>
      <c r="C4256">
        <v>22000</v>
      </c>
      <c r="D4256" t="s">
        <v>71</v>
      </c>
      <c r="E4256" t="s">
        <v>74</v>
      </c>
      <c r="F4256" t="s">
        <v>80</v>
      </c>
    </row>
    <row r="4257" spans="1:6" x14ac:dyDescent="0.45">
      <c r="A4257">
        <v>40</v>
      </c>
      <c r="B4257">
        <v>12</v>
      </c>
      <c r="C4257">
        <v>22000</v>
      </c>
      <c r="D4257" t="s">
        <v>71</v>
      </c>
      <c r="E4257" t="s">
        <v>72</v>
      </c>
      <c r="F4257" t="s">
        <v>80</v>
      </c>
    </row>
    <row r="4258" spans="1:6" x14ac:dyDescent="0.45">
      <c r="A4258">
        <v>40</v>
      </c>
      <c r="B4258">
        <v>12</v>
      </c>
      <c r="C4258">
        <v>22000</v>
      </c>
      <c r="D4258" t="s">
        <v>71</v>
      </c>
      <c r="E4258" t="s">
        <v>72</v>
      </c>
      <c r="F4258" t="s">
        <v>80</v>
      </c>
    </row>
    <row r="4259" spans="1:6" x14ac:dyDescent="0.45">
      <c r="A4259">
        <v>40</v>
      </c>
      <c r="B4259">
        <v>12</v>
      </c>
      <c r="C4259">
        <v>22000</v>
      </c>
      <c r="D4259" t="s">
        <v>71</v>
      </c>
      <c r="E4259" t="s">
        <v>72</v>
      </c>
      <c r="F4259" t="s">
        <v>80</v>
      </c>
    </row>
    <row r="4260" spans="1:6" x14ac:dyDescent="0.45">
      <c r="A4260">
        <v>40</v>
      </c>
      <c r="B4260">
        <v>12</v>
      </c>
      <c r="C4260">
        <v>22000</v>
      </c>
      <c r="D4260" t="s">
        <v>71</v>
      </c>
      <c r="E4260" t="s">
        <v>72</v>
      </c>
      <c r="F4260" t="s">
        <v>80</v>
      </c>
    </row>
    <row r="4261" spans="1:6" x14ac:dyDescent="0.45">
      <c r="A4261">
        <v>45</v>
      </c>
      <c r="B4261">
        <v>12</v>
      </c>
      <c r="C4261">
        <v>22000</v>
      </c>
      <c r="D4261" t="s">
        <v>71</v>
      </c>
      <c r="E4261" t="s">
        <v>74</v>
      </c>
      <c r="F4261" t="s">
        <v>80</v>
      </c>
    </row>
    <row r="4262" spans="1:6" x14ac:dyDescent="0.45">
      <c r="A4262">
        <v>55</v>
      </c>
      <c r="B4262">
        <v>12</v>
      </c>
      <c r="C4262">
        <v>22000</v>
      </c>
      <c r="D4262" t="s">
        <v>71</v>
      </c>
      <c r="E4262" t="s">
        <v>72</v>
      </c>
      <c r="F4262" t="s">
        <v>80</v>
      </c>
    </row>
    <row r="4263" spans="1:6" x14ac:dyDescent="0.45">
      <c r="A4263">
        <v>48</v>
      </c>
      <c r="B4263">
        <v>12</v>
      </c>
      <c r="C4263">
        <v>22000</v>
      </c>
      <c r="D4263" t="s">
        <v>71</v>
      </c>
      <c r="E4263" t="s">
        <v>74</v>
      </c>
      <c r="F4263" t="s">
        <v>80</v>
      </c>
    </row>
    <row r="4264" spans="1:6" x14ac:dyDescent="0.45">
      <c r="A4264">
        <v>0</v>
      </c>
      <c r="B4264">
        <v>12</v>
      </c>
      <c r="C4264">
        <v>22000</v>
      </c>
      <c r="D4264" t="s">
        <v>71</v>
      </c>
      <c r="E4264" t="s">
        <v>72</v>
      </c>
      <c r="F4264" t="s">
        <v>80</v>
      </c>
    </row>
    <row r="4265" spans="1:6" x14ac:dyDescent="0.45">
      <c r="A4265">
        <v>40</v>
      </c>
      <c r="B4265">
        <v>12</v>
      </c>
      <c r="C4265">
        <v>22000</v>
      </c>
      <c r="D4265" t="s">
        <v>76</v>
      </c>
      <c r="E4265" t="s">
        <v>72</v>
      </c>
      <c r="F4265" t="s">
        <v>80</v>
      </c>
    </row>
    <row r="4266" spans="1:6" x14ac:dyDescent="0.45">
      <c r="A4266">
        <v>40</v>
      </c>
      <c r="B4266">
        <v>12</v>
      </c>
      <c r="C4266">
        <v>22000</v>
      </c>
      <c r="D4266" t="s">
        <v>71</v>
      </c>
      <c r="E4266" t="s">
        <v>72</v>
      </c>
      <c r="F4266" t="s">
        <v>80</v>
      </c>
    </row>
    <row r="4267" spans="1:6" x14ac:dyDescent="0.45">
      <c r="A4267">
        <v>40</v>
      </c>
      <c r="B4267">
        <v>12</v>
      </c>
      <c r="C4267">
        <v>22100</v>
      </c>
      <c r="D4267" t="s">
        <v>71</v>
      </c>
      <c r="E4267" t="s">
        <v>74</v>
      </c>
      <c r="F4267" t="s">
        <v>80</v>
      </c>
    </row>
    <row r="4268" spans="1:6" x14ac:dyDescent="0.45">
      <c r="A4268">
        <v>40</v>
      </c>
      <c r="B4268">
        <v>12</v>
      </c>
      <c r="C4268">
        <v>22414</v>
      </c>
      <c r="D4268" t="s">
        <v>71</v>
      </c>
      <c r="E4268" t="s">
        <v>74</v>
      </c>
      <c r="F4268" t="s">
        <v>80</v>
      </c>
    </row>
    <row r="4269" spans="1:6" x14ac:dyDescent="0.45">
      <c r="A4269">
        <v>40</v>
      </c>
      <c r="B4269">
        <v>12</v>
      </c>
      <c r="C4269">
        <v>22500</v>
      </c>
      <c r="D4269" t="s">
        <v>71</v>
      </c>
      <c r="E4269" t="s">
        <v>74</v>
      </c>
      <c r="F4269" t="s">
        <v>80</v>
      </c>
    </row>
    <row r="4270" spans="1:6" x14ac:dyDescent="0.45">
      <c r="A4270">
        <v>50</v>
      </c>
      <c r="B4270">
        <v>12</v>
      </c>
      <c r="C4270">
        <v>22500</v>
      </c>
      <c r="D4270" t="s">
        <v>76</v>
      </c>
      <c r="E4270" t="s">
        <v>74</v>
      </c>
      <c r="F4270" t="s">
        <v>80</v>
      </c>
    </row>
    <row r="4271" spans="1:6" x14ac:dyDescent="0.45">
      <c r="A4271">
        <v>50</v>
      </c>
      <c r="B4271">
        <v>12</v>
      </c>
      <c r="C4271">
        <v>22500</v>
      </c>
      <c r="D4271" t="s">
        <v>71</v>
      </c>
      <c r="E4271" t="s">
        <v>74</v>
      </c>
      <c r="F4271" t="s">
        <v>80</v>
      </c>
    </row>
    <row r="4272" spans="1:6" x14ac:dyDescent="0.45">
      <c r="A4272">
        <v>40</v>
      </c>
      <c r="B4272">
        <v>12</v>
      </c>
      <c r="C4272">
        <v>22500</v>
      </c>
      <c r="D4272" t="s">
        <v>71</v>
      </c>
      <c r="E4272" t="s">
        <v>74</v>
      </c>
      <c r="F4272" t="s">
        <v>80</v>
      </c>
    </row>
    <row r="4273" spans="1:6" x14ac:dyDescent="0.45">
      <c r="A4273">
        <v>40</v>
      </c>
      <c r="B4273">
        <v>12</v>
      </c>
      <c r="C4273">
        <v>22500</v>
      </c>
      <c r="D4273" t="s">
        <v>71</v>
      </c>
      <c r="E4273" t="s">
        <v>72</v>
      </c>
      <c r="F4273" t="s">
        <v>80</v>
      </c>
    </row>
    <row r="4274" spans="1:6" x14ac:dyDescent="0.45">
      <c r="A4274">
        <v>40</v>
      </c>
      <c r="B4274">
        <v>12</v>
      </c>
      <c r="C4274">
        <v>22600</v>
      </c>
      <c r="D4274" t="s">
        <v>71</v>
      </c>
      <c r="E4274" t="s">
        <v>72</v>
      </c>
      <c r="F4274" t="s">
        <v>80</v>
      </c>
    </row>
    <row r="4275" spans="1:6" x14ac:dyDescent="0.45">
      <c r="A4275">
        <v>40</v>
      </c>
      <c r="B4275">
        <v>12</v>
      </c>
      <c r="C4275">
        <v>22670</v>
      </c>
      <c r="D4275" t="s">
        <v>71</v>
      </c>
      <c r="E4275" t="s">
        <v>74</v>
      </c>
      <c r="F4275" t="s">
        <v>80</v>
      </c>
    </row>
    <row r="4276" spans="1:6" x14ac:dyDescent="0.45">
      <c r="A4276">
        <v>40</v>
      </c>
      <c r="B4276">
        <v>12</v>
      </c>
      <c r="C4276">
        <v>22690</v>
      </c>
      <c r="D4276" t="s">
        <v>76</v>
      </c>
      <c r="E4276" t="s">
        <v>72</v>
      </c>
      <c r="F4276" t="s">
        <v>80</v>
      </c>
    </row>
    <row r="4277" spans="1:6" x14ac:dyDescent="0.45">
      <c r="A4277">
        <v>37</v>
      </c>
      <c r="B4277">
        <v>12</v>
      </c>
      <c r="C4277">
        <v>22690</v>
      </c>
      <c r="D4277" t="s">
        <v>71</v>
      </c>
      <c r="E4277" t="s">
        <v>72</v>
      </c>
      <c r="F4277" t="s">
        <v>80</v>
      </c>
    </row>
    <row r="4278" spans="1:6" x14ac:dyDescent="0.45">
      <c r="A4278">
        <v>40</v>
      </c>
      <c r="B4278">
        <v>12</v>
      </c>
      <c r="C4278">
        <v>22919</v>
      </c>
      <c r="D4278" t="s">
        <v>71</v>
      </c>
      <c r="E4278" t="s">
        <v>72</v>
      </c>
      <c r="F4278" t="s">
        <v>80</v>
      </c>
    </row>
    <row r="4279" spans="1:6" x14ac:dyDescent="0.45">
      <c r="A4279">
        <v>40</v>
      </c>
      <c r="B4279">
        <v>12</v>
      </c>
      <c r="C4279">
        <v>23000</v>
      </c>
      <c r="D4279" t="s">
        <v>71</v>
      </c>
      <c r="E4279" t="s">
        <v>72</v>
      </c>
      <c r="F4279" t="s">
        <v>80</v>
      </c>
    </row>
    <row r="4280" spans="1:6" x14ac:dyDescent="0.45">
      <c r="A4280">
        <v>45</v>
      </c>
      <c r="B4280">
        <v>12</v>
      </c>
      <c r="C4280">
        <v>23000</v>
      </c>
      <c r="D4280" t="s">
        <v>71</v>
      </c>
      <c r="E4280" t="s">
        <v>72</v>
      </c>
      <c r="F4280" t="s">
        <v>80</v>
      </c>
    </row>
    <row r="4281" spans="1:6" x14ac:dyDescent="0.45">
      <c r="A4281">
        <v>45</v>
      </c>
      <c r="B4281">
        <v>12</v>
      </c>
      <c r="C4281">
        <v>23000</v>
      </c>
      <c r="D4281" t="s">
        <v>71</v>
      </c>
      <c r="E4281" t="s">
        <v>74</v>
      </c>
      <c r="F4281" t="s">
        <v>80</v>
      </c>
    </row>
    <row r="4282" spans="1:6" x14ac:dyDescent="0.45">
      <c r="A4282">
        <v>40</v>
      </c>
      <c r="B4282">
        <v>12</v>
      </c>
      <c r="C4282">
        <v>23000</v>
      </c>
      <c r="D4282" t="s">
        <v>71</v>
      </c>
      <c r="E4282" t="s">
        <v>72</v>
      </c>
      <c r="F4282" t="s">
        <v>80</v>
      </c>
    </row>
    <row r="4283" spans="1:6" x14ac:dyDescent="0.45">
      <c r="A4283">
        <v>40</v>
      </c>
      <c r="B4283">
        <v>12</v>
      </c>
      <c r="C4283">
        <v>23000</v>
      </c>
      <c r="D4283" t="s">
        <v>71</v>
      </c>
      <c r="E4283" t="s">
        <v>74</v>
      </c>
      <c r="F4283" t="s">
        <v>80</v>
      </c>
    </row>
    <row r="4284" spans="1:6" x14ac:dyDescent="0.45">
      <c r="A4284">
        <v>40</v>
      </c>
      <c r="B4284">
        <v>12</v>
      </c>
      <c r="C4284">
        <v>23000</v>
      </c>
      <c r="D4284" t="s">
        <v>71</v>
      </c>
      <c r="E4284" t="s">
        <v>74</v>
      </c>
      <c r="F4284" t="s">
        <v>80</v>
      </c>
    </row>
    <row r="4285" spans="1:6" x14ac:dyDescent="0.45">
      <c r="A4285">
        <v>40</v>
      </c>
      <c r="B4285">
        <v>12</v>
      </c>
      <c r="C4285">
        <v>23000</v>
      </c>
      <c r="D4285" t="s">
        <v>71</v>
      </c>
      <c r="E4285" t="s">
        <v>72</v>
      </c>
      <c r="F4285" t="s">
        <v>80</v>
      </c>
    </row>
    <row r="4286" spans="1:6" x14ac:dyDescent="0.45">
      <c r="A4286">
        <v>0</v>
      </c>
      <c r="B4286">
        <v>12</v>
      </c>
      <c r="C4286">
        <v>23000</v>
      </c>
      <c r="D4286" t="s">
        <v>71</v>
      </c>
      <c r="E4286" t="s">
        <v>72</v>
      </c>
      <c r="F4286" t="s">
        <v>80</v>
      </c>
    </row>
    <row r="4287" spans="1:6" x14ac:dyDescent="0.45">
      <c r="A4287">
        <v>38</v>
      </c>
      <c r="B4287">
        <v>12</v>
      </c>
      <c r="C4287">
        <v>23000</v>
      </c>
      <c r="D4287" t="s">
        <v>71</v>
      </c>
      <c r="E4287" t="s">
        <v>74</v>
      </c>
      <c r="F4287" t="s">
        <v>80</v>
      </c>
    </row>
    <row r="4288" spans="1:6" x14ac:dyDescent="0.45">
      <c r="A4288">
        <v>40</v>
      </c>
      <c r="B4288">
        <v>12</v>
      </c>
      <c r="C4288">
        <v>23000</v>
      </c>
      <c r="D4288" t="s">
        <v>71</v>
      </c>
      <c r="E4288" t="s">
        <v>74</v>
      </c>
      <c r="F4288" t="s">
        <v>80</v>
      </c>
    </row>
    <row r="4289" spans="1:6" x14ac:dyDescent="0.45">
      <c r="A4289">
        <v>40</v>
      </c>
      <c r="B4289">
        <v>12</v>
      </c>
      <c r="C4289">
        <v>23000</v>
      </c>
      <c r="D4289" t="s">
        <v>71</v>
      </c>
      <c r="E4289" t="s">
        <v>74</v>
      </c>
      <c r="F4289" t="s">
        <v>80</v>
      </c>
    </row>
    <row r="4290" spans="1:6" x14ac:dyDescent="0.45">
      <c r="A4290">
        <v>43</v>
      </c>
      <c r="B4290">
        <v>12</v>
      </c>
      <c r="C4290">
        <v>23000</v>
      </c>
      <c r="D4290" t="s">
        <v>71</v>
      </c>
      <c r="E4290" t="s">
        <v>72</v>
      </c>
      <c r="F4290" t="s">
        <v>80</v>
      </c>
    </row>
    <row r="4291" spans="1:6" x14ac:dyDescent="0.45">
      <c r="A4291">
        <v>40</v>
      </c>
      <c r="B4291">
        <v>12</v>
      </c>
      <c r="C4291">
        <v>23000</v>
      </c>
      <c r="D4291" t="s">
        <v>71</v>
      </c>
      <c r="E4291" t="s">
        <v>72</v>
      </c>
      <c r="F4291" t="s">
        <v>80</v>
      </c>
    </row>
    <row r="4292" spans="1:6" x14ac:dyDescent="0.45">
      <c r="A4292">
        <v>42</v>
      </c>
      <c r="B4292">
        <v>12</v>
      </c>
      <c r="C4292">
        <v>23000</v>
      </c>
      <c r="D4292" t="s">
        <v>71</v>
      </c>
      <c r="E4292" t="s">
        <v>72</v>
      </c>
      <c r="F4292" t="s">
        <v>80</v>
      </c>
    </row>
    <row r="4293" spans="1:6" x14ac:dyDescent="0.45">
      <c r="A4293">
        <v>45</v>
      </c>
      <c r="B4293">
        <v>12</v>
      </c>
      <c r="C4293">
        <v>23000</v>
      </c>
      <c r="D4293" t="s">
        <v>71</v>
      </c>
      <c r="E4293" t="s">
        <v>74</v>
      </c>
      <c r="F4293" t="s">
        <v>80</v>
      </c>
    </row>
    <row r="4294" spans="1:6" x14ac:dyDescent="0.45">
      <c r="A4294">
        <v>40</v>
      </c>
      <c r="B4294">
        <v>12</v>
      </c>
      <c r="C4294">
        <v>23000</v>
      </c>
      <c r="D4294" t="s">
        <v>75</v>
      </c>
      <c r="E4294" t="s">
        <v>74</v>
      </c>
      <c r="F4294" t="s">
        <v>80</v>
      </c>
    </row>
    <row r="4295" spans="1:6" x14ac:dyDescent="0.45">
      <c r="A4295">
        <v>40</v>
      </c>
      <c r="B4295">
        <v>12</v>
      </c>
      <c r="C4295">
        <v>23000</v>
      </c>
      <c r="D4295" t="s">
        <v>71</v>
      </c>
      <c r="E4295" t="s">
        <v>74</v>
      </c>
      <c r="F4295" t="s">
        <v>80</v>
      </c>
    </row>
    <row r="4296" spans="1:6" x14ac:dyDescent="0.45">
      <c r="A4296">
        <v>35</v>
      </c>
      <c r="B4296">
        <v>12</v>
      </c>
      <c r="C4296">
        <v>23000</v>
      </c>
      <c r="D4296" t="s">
        <v>71</v>
      </c>
      <c r="E4296" t="s">
        <v>72</v>
      </c>
      <c r="F4296" t="s">
        <v>80</v>
      </c>
    </row>
    <row r="4297" spans="1:6" x14ac:dyDescent="0.45">
      <c r="A4297">
        <v>40</v>
      </c>
      <c r="B4297">
        <v>12</v>
      </c>
      <c r="C4297">
        <v>23000</v>
      </c>
      <c r="D4297" t="s">
        <v>71</v>
      </c>
      <c r="E4297" t="s">
        <v>72</v>
      </c>
      <c r="F4297" t="s">
        <v>80</v>
      </c>
    </row>
    <row r="4298" spans="1:6" x14ac:dyDescent="0.45">
      <c r="A4298">
        <v>80</v>
      </c>
      <c r="B4298">
        <v>12</v>
      </c>
      <c r="C4298">
        <v>23000</v>
      </c>
      <c r="D4298" t="s">
        <v>71</v>
      </c>
      <c r="E4298" t="s">
        <v>74</v>
      </c>
      <c r="F4298" t="s">
        <v>80</v>
      </c>
    </row>
    <row r="4299" spans="1:6" x14ac:dyDescent="0.45">
      <c r="A4299">
        <v>40</v>
      </c>
      <c r="B4299">
        <v>12</v>
      </c>
      <c r="C4299">
        <v>23000</v>
      </c>
      <c r="D4299" t="s">
        <v>71</v>
      </c>
      <c r="E4299" t="s">
        <v>72</v>
      </c>
      <c r="F4299" t="s">
        <v>80</v>
      </c>
    </row>
    <row r="4300" spans="1:6" x14ac:dyDescent="0.45">
      <c r="A4300">
        <v>40</v>
      </c>
      <c r="B4300">
        <v>12</v>
      </c>
      <c r="C4300">
        <v>23000</v>
      </c>
      <c r="D4300" t="s">
        <v>71</v>
      </c>
      <c r="E4300" t="s">
        <v>74</v>
      </c>
      <c r="F4300" t="s">
        <v>80</v>
      </c>
    </row>
    <row r="4301" spans="1:6" x14ac:dyDescent="0.45">
      <c r="A4301">
        <v>40</v>
      </c>
      <c r="B4301">
        <v>12</v>
      </c>
      <c r="C4301">
        <v>23000</v>
      </c>
      <c r="D4301" t="s">
        <v>71</v>
      </c>
      <c r="E4301" t="s">
        <v>72</v>
      </c>
      <c r="F4301" t="s">
        <v>80</v>
      </c>
    </row>
    <row r="4302" spans="1:6" x14ac:dyDescent="0.45">
      <c r="A4302">
        <v>35</v>
      </c>
      <c r="B4302">
        <v>12</v>
      </c>
      <c r="C4302">
        <v>23000</v>
      </c>
      <c r="D4302" t="s">
        <v>71</v>
      </c>
      <c r="E4302" t="s">
        <v>72</v>
      </c>
      <c r="F4302" t="s">
        <v>80</v>
      </c>
    </row>
    <row r="4303" spans="1:6" x14ac:dyDescent="0.45">
      <c r="A4303">
        <v>40</v>
      </c>
      <c r="B4303">
        <v>12</v>
      </c>
      <c r="C4303">
        <v>23000</v>
      </c>
      <c r="D4303" t="s">
        <v>76</v>
      </c>
      <c r="E4303" t="s">
        <v>72</v>
      </c>
      <c r="F4303" t="s">
        <v>80</v>
      </c>
    </row>
    <row r="4304" spans="1:6" x14ac:dyDescent="0.45">
      <c r="A4304">
        <v>40</v>
      </c>
      <c r="B4304">
        <v>12</v>
      </c>
      <c r="C4304">
        <v>23000</v>
      </c>
      <c r="D4304" t="s">
        <v>71</v>
      </c>
      <c r="E4304" t="s">
        <v>72</v>
      </c>
      <c r="F4304" t="s">
        <v>80</v>
      </c>
    </row>
    <row r="4305" spans="1:6" x14ac:dyDescent="0.45">
      <c r="A4305">
        <v>40</v>
      </c>
      <c r="B4305">
        <v>12</v>
      </c>
      <c r="C4305">
        <v>23000</v>
      </c>
      <c r="D4305" t="s">
        <v>71</v>
      </c>
      <c r="E4305" t="s">
        <v>72</v>
      </c>
      <c r="F4305" t="s">
        <v>80</v>
      </c>
    </row>
    <row r="4306" spans="1:6" x14ac:dyDescent="0.45">
      <c r="A4306">
        <v>50</v>
      </c>
      <c r="B4306">
        <v>12</v>
      </c>
      <c r="C4306">
        <v>23000</v>
      </c>
      <c r="D4306" t="s">
        <v>71</v>
      </c>
      <c r="E4306" t="s">
        <v>74</v>
      </c>
      <c r="F4306" t="s">
        <v>80</v>
      </c>
    </row>
    <row r="4307" spans="1:6" x14ac:dyDescent="0.45">
      <c r="A4307">
        <v>60</v>
      </c>
      <c r="B4307">
        <v>12</v>
      </c>
      <c r="C4307">
        <v>23000</v>
      </c>
      <c r="D4307" t="s">
        <v>76</v>
      </c>
      <c r="E4307" t="s">
        <v>74</v>
      </c>
      <c r="F4307" t="s">
        <v>80</v>
      </c>
    </row>
    <row r="4308" spans="1:6" x14ac:dyDescent="0.45">
      <c r="A4308">
        <v>40</v>
      </c>
      <c r="B4308">
        <v>12</v>
      </c>
      <c r="C4308">
        <v>23000</v>
      </c>
      <c r="D4308" t="s">
        <v>71</v>
      </c>
      <c r="E4308" t="s">
        <v>72</v>
      </c>
      <c r="F4308" t="s">
        <v>80</v>
      </c>
    </row>
    <row r="4309" spans="1:6" x14ac:dyDescent="0.45">
      <c r="A4309">
        <v>40</v>
      </c>
      <c r="B4309">
        <v>12</v>
      </c>
      <c r="C4309">
        <v>23000</v>
      </c>
      <c r="D4309" t="s">
        <v>76</v>
      </c>
      <c r="E4309" t="s">
        <v>74</v>
      </c>
      <c r="F4309" t="s">
        <v>80</v>
      </c>
    </row>
    <row r="4310" spans="1:6" x14ac:dyDescent="0.45">
      <c r="A4310">
        <v>40</v>
      </c>
      <c r="B4310">
        <v>12</v>
      </c>
      <c r="C4310">
        <v>23000</v>
      </c>
      <c r="D4310" t="s">
        <v>71</v>
      </c>
      <c r="E4310" t="s">
        <v>72</v>
      </c>
      <c r="F4310" t="s">
        <v>80</v>
      </c>
    </row>
    <row r="4311" spans="1:6" x14ac:dyDescent="0.45">
      <c r="A4311">
        <v>50</v>
      </c>
      <c r="B4311">
        <v>12</v>
      </c>
      <c r="C4311">
        <v>23000</v>
      </c>
      <c r="D4311" t="s">
        <v>71</v>
      </c>
      <c r="E4311" t="s">
        <v>72</v>
      </c>
      <c r="F4311" t="s">
        <v>80</v>
      </c>
    </row>
    <row r="4312" spans="1:6" x14ac:dyDescent="0.45">
      <c r="A4312">
        <v>40</v>
      </c>
      <c r="B4312">
        <v>12</v>
      </c>
      <c r="C4312">
        <v>23000</v>
      </c>
      <c r="D4312" t="s">
        <v>71</v>
      </c>
      <c r="E4312" t="s">
        <v>72</v>
      </c>
      <c r="F4312" t="s">
        <v>80</v>
      </c>
    </row>
    <row r="4313" spans="1:6" x14ac:dyDescent="0.45">
      <c r="A4313">
        <v>40</v>
      </c>
      <c r="B4313">
        <v>12</v>
      </c>
      <c r="C4313">
        <v>23000</v>
      </c>
      <c r="D4313" t="s">
        <v>71</v>
      </c>
      <c r="E4313" t="s">
        <v>72</v>
      </c>
      <c r="F4313" t="s">
        <v>80</v>
      </c>
    </row>
    <row r="4314" spans="1:6" x14ac:dyDescent="0.45">
      <c r="A4314">
        <v>40</v>
      </c>
      <c r="B4314">
        <v>12</v>
      </c>
      <c r="C4314">
        <v>23000</v>
      </c>
      <c r="D4314" t="s">
        <v>71</v>
      </c>
      <c r="E4314" t="s">
        <v>72</v>
      </c>
      <c r="F4314" t="s">
        <v>80</v>
      </c>
    </row>
    <row r="4315" spans="1:6" x14ac:dyDescent="0.45">
      <c r="A4315">
        <v>40</v>
      </c>
      <c r="B4315">
        <v>12</v>
      </c>
      <c r="C4315">
        <v>23000</v>
      </c>
      <c r="D4315" t="s">
        <v>71</v>
      </c>
      <c r="E4315" t="s">
        <v>72</v>
      </c>
      <c r="F4315" t="s">
        <v>80</v>
      </c>
    </row>
    <row r="4316" spans="1:6" x14ac:dyDescent="0.45">
      <c r="A4316">
        <v>40</v>
      </c>
      <c r="B4316">
        <v>12</v>
      </c>
      <c r="C4316">
        <v>23000</v>
      </c>
      <c r="D4316" t="s">
        <v>71</v>
      </c>
      <c r="E4316" t="s">
        <v>72</v>
      </c>
      <c r="F4316" t="s">
        <v>80</v>
      </c>
    </row>
    <row r="4317" spans="1:6" x14ac:dyDescent="0.45">
      <c r="A4317">
        <v>50</v>
      </c>
      <c r="B4317">
        <v>12</v>
      </c>
      <c r="C4317">
        <v>23105</v>
      </c>
      <c r="D4317" t="s">
        <v>71</v>
      </c>
      <c r="E4317" t="s">
        <v>74</v>
      </c>
      <c r="F4317" t="s">
        <v>80</v>
      </c>
    </row>
    <row r="4318" spans="1:6" x14ac:dyDescent="0.45">
      <c r="A4318">
        <v>40</v>
      </c>
      <c r="B4318">
        <v>12</v>
      </c>
      <c r="C4318">
        <v>23214</v>
      </c>
      <c r="D4318" t="s">
        <v>71</v>
      </c>
      <c r="E4318" t="s">
        <v>72</v>
      </c>
      <c r="F4318" t="s">
        <v>80</v>
      </c>
    </row>
    <row r="4319" spans="1:6" x14ac:dyDescent="0.45">
      <c r="A4319">
        <v>40</v>
      </c>
      <c r="B4319">
        <v>12</v>
      </c>
      <c r="C4319">
        <v>23284</v>
      </c>
      <c r="D4319" t="s">
        <v>71</v>
      </c>
      <c r="E4319" t="s">
        <v>72</v>
      </c>
      <c r="F4319" t="s">
        <v>80</v>
      </c>
    </row>
    <row r="4320" spans="1:6" x14ac:dyDescent="0.45">
      <c r="A4320">
        <v>40</v>
      </c>
      <c r="B4320">
        <v>12</v>
      </c>
      <c r="C4320">
        <v>23300</v>
      </c>
      <c r="D4320" t="s">
        <v>71</v>
      </c>
      <c r="E4320" t="s">
        <v>74</v>
      </c>
      <c r="F4320" t="s">
        <v>80</v>
      </c>
    </row>
    <row r="4321" spans="1:6" x14ac:dyDescent="0.45">
      <c r="A4321">
        <v>0</v>
      </c>
      <c r="B4321">
        <v>12</v>
      </c>
      <c r="C4321">
        <v>23400</v>
      </c>
      <c r="D4321" t="s">
        <v>71</v>
      </c>
      <c r="E4321" t="s">
        <v>74</v>
      </c>
      <c r="F4321" t="s">
        <v>80</v>
      </c>
    </row>
    <row r="4322" spans="1:6" x14ac:dyDescent="0.45">
      <c r="A4322">
        <v>40</v>
      </c>
      <c r="B4322">
        <v>12</v>
      </c>
      <c r="C4322">
        <v>23400</v>
      </c>
      <c r="D4322" t="s">
        <v>71</v>
      </c>
      <c r="E4322" t="s">
        <v>72</v>
      </c>
      <c r="F4322" t="s">
        <v>80</v>
      </c>
    </row>
    <row r="4323" spans="1:6" x14ac:dyDescent="0.45">
      <c r="A4323">
        <v>60</v>
      </c>
      <c r="B4323">
        <v>12</v>
      </c>
      <c r="C4323">
        <v>23400</v>
      </c>
      <c r="D4323" t="s">
        <v>71</v>
      </c>
      <c r="E4323" t="s">
        <v>74</v>
      </c>
      <c r="F4323" t="s">
        <v>80</v>
      </c>
    </row>
    <row r="4324" spans="1:6" x14ac:dyDescent="0.45">
      <c r="A4324">
        <v>40</v>
      </c>
      <c r="B4324">
        <v>12</v>
      </c>
      <c r="C4324">
        <v>23500</v>
      </c>
      <c r="D4324" t="s">
        <v>71</v>
      </c>
      <c r="E4324" t="s">
        <v>74</v>
      </c>
      <c r="F4324" t="s">
        <v>80</v>
      </c>
    </row>
    <row r="4325" spans="1:6" x14ac:dyDescent="0.45">
      <c r="A4325">
        <v>38</v>
      </c>
      <c r="B4325">
        <v>12</v>
      </c>
      <c r="C4325">
        <v>23500</v>
      </c>
      <c r="D4325" t="s">
        <v>71</v>
      </c>
      <c r="E4325" t="s">
        <v>74</v>
      </c>
      <c r="F4325" t="s">
        <v>80</v>
      </c>
    </row>
    <row r="4326" spans="1:6" x14ac:dyDescent="0.45">
      <c r="A4326">
        <v>40</v>
      </c>
      <c r="B4326">
        <v>12</v>
      </c>
      <c r="C4326">
        <v>23596</v>
      </c>
      <c r="D4326" t="s">
        <v>71</v>
      </c>
      <c r="E4326" t="s">
        <v>74</v>
      </c>
      <c r="F4326" t="s">
        <v>80</v>
      </c>
    </row>
    <row r="4327" spans="1:6" x14ac:dyDescent="0.45">
      <c r="A4327">
        <v>40</v>
      </c>
      <c r="B4327">
        <v>12</v>
      </c>
      <c r="C4327">
        <v>23660</v>
      </c>
      <c r="D4327" t="s">
        <v>71</v>
      </c>
      <c r="E4327" t="s">
        <v>74</v>
      </c>
      <c r="F4327" t="s">
        <v>80</v>
      </c>
    </row>
    <row r="4328" spans="1:6" x14ac:dyDescent="0.45">
      <c r="A4328">
        <v>40</v>
      </c>
      <c r="B4328">
        <v>12</v>
      </c>
      <c r="C4328">
        <v>23767</v>
      </c>
      <c r="D4328" t="s">
        <v>71</v>
      </c>
      <c r="E4328" t="s">
        <v>74</v>
      </c>
      <c r="F4328" t="s">
        <v>80</v>
      </c>
    </row>
    <row r="4329" spans="1:6" x14ac:dyDescent="0.45">
      <c r="A4329">
        <v>40</v>
      </c>
      <c r="B4329">
        <v>12</v>
      </c>
      <c r="C4329">
        <v>23816</v>
      </c>
      <c r="D4329" t="s">
        <v>71</v>
      </c>
      <c r="E4329" t="s">
        <v>72</v>
      </c>
      <c r="F4329" t="s">
        <v>80</v>
      </c>
    </row>
    <row r="4330" spans="1:6" x14ac:dyDescent="0.45">
      <c r="A4330">
        <v>40</v>
      </c>
      <c r="B4330">
        <v>12</v>
      </c>
      <c r="C4330">
        <v>23900</v>
      </c>
      <c r="D4330" t="s">
        <v>71</v>
      </c>
      <c r="E4330" t="s">
        <v>72</v>
      </c>
      <c r="F4330" t="s">
        <v>80</v>
      </c>
    </row>
    <row r="4331" spans="1:6" x14ac:dyDescent="0.45">
      <c r="A4331">
        <v>40</v>
      </c>
      <c r="B4331">
        <v>12</v>
      </c>
      <c r="C4331">
        <v>23920</v>
      </c>
      <c r="D4331" t="s">
        <v>71</v>
      </c>
      <c r="E4331" t="s">
        <v>74</v>
      </c>
      <c r="F4331" t="s">
        <v>80</v>
      </c>
    </row>
    <row r="4332" spans="1:6" x14ac:dyDescent="0.45">
      <c r="A4332">
        <v>40</v>
      </c>
      <c r="B4332">
        <v>12</v>
      </c>
      <c r="C4332">
        <v>23920</v>
      </c>
      <c r="D4332" t="s">
        <v>71</v>
      </c>
      <c r="E4332" t="s">
        <v>74</v>
      </c>
      <c r="F4332" t="s">
        <v>80</v>
      </c>
    </row>
    <row r="4333" spans="1:6" x14ac:dyDescent="0.45">
      <c r="A4333">
        <v>40</v>
      </c>
      <c r="B4333">
        <v>12</v>
      </c>
      <c r="C4333">
        <v>23920</v>
      </c>
      <c r="D4333" t="s">
        <v>71</v>
      </c>
      <c r="E4333" t="s">
        <v>72</v>
      </c>
      <c r="F4333" t="s">
        <v>80</v>
      </c>
    </row>
    <row r="4334" spans="1:6" x14ac:dyDescent="0.45">
      <c r="A4334">
        <v>38</v>
      </c>
      <c r="B4334">
        <v>12</v>
      </c>
      <c r="C4334">
        <v>24000</v>
      </c>
      <c r="D4334" t="s">
        <v>71</v>
      </c>
      <c r="E4334" t="s">
        <v>74</v>
      </c>
      <c r="F4334" t="s">
        <v>80</v>
      </c>
    </row>
    <row r="4335" spans="1:6" x14ac:dyDescent="0.45">
      <c r="A4335">
        <v>40</v>
      </c>
      <c r="B4335">
        <v>12</v>
      </c>
      <c r="C4335">
        <v>24000</v>
      </c>
      <c r="D4335" t="s">
        <v>71</v>
      </c>
      <c r="E4335" t="s">
        <v>74</v>
      </c>
      <c r="F4335" t="s">
        <v>80</v>
      </c>
    </row>
    <row r="4336" spans="1:6" x14ac:dyDescent="0.45">
      <c r="A4336">
        <v>50</v>
      </c>
      <c r="B4336">
        <v>12</v>
      </c>
      <c r="C4336">
        <v>24000</v>
      </c>
      <c r="D4336" t="s">
        <v>71</v>
      </c>
      <c r="E4336" t="s">
        <v>74</v>
      </c>
      <c r="F4336" t="s">
        <v>80</v>
      </c>
    </row>
    <row r="4337" spans="1:6" x14ac:dyDescent="0.45">
      <c r="A4337">
        <v>38</v>
      </c>
      <c r="B4337">
        <v>12</v>
      </c>
      <c r="C4337">
        <v>24000</v>
      </c>
      <c r="D4337" t="s">
        <v>71</v>
      </c>
      <c r="E4337" t="s">
        <v>74</v>
      </c>
      <c r="F4337" t="s">
        <v>80</v>
      </c>
    </row>
    <row r="4338" spans="1:6" x14ac:dyDescent="0.45">
      <c r="A4338">
        <v>40</v>
      </c>
      <c r="B4338">
        <v>12</v>
      </c>
      <c r="C4338">
        <v>24000</v>
      </c>
      <c r="D4338" t="s">
        <v>71</v>
      </c>
      <c r="E4338" t="s">
        <v>72</v>
      </c>
      <c r="F4338" t="s">
        <v>80</v>
      </c>
    </row>
    <row r="4339" spans="1:6" x14ac:dyDescent="0.45">
      <c r="A4339">
        <v>40</v>
      </c>
      <c r="B4339">
        <v>12</v>
      </c>
      <c r="C4339">
        <v>24000</v>
      </c>
      <c r="D4339" t="s">
        <v>71</v>
      </c>
      <c r="E4339" t="s">
        <v>72</v>
      </c>
      <c r="F4339" t="s">
        <v>80</v>
      </c>
    </row>
    <row r="4340" spans="1:6" x14ac:dyDescent="0.45">
      <c r="A4340">
        <v>40</v>
      </c>
      <c r="B4340">
        <v>12</v>
      </c>
      <c r="C4340">
        <v>24000</v>
      </c>
      <c r="D4340" t="s">
        <v>71</v>
      </c>
      <c r="E4340" t="s">
        <v>74</v>
      </c>
      <c r="F4340" t="s">
        <v>80</v>
      </c>
    </row>
    <row r="4341" spans="1:6" x14ac:dyDescent="0.45">
      <c r="A4341">
        <v>40</v>
      </c>
      <c r="B4341">
        <v>12</v>
      </c>
      <c r="C4341">
        <v>24000</v>
      </c>
      <c r="D4341" t="s">
        <v>71</v>
      </c>
      <c r="E4341" t="s">
        <v>72</v>
      </c>
      <c r="F4341" t="s">
        <v>80</v>
      </c>
    </row>
    <row r="4342" spans="1:6" x14ac:dyDescent="0.45">
      <c r="A4342">
        <v>40</v>
      </c>
      <c r="B4342">
        <v>12</v>
      </c>
      <c r="C4342">
        <v>24000</v>
      </c>
      <c r="D4342" t="s">
        <v>71</v>
      </c>
      <c r="E4342" t="s">
        <v>72</v>
      </c>
      <c r="F4342" t="s">
        <v>80</v>
      </c>
    </row>
    <row r="4343" spans="1:6" x14ac:dyDescent="0.45">
      <c r="A4343">
        <v>40</v>
      </c>
      <c r="B4343">
        <v>12</v>
      </c>
      <c r="C4343">
        <v>24000</v>
      </c>
      <c r="D4343" t="s">
        <v>71</v>
      </c>
      <c r="E4343" t="s">
        <v>72</v>
      </c>
      <c r="F4343" t="s">
        <v>80</v>
      </c>
    </row>
    <row r="4344" spans="1:6" x14ac:dyDescent="0.45">
      <c r="A4344">
        <v>36</v>
      </c>
      <c r="B4344">
        <v>12</v>
      </c>
      <c r="C4344">
        <v>24000</v>
      </c>
      <c r="D4344" t="s">
        <v>71</v>
      </c>
      <c r="E4344" t="s">
        <v>72</v>
      </c>
      <c r="F4344" t="s">
        <v>80</v>
      </c>
    </row>
    <row r="4345" spans="1:6" x14ac:dyDescent="0.45">
      <c r="A4345">
        <v>46</v>
      </c>
      <c r="B4345">
        <v>12</v>
      </c>
      <c r="C4345">
        <v>24000</v>
      </c>
      <c r="D4345" t="s">
        <v>71</v>
      </c>
      <c r="E4345" t="s">
        <v>72</v>
      </c>
      <c r="F4345" t="s">
        <v>80</v>
      </c>
    </row>
    <row r="4346" spans="1:6" x14ac:dyDescent="0.45">
      <c r="A4346">
        <v>40</v>
      </c>
      <c r="B4346">
        <v>12</v>
      </c>
      <c r="C4346">
        <v>24000</v>
      </c>
      <c r="D4346" t="s">
        <v>71</v>
      </c>
      <c r="E4346" t="s">
        <v>72</v>
      </c>
      <c r="F4346" t="s">
        <v>80</v>
      </c>
    </row>
    <row r="4347" spans="1:6" x14ac:dyDescent="0.45">
      <c r="A4347">
        <v>40</v>
      </c>
      <c r="B4347">
        <v>12</v>
      </c>
      <c r="C4347">
        <v>24000</v>
      </c>
      <c r="D4347" t="s">
        <v>71</v>
      </c>
      <c r="E4347" t="s">
        <v>72</v>
      </c>
      <c r="F4347" t="s">
        <v>80</v>
      </c>
    </row>
    <row r="4348" spans="1:6" x14ac:dyDescent="0.45">
      <c r="A4348">
        <v>40</v>
      </c>
      <c r="B4348">
        <v>12</v>
      </c>
      <c r="C4348">
        <v>24000</v>
      </c>
      <c r="D4348" t="s">
        <v>71</v>
      </c>
      <c r="E4348" t="s">
        <v>74</v>
      </c>
      <c r="F4348" t="s">
        <v>80</v>
      </c>
    </row>
    <row r="4349" spans="1:6" x14ac:dyDescent="0.45">
      <c r="A4349">
        <v>43</v>
      </c>
      <c r="B4349">
        <v>12</v>
      </c>
      <c r="C4349">
        <v>24000</v>
      </c>
      <c r="D4349" t="s">
        <v>71</v>
      </c>
      <c r="E4349" t="s">
        <v>74</v>
      </c>
      <c r="F4349" t="s">
        <v>80</v>
      </c>
    </row>
    <row r="4350" spans="1:6" x14ac:dyDescent="0.45">
      <c r="A4350">
        <v>40</v>
      </c>
      <c r="B4350">
        <v>12</v>
      </c>
      <c r="C4350">
        <v>24000</v>
      </c>
      <c r="D4350" t="s">
        <v>71</v>
      </c>
      <c r="E4350" t="s">
        <v>74</v>
      </c>
      <c r="F4350" t="s">
        <v>80</v>
      </c>
    </row>
    <row r="4351" spans="1:6" x14ac:dyDescent="0.45">
      <c r="A4351">
        <v>40</v>
      </c>
      <c r="B4351">
        <v>12</v>
      </c>
      <c r="C4351">
        <v>24000</v>
      </c>
      <c r="D4351" t="s">
        <v>71</v>
      </c>
      <c r="E4351" t="s">
        <v>72</v>
      </c>
      <c r="F4351" t="s">
        <v>80</v>
      </c>
    </row>
    <row r="4352" spans="1:6" x14ac:dyDescent="0.45">
      <c r="A4352">
        <v>0</v>
      </c>
      <c r="B4352">
        <v>12</v>
      </c>
      <c r="C4352">
        <v>24000</v>
      </c>
      <c r="D4352" t="s">
        <v>71</v>
      </c>
      <c r="E4352" t="s">
        <v>74</v>
      </c>
      <c r="F4352" t="s">
        <v>80</v>
      </c>
    </row>
    <row r="4353" spans="1:6" x14ac:dyDescent="0.45">
      <c r="A4353">
        <v>40</v>
      </c>
      <c r="B4353">
        <v>12</v>
      </c>
      <c r="C4353">
        <v>24000</v>
      </c>
      <c r="D4353" t="s">
        <v>71</v>
      </c>
      <c r="E4353" t="s">
        <v>74</v>
      </c>
      <c r="F4353" t="s">
        <v>80</v>
      </c>
    </row>
    <row r="4354" spans="1:6" x14ac:dyDescent="0.45">
      <c r="A4354">
        <v>40</v>
      </c>
      <c r="B4354">
        <v>12</v>
      </c>
      <c r="C4354">
        <v>24000</v>
      </c>
      <c r="D4354" t="s">
        <v>71</v>
      </c>
      <c r="E4354" t="s">
        <v>74</v>
      </c>
      <c r="F4354" t="s">
        <v>80</v>
      </c>
    </row>
    <row r="4355" spans="1:6" x14ac:dyDescent="0.45">
      <c r="A4355">
        <v>40</v>
      </c>
      <c r="B4355">
        <v>12</v>
      </c>
      <c r="C4355">
        <v>24000</v>
      </c>
      <c r="D4355" t="s">
        <v>71</v>
      </c>
      <c r="E4355" t="s">
        <v>74</v>
      </c>
      <c r="F4355" t="s">
        <v>80</v>
      </c>
    </row>
    <row r="4356" spans="1:6" x14ac:dyDescent="0.45">
      <c r="A4356">
        <v>40</v>
      </c>
      <c r="B4356">
        <v>12</v>
      </c>
      <c r="C4356">
        <v>24000</v>
      </c>
      <c r="D4356" t="s">
        <v>76</v>
      </c>
      <c r="E4356" t="s">
        <v>74</v>
      </c>
      <c r="F4356" t="s">
        <v>80</v>
      </c>
    </row>
    <row r="4357" spans="1:6" x14ac:dyDescent="0.45">
      <c r="A4357">
        <v>45</v>
      </c>
      <c r="B4357">
        <v>12</v>
      </c>
      <c r="C4357">
        <v>24000</v>
      </c>
      <c r="D4357" t="s">
        <v>71</v>
      </c>
      <c r="E4357" t="s">
        <v>74</v>
      </c>
      <c r="F4357" t="s">
        <v>80</v>
      </c>
    </row>
    <row r="4358" spans="1:6" x14ac:dyDescent="0.45">
      <c r="A4358">
        <v>40</v>
      </c>
      <c r="B4358">
        <v>12</v>
      </c>
      <c r="C4358">
        <v>24000</v>
      </c>
      <c r="D4358" t="s">
        <v>71</v>
      </c>
      <c r="E4358" t="s">
        <v>72</v>
      </c>
      <c r="F4358" t="s">
        <v>80</v>
      </c>
    </row>
    <row r="4359" spans="1:6" x14ac:dyDescent="0.45">
      <c r="A4359">
        <v>55</v>
      </c>
      <c r="B4359">
        <v>12</v>
      </c>
      <c r="C4359">
        <v>24000</v>
      </c>
      <c r="D4359" t="s">
        <v>71</v>
      </c>
      <c r="E4359" t="s">
        <v>72</v>
      </c>
      <c r="F4359" t="s">
        <v>80</v>
      </c>
    </row>
    <row r="4360" spans="1:6" x14ac:dyDescent="0.45">
      <c r="A4360">
        <v>38</v>
      </c>
      <c r="B4360">
        <v>12</v>
      </c>
      <c r="C4360">
        <v>24000</v>
      </c>
      <c r="D4360" t="s">
        <v>71</v>
      </c>
      <c r="E4360" t="s">
        <v>72</v>
      </c>
      <c r="F4360" t="s">
        <v>80</v>
      </c>
    </row>
    <row r="4361" spans="1:6" x14ac:dyDescent="0.45">
      <c r="A4361">
        <v>40</v>
      </c>
      <c r="B4361">
        <v>12</v>
      </c>
      <c r="C4361">
        <v>24000</v>
      </c>
      <c r="D4361" t="s">
        <v>76</v>
      </c>
      <c r="E4361" t="s">
        <v>72</v>
      </c>
      <c r="F4361" t="s">
        <v>80</v>
      </c>
    </row>
    <row r="4362" spans="1:6" x14ac:dyDescent="0.45">
      <c r="A4362">
        <v>40</v>
      </c>
      <c r="B4362">
        <v>12</v>
      </c>
      <c r="C4362">
        <v>24000</v>
      </c>
      <c r="D4362" t="s">
        <v>71</v>
      </c>
      <c r="E4362" t="s">
        <v>74</v>
      </c>
      <c r="F4362" t="s">
        <v>80</v>
      </c>
    </row>
    <row r="4363" spans="1:6" x14ac:dyDescent="0.45">
      <c r="A4363">
        <v>0</v>
      </c>
      <c r="B4363">
        <v>12</v>
      </c>
      <c r="C4363">
        <v>24000</v>
      </c>
      <c r="D4363" t="s">
        <v>71</v>
      </c>
      <c r="E4363" t="s">
        <v>74</v>
      </c>
      <c r="F4363" t="s">
        <v>80</v>
      </c>
    </row>
    <row r="4364" spans="1:6" x14ac:dyDescent="0.45">
      <c r="A4364">
        <v>40</v>
      </c>
      <c r="B4364">
        <v>12</v>
      </c>
      <c r="C4364">
        <v>24000</v>
      </c>
      <c r="D4364" t="s">
        <v>76</v>
      </c>
      <c r="E4364" t="s">
        <v>74</v>
      </c>
      <c r="F4364" t="s">
        <v>80</v>
      </c>
    </row>
    <row r="4365" spans="1:6" x14ac:dyDescent="0.45">
      <c r="A4365">
        <v>40</v>
      </c>
      <c r="B4365">
        <v>12</v>
      </c>
      <c r="C4365">
        <v>24000</v>
      </c>
      <c r="D4365" t="s">
        <v>71</v>
      </c>
      <c r="E4365" t="s">
        <v>74</v>
      </c>
      <c r="F4365" t="s">
        <v>80</v>
      </c>
    </row>
    <row r="4366" spans="1:6" x14ac:dyDescent="0.45">
      <c r="A4366">
        <v>40</v>
      </c>
      <c r="B4366">
        <v>12</v>
      </c>
      <c r="C4366">
        <v>24000</v>
      </c>
      <c r="D4366" t="s">
        <v>76</v>
      </c>
      <c r="E4366" t="s">
        <v>72</v>
      </c>
      <c r="F4366" t="s">
        <v>80</v>
      </c>
    </row>
    <row r="4367" spans="1:6" x14ac:dyDescent="0.45">
      <c r="A4367">
        <v>60</v>
      </c>
      <c r="B4367">
        <v>12</v>
      </c>
      <c r="C4367">
        <v>24000</v>
      </c>
      <c r="D4367" t="s">
        <v>71</v>
      </c>
      <c r="E4367" t="s">
        <v>72</v>
      </c>
      <c r="F4367" t="s">
        <v>80</v>
      </c>
    </row>
    <row r="4368" spans="1:6" x14ac:dyDescent="0.45">
      <c r="A4368">
        <v>40</v>
      </c>
      <c r="B4368">
        <v>12</v>
      </c>
      <c r="C4368">
        <v>24000</v>
      </c>
      <c r="D4368" t="s">
        <v>76</v>
      </c>
      <c r="E4368" t="s">
        <v>74</v>
      </c>
      <c r="F4368" t="s">
        <v>80</v>
      </c>
    </row>
    <row r="4369" spans="1:6" x14ac:dyDescent="0.45">
      <c r="A4369">
        <v>40</v>
      </c>
      <c r="B4369">
        <v>12</v>
      </c>
      <c r="C4369">
        <v>24000</v>
      </c>
      <c r="D4369" t="s">
        <v>71</v>
      </c>
      <c r="E4369" t="s">
        <v>72</v>
      </c>
      <c r="F4369" t="s">
        <v>80</v>
      </c>
    </row>
    <row r="4370" spans="1:6" x14ac:dyDescent="0.45">
      <c r="A4370">
        <v>0</v>
      </c>
      <c r="B4370">
        <v>12</v>
      </c>
      <c r="C4370">
        <v>24000</v>
      </c>
      <c r="D4370" t="s">
        <v>71</v>
      </c>
      <c r="E4370" t="s">
        <v>72</v>
      </c>
      <c r="F4370" t="s">
        <v>80</v>
      </c>
    </row>
    <row r="4371" spans="1:6" x14ac:dyDescent="0.45">
      <c r="A4371">
        <v>40</v>
      </c>
      <c r="B4371">
        <v>12</v>
      </c>
      <c r="C4371">
        <v>24000</v>
      </c>
      <c r="D4371" t="s">
        <v>71</v>
      </c>
      <c r="E4371" t="s">
        <v>74</v>
      </c>
      <c r="F4371" t="s">
        <v>80</v>
      </c>
    </row>
    <row r="4372" spans="1:6" x14ac:dyDescent="0.45">
      <c r="A4372">
        <v>40</v>
      </c>
      <c r="B4372">
        <v>12</v>
      </c>
      <c r="C4372">
        <v>24000</v>
      </c>
      <c r="D4372" t="s">
        <v>71</v>
      </c>
      <c r="E4372" t="s">
        <v>72</v>
      </c>
      <c r="F4372" t="s">
        <v>80</v>
      </c>
    </row>
    <row r="4373" spans="1:6" x14ac:dyDescent="0.45">
      <c r="A4373">
        <v>40</v>
      </c>
      <c r="B4373">
        <v>12</v>
      </c>
      <c r="C4373">
        <v>24000</v>
      </c>
      <c r="D4373" t="s">
        <v>71</v>
      </c>
      <c r="E4373" t="s">
        <v>72</v>
      </c>
      <c r="F4373" t="s">
        <v>80</v>
      </c>
    </row>
    <row r="4374" spans="1:6" x14ac:dyDescent="0.45">
      <c r="A4374">
        <v>35</v>
      </c>
      <c r="B4374">
        <v>12</v>
      </c>
      <c r="C4374">
        <v>24000</v>
      </c>
      <c r="D4374" t="s">
        <v>71</v>
      </c>
      <c r="E4374" t="s">
        <v>72</v>
      </c>
      <c r="F4374" t="s">
        <v>80</v>
      </c>
    </row>
    <row r="4375" spans="1:6" x14ac:dyDescent="0.45">
      <c r="A4375">
        <v>0</v>
      </c>
      <c r="B4375">
        <v>12</v>
      </c>
      <c r="C4375">
        <v>24000</v>
      </c>
      <c r="D4375" t="s">
        <v>76</v>
      </c>
      <c r="E4375" t="s">
        <v>72</v>
      </c>
      <c r="F4375" t="s">
        <v>80</v>
      </c>
    </row>
    <row r="4376" spans="1:6" x14ac:dyDescent="0.45">
      <c r="A4376">
        <v>35</v>
      </c>
      <c r="B4376">
        <v>12</v>
      </c>
      <c r="C4376">
        <v>24000</v>
      </c>
      <c r="D4376" t="s">
        <v>71</v>
      </c>
      <c r="E4376" t="s">
        <v>72</v>
      </c>
      <c r="F4376" t="s">
        <v>80</v>
      </c>
    </row>
    <row r="4377" spans="1:6" x14ac:dyDescent="0.45">
      <c r="A4377">
        <v>40</v>
      </c>
      <c r="B4377">
        <v>12</v>
      </c>
      <c r="C4377">
        <v>24000</v>
      </c>
      <c r="D4377" t="s">
        <v>71</v>
      </c>
      <c r="E4377" t="s">
        <v>74</v>
      </c>
      <c r="F4377" t="s">
        <v>80</v>
      </c>
    </row>
    <row r="4378" spans="1:6" x14ac:dyDescent="0.45">
      <c r="A4378">
        <v>40</v>
      </c>
      <c r="B4378">
        <v>12</v>
      </c>
      <c r="C4378">
        <v>24000</v>
      </c>
      <c r="D4378" t="s">
        <v>71</v>
      </c>
      <c r="E4378" t="s">
        <v>72</v>
      </c>
      <c r="F4378" t="s">
        <v>80</v>
      </c>
    </row>
    <row r="4379" spans="1:6" x14ac:dyDescent="0.45">
      <c r="A4379">
        <v>40</v>
      </c>
      <c r="B4379">
        <v>12</v>
      </c>
      <c r="C4379">
        <v>24000</v>
      </c>
      <c r="D4379" t="s">
        <v>71</v>
      </c>
      <c r="E4379" t="s">
        <v>72</v>
      </c>
      <c r="F4379" t="s">
        <v>80</v>
      </c>
    </row>
    <row r="4380" spans="1:6" x14ac:dyDescent="0.45">
      <c r="A4380">
        <v>50</v>
      </c>
      <c r="B4380">
        <v>12</v>
      </c>
      <c r="C4380">
        <v>24000</v>
      </c>
      <c r="D4380" t="s">
        <v>71</v>
      </c>
      <c r="E4380" t="s">
        <v>74</v>
      </c>
      <c r="F4380" t="s">
        <v>80</v>
      </c>
    </row>
    <row r="4381" spans="1:6" x14ac:dyDescent="0.45">
      <c r="A4381">
        <v>42</v>
      </c>
      <c r="B4381">
        <v>12</v>
      </c>
      <c r="C4381">
        <v>24400</v>
      </c>
      <c r="D4381" t="s">
        <v>71</v>
      </c>
      <c r="E4381" t="s">
        <v>74</v>
      </c>
      <c r="F4381" t="s">
        <v>80</v>
      </c>
    </row>
    <row r="4382" spans="1:6" x14ac:dyDescent="0.45">
      <c r="A4382">
        <v>45</v>
      </c>
      <c r="B4382">
        <v>12</v>
      </c>
      <c r="C4382">
        <v>24500</v>
      </c>
      <c r="D4382" t="s">
        <v>71</v>
      </c>
      <c r="E4382" t="s">
        <v>74</v>
      </c>
      <c r="F4382" t="s">
        <v>80</v>
      </c>
    </row>
    <row r="4383" spans="1:6" x14ac:dyDescent="0.45">
      <c r="A4383">
        <v>45</v>
      </c>
      <c r="B4383">
        <v>12</v>
      </c>
      <c r="C4383">
        <v>24500</v>
      </c>
      <c r="D4383" t="s">
        <v>71</v>
      </c>
      <c r="E4383" t="s">
        <v>74</v>
      </c>
      <c r="F4383" t="s">
        <v>80</v>
      </c>
    </row>
    <row r="4384" spans="1:6" x14ac:dyDescent="0.45">
      <c r="A4384">
        <v>40</v>
      </c>
      <c r="B4384">
        <v>12</v>
      </c>
      <c r="C4384">
        <v>24500</v>
      </c>
      <c r="D4384" t="s">
        <v>71</v>
      </c>
      <c r="E4384" t="s">
        <v>72</v>
      </c>
      <c r="F4384" t="s">
        <v>80</v>
      </c>
    </row>
    <row r="4385" spans="1:6" x14ac:dyDescent="0.45">
      <c r="A4385">
        <v>40</v>
      </c>
      <c r="B4385">
        <v>12</v>
      </c>
      <c r="C4385">
        <v>24568</v>
      </c>
      <c r="D4385" t="s">
        <v>71</v>
      </c>
      <c r="E4385" t="s">
        <v>72</v>
      </c>
      <c r="F4385" t="s">
        <v>80</v>
      </c>
    </row>
    <row r="4386" spans="1:6" x14ac:dyDescent="0.45">
      <c r="A4386">
        <v>40</v>
      </c>
      <c r="B4386">
        <v>12</v>
      </c>
      <c r="C4386">
        <v>24800</v>
      </c>
      <c r="D4386" t="s">
        <v>71</v>
      </c>
      <c r="E4386" t="s">
        <v>72</v>
      </c>
      <c r="F4386" t="s">
        <v>80</v>
      </c>
    </row>
    <row r="4387" spans="1:6" x14ac:dyDescent="0.45">
      <c r="A4387">
        <v>40</v>
      </c>
      <c r="B4387">
        <v>12</v>
      </c>
      <c r="C4387">
        <v>24836</v>
      </c>
      <c r="D4387" t="s">
        <v>71</v>
      </c>
      <c r="E4387" t="s">
        <v>74</v>
      </c>
      <c r="F4387" t="s">
        <v>80</v>
      </c>
    </row>
    <row r="4388" spans="1:6" x14ac:dyDescent="0.45">
      <c r="A4388">
        <v>40</v>
      </c>
      <c r="B4388">
        <v>12</v>
      </c>
      <c r="C4388">
        <v>24884</v>
      </c>
      <c r="D4388" t="s">
        <v>76</v>
      </c>
      <c r="E4388" t="s">
        <v>74</v>
      </c>
      <c r="F4388" t="s">
        <v>80</v>
      </c>
    </row>
    <row r="4389" spans="1:6" x14ac:dyDescent="0.45">
      <c r="A4389">
        <v>42</v>
      </c>
      <c r="B4389">
        <v>12</v>
      </c>
      <c r="C4389">
        <v>24950</v>
      </c>
      <c r="D4389" t="s">
        <v>71</v>
      </c>
      <c r="E4389" t="s">
        <v>72</v>
      </c>
      <c r="F4389" t="s">
        <v>80</v>
      </c>
    </row>
    <row r="4390" spans="1:6" x14ac:dyDescent="0.45">
      <c r="A4390">
        <v>40</v>
      </c>
      <c r="B4390">
        <v>12</v>
      </c>
      <c r="C4390">
        <v>24960</v>
      </c>
      <c r="D4390" t="s">
        <v>71</v>
      </c>
      <c r="E4390" t="s">
        <v>72</v>
      </c>
      <c r="F4390" t="s">
        <v>80</v>
      </c>
    </row>
    <row r="4391" spans="1:6" x14ac:dyDescent="0.45">
      <c r="A4391">
        <v>40</v>
      </c>
      <c r="B4391">
        <v>12</v>
      </c>
      <c r="C4391">
        <v>25000</v>
      </c>
      <c r="D4391" t="s">
        <v>71</v>
      </c>
      <c r="E4391" t="s">
        <v>72</v>
      </c>
      <c r="F4391" t="s">
        <v>80</v>
      </c>
    </row>
    <row r="4392" spans="1:6" x14ac:dyDescent="0.45">
      <c r="A4392">
        <v>40</v>
      </c>
      <c r="B4392">
        <v>12</v>
      </c>
      <c r="C4392">
        <v>25000</v>
      </c>
      <c r="D4392" t="s">
        <v>71</v>
      </c>
      <c r="E4392" t="s">
        <v>72</v>
      </c>
      <c r="F4392" t="s">
        <v>80</v>
      </c>
    </row>
    <row r="4393" spans="1:6" x14ac:dyDescent="0.45">
      <c r="A4393">
        <v>40</v>
      </c>
      <c r="B4393">
        <v>12</v>
      </c>
      <c r="C4393">
        <v>25000</v>
      </c>
      <c r="D4393" t="s">
        <v>71</v>
      </c>
      <c r="E4393" t="s">
        <v>74</v>
      </c>
      <c r="F4393" t="s">
        <v>80</v>
      </c>
    </row>
    <row r="4394" spans="1:6" x14ac:dyDescent="0.45">
      <c r="A4394">
        <v>43</v>
      </c>
      <c r="B4394">
        <v>12</v>
      </c>
      <c r="C4394">
        <v>25000</v>
      </c>
      <c r="D4394" t="s">
        <v>71</v>
      </c>
      <c r="E4394" t="s">
        <v>72</v>
      </c>
      <c r="F4394" t="s">
        <v>80</v>
      </c>
    </row>
    <row r="4395" spans="1:6" x14ac:dyDescent="0.45">
      <c r="A4395">
        <v>40</v>
      </c>
      <c r="B4395">
        <v>12</v>
      </c>
      <c r="C4395">
        <v>25000</v>
      </c>
      <c r="D4395" t="s">
        <v>71</v>
      </c>
      <c r="E4395" t="s">
        <v>74</v>
      </c>
      <c r="F4395" t="s">
        <v>80</v>
      </c>
    </row>
    <row r="4396" spans="1:6" x14ac:dyDescent="0.45">
      <c r="A4396">
        <v>50</v>
      </c>
      <c r="B4396">
        <v>12</v>
      </c>
      <c r="C4396">
        <v>25000</v>
      </c>
      <c r="D4396" t="s">
        <v>71</v>
      </c>
      <c r="E4396" t="s">
        <v>74</v>
      </c>
      <c r="F4396" t="s">
        <v>80</v>
      </c>
    </row>
    <row r="4397" spans="1:6" x14ac:dyDescent="0.45">
      <c r="A4397">
        <v>40</v>
      </c>
      <c r="B4397">
        <v>12</v>
      </c>
      <c r="C4397">
        <v>25000</v>
      </c>
      <c r="D4397" t="s">
        <v>71</v>
      </c>
      <c r="E4397" t="s">
        <v>74</v>
      </c>
      <c r="F4397" t="s">
        <v>80</v>
      </c>
    </row>
    <row r="4398" spans="1:6" x14ac:dyDescent="0.45">
      <c r="A4398">
        <v>40</v>
      </c>
      <c r="B4398">
        <v>12</v>
      </c>
      <c r="C4398">
        <v>25000</v>
      </c>
      <c r="D4398" t="s">
        <v>71</v>
      </c>
      <c r="E4398" t="s">
        <v>74</v>
      </c>
      <c r="F4398" t="s">
        <v>80</v>
      </c>
    </row>
    <row r="4399" spans="1:6" x14ac:dyDescent="0.45">
      <c r="A4399">
        <v>40</v>
      </c>
      <c r="B4399">
        <v>12</v>
      </c>
      <c r="C4399">
        <v>25000</v>
      </c>
      <c r="D4399" t="s">
        <v>76</v>
      </c>
      <c r="E4399" t="s">
        <v>72</v>
      </c>
      <c r="F4399" t="s">
        <v>80</v>
      </c>
    </row>
    <row r="4400" spans="1:6" x14ac:dyDescent="0.45">
      <c r="A4400">
        <v>0</v>
      </c>
      <c r="B4400">
        <v>12</v>
      </c>
      <c r="C4400">
        <v>25000</v>
      </c>
      <c r="D4400" t="s">
        <v>71</v>
      </c>
      <c r="E4400" t="s">
        <v>72</v>
      </c>
      <c r="F4400" t="s">
        <v>80</v>
      </c>
    </row>
    <row r="4401" spans="1:6" x14ac:dyDescent="0.45">
      <c r="A4401">
        <v>0</v>
      </c>
      <c r="B4401">
        <v>12</v>
      </c>
      <c r="C4401">
        <v>25000</v>
      </c>
      <c r="D4401" t="s">
        <v>71</v>
      </c>
      <c r="E4401" t="s">
        <v>74</v>
      </c>
      <c r="F4401" t="s">
        <v>80</v>
      </c>
    </row>
    <row r="4402" spans="1:6" x14ac:dyDescent="0.45">
      <c r="A4402">
        <v>0</v>
      </c>
      <c r="B4402">
        <v>12</v>
      </c>
      <c r="C4402">
        <v>25000</v>
      </c>
      <c r="D4402" t="s">
        <v>71</v>
      </c>
      <c r="E4402" t="s">
        <v>72</v>
      </c>
      <c r="F4402" t="s">
        <v>80</v>
      </c>
    </row>
    <row r="4403" spans="1:6" x14ac:dyDescent="0.45">
      <c r="A4403">
        <v>40</v>
      </c>
      <c r="B4403">
        <v>12</v>
      </c>
      <c r="C4403">
        <v>25000</v>
      </c>
      <c r="D4403" t="s">
        <v>76</v>
      </c>
      <c r="E4403" t="s">
        <v>72</v>
      </c>
      <c r="F4403" t="s">
        <v>80</v>
      </c>
    </row>
    <row r="4404" spans="1:6" x14ac:dyDescent="0.45">
      <c r="A4404">
        <v>40</v>
      </c>
      <c r="B4404">
        <v>12</v>
      </c>
      <c r="C4404">
        <v>25000</v>
      </c>
      <c r="D4404" t="s">
        <v>71</v>
      </c>
      <c r="E4404" t="s">
        <v>72</v>
      </c>
      <c r="F4404" t="s">
        <v>80</v>
      </c>
    </row>
    <row r="4405" spans="1:6" x14ac:dyDescent="0.45">
      <c r="A4405">
        <v>40</v>
      </c>
      <c r="B4405">
        <v>12</v>
      </c>
      <c r="C4405">
        <v>25000</v>
      </c>
      <c r="D4405" t="s">
        <v>71</v>
      </c>
      <c r="E4405" t="s">
        <v>74</v>
      </c>
      <c r="F4405" t="s">
        <v>80</v>
      </c>
    </row>
    <row r="4406" spans="1:6" x14ac:dyDescent="0.45">
      <c r="A4406">
        <v>40</v>
      </c>
      <c r="B4406">
        <v>12</v>
      </c>
      <c r="C4406">
        <v>25000</v>
      </c>
      <c r="D4406" t="s">
        <v>71</v>
      </c>
      <c r="E4406" t="s">
        <v>74</v>
      </c>
      <c r="F4406" t="s">
        <v>80</v>
      </c>
    </row>
    <row r="4407" spans="1:6" x14ac:dyDescent="0.45">
      <c r="A4407">
        <v>40</v>
      </c>
      <c r="B4407">
        <v>12</v>
      </c>
      <c r="C4407">
        <v>25000</v>
      </c>
      <c r="D4407" t="s">
        <v>76</v>
      </c>
      <c r="E4407" t="s">
        <v>74</v>
      </c>
      <c r="F4407" t="s">
        <v>80</v>
      </c>
    </row>
    <row r="4408" spans="1:6" x14ac:dyDescent="0.45">
      <c r="A4408">
        <v>40</v>
      </c>
      <c r="B4408">
        <v>12</v>
      </c>
      <c r="C4408">
        <v>25000</v>
      </c>
      <c r="D4408" t="s">
        <v>71</v>
      </c>
      <c r="E4408" t="s">
        <v>72</v>
      </c>
      <c r="F4408" t="s">
        <v>80</v>
      </c>
    </row>
    <row r="4409" spans="1:6" x14ac:dyDescent="0.45">
      <c r="A4409">
        <v>40</v>
      </c>
      <c r="B4409">
        <v>12</v>
      </c>
      <c r="C4409">
        <v>25000</v>
      </c>
      <c r="D4409" t="s">
        <v>71</v>
      </c>
      <c r="E4409" t="s">
        <v>74</v>
      </c>
      <c r="F4409" t="s">
        <v>80</v>
      </c>
    </row>
    <row r="4410" spans="1:6" x14ac:dyDescent="0.45">
      <c r="A4410">
        <v>40</v>
      </c>
      <c r="B4410">
        <v>12</v>
      </c>
      <c r="C4410">
        <v>25000</v>
      </c>
      <c r="D4410" t="s">
        <v>76</v>
      </c>
      <c r="E4410" t="s">
        <v>72</v>
      </c>
      <c r="F4410" t="s">
        <v>80</v>
      </c>
    </row>
    <row r="4411" spans="1:6" x14ac:dyDescent="0.45">
      <c r="A4411">
        <v>45</v>
      </c>
      <c r="B4411">
        <v>12</v>
      </c>
      <c r="C4411">
        <v>25000</v>
      </c>
      <c r="D4411" t="s">
        <v>71</v>
      </c>
      <c r="E4411" t="s">
        <v>74</v>
      </c>
      <c r="F4411" t="s">
        <v>80</v>
      </c>
    </row>
    <row r="4412" spans="1:6" x14ac:dyDescent="0.45">
      <c r="A4412">
        <v>40</v>
      </c>
      <c r="B4412">
        <v>12</v>
      </c>
      <c r="C4412">
        <v>25000</v>
      </c>
      <c r="D4412" t="s">
        <v>71</v>
      </c>
      <c r="E4412" t="s">
        <v>72</v>
      </c>
      <c r="F4412" t="s">
        <v>80</v>
      </c>
    </row>
    <row r="4413" spans="1:6" x14ac:dyDescent="0.45">
      <c r="A4413">
        <v>40</v>
      </c>
      <c r="B4413">
        <v>12</v>
      </c>
      <c r="C4413">
        <v>25000</v>
      </c>
      <c r="D4413" t="s">
        <v>76</v>
      </c>
      <c r="E4413" t="s">
        <v>72</v>
      </c>
      <c r="F4413" t="s">
        <v>80</v>
      </c>
    </row>
    <row r="4414" spans="1:6" x14ac:dyDescent="0.45">
      <c r="A4414">
        <v>40</v>
      </c>
      <c r="B4414">
        <v>12</v>
      </c>
      <c r="C4414">
        <v>25000</v>
      </c>
      <c r="D4414" t="s">
        <v>76</v>
      </c>
      <c r="E4414" t="s">
        <v>72</v>
      </c>
      <c r="F4414" t="s">
        <v>80</v>
      </c>
    </row>
    <row r="4415" spans="1:6" x14ac:dyDescent="0.45">
      <c r="A4415">
        <v>60</v>
      </c>
      <c r="B4415">
        <v>12</v>
      </c>
      <c r="C4415">
        <v>25000</v>
      </c>
      <c r="D4415" t="s">
        <v>71</v>
      </c>
      <c r="E4415" t="s">
        <v>74</v>
      </c>
      <c r="F4415" t="s">
        <v>80</v>
      </c>
    </row>
    <row r="4416" spans="1:6" x14ac:dyDescent="0.45">
      <c r="A4416">
        <v>40</v>
      </c>
      <c r="B4416">
        <v>12</v>
      </c>
      <c r="C4416">
        <v>25000</v>
      </c>
      <c r="D4416" t="s">
        <v>71</v>
      </c>
      <c r="E4416" t="s">
        <v>74</v>
      </c>
      <c r="F4416" t="s">
        <v>80</v>
      </c>
    </row>
    <row r="4417" spans="1:6" x14ac:dyDescent="0.45">
      <c r="A4417">
        <v>40</v>
      </c>
      <c r="B4417">
        <v>12</v>
      </c>
      <c r="C4417">
        <v>25000</v>
      </c>
      <c r="D4417" t="s">
        <v>71</v>
      </c>
      <c r="E4417" t="s">
        <v>72</v>
      </c>
      <c r="F4417" t="s">
        <v>80</v>
      </c>
    </row>
    <row r="4418" spans="1:6" x14ac:dyDescent="0.45">
      <c r="A4418">
        <v>42</v>
      </c>
      <c r="B4418">
        <v>12</v>
      </c>
      <c r="C4418">
        <v>25000</v>
      </c>
      <c r="D4418" t="s">
        <v>71</v>
      </c>
      <c r="E4418" t="s">
        <v>72</v>
      </c>
      <c r="F4418" t="s">
        <v>80</v>
      </c>
    </row>
    <row r="4419" spans="1:6" x14ac:dyDescent="0.45">
      <c r="A4419">
        <v>40</v>
      </c>
      <c r="B4419">
        <v>12</v>
      </c>
      <c r="C4419">
        <v>25000</v>
      </c>
      <c r="D4419" t="s">
        <v>71</v>
      </c>
      <c r="E4419" t="s">
        <v>74</v>
      </c>
      <c r="F4419" t="s">
        <v>80</v>
      </c>
    </row>
    <row r="4420" spans="1:6" x14ac:dyDescent="0.45">
      <c r="A4420">
        <v>40</v>
      </c>
      <c r="B4420">
        <v>12</v>
      </c>
      <c r="C4420">
        <v>25000</v>
      </c>
      <c r="D4420" t="s">
        <v>71</v>
      </c>
      <c r="E4420" t="s">
        <v>74</v>
      </c>
      <c r="F4420" t="s">
        <v>80</v>
      </c>
    </row>
    <row r="4421" spans="1:6" x14ac:dyDescent="0.45">
      <c r="A4421">
        <v>40</v>
      </c>
      <c r="B4421">
        <v>12</v>
      </c>
      <c r="C4421">
        <v>25000</v>
      </c>
      <c r="D4421" t="s">
        <v>71</v>
      </c>
      <c r="E4421" t="s">
        <v>72</v>
      </c>
      <c r="F4421" t="s">
        <v>80</v>
      </c>
    </row>
    <row r="4422" spans="1:6" x14ac:dyDescent="0.45">
      <c r="A4422">
        <v>44</v>
      </c>
      <c r="B4422">
        <v>12</v>
      </c>
      <c r="C4422">
        <v>25000</v>
      </c>
      <c r="D4422" t="s">
        <v>71</v>
      </c>
      <c r="E4422" t="s">
        <v>72</v>
      </c>
      <c r="F4422" t="s">
        <v>80</v>
      </c>
    </row>
    <row r="4423" spans="1:6" x14ac:dyDescent="0.45">
      <c r="A4423">
        <v>40</v>
      </c>
      <c r="B4423">
        <v>12</v>
      </c>
      <c r="C4423">
        <v>25000</v>
      </c>
      <c r="D4423" t="s">
        <v>71</v>
      </c>
      <c r="E4423" t="s">
        <v>72</v>
      </c>
      <c r="F4423" t="s">
        <v>80</v>
      </c>
    </row>
    <row r="4424" spans="1:6" x14ac:dyDescent="0.45">
      <c r="A4424">
        <v>40</v>
      </c>
      <c r="B4424">
        <v>12</v>
      </c>
      <c r="C4424">
        <v>25000</v>
      </c>
      <c r="D4424" t="s">
        <v>71</v>
      </c>
      <c r="E4424" t="s">
        <v>74</v>
      </c>
      <c r="F4424" t="s">
        <v>80</v>
      </c>
    </row>
    <row r="4425" spans="1:6" x14ac:dyDescent="0.45">
      <c r="A4425">
        <v>35</v>
      </c>
      <c r="B4425">
        <v>12</v>
      </c>
      <c r="C4425">
        <v>25000</v>
      </c>
      <c r="D4425" t="s">
        <v>71</v>
      </c>
      <c r="E4425" t="s">
        <v>72</v>
      </c>
      <c r="F4425" t="s">
        <v>80</v>
      </c>
    </row>
    <row r="4426" spans="1:6" x14ac:dyDescent="0.45">
      <c r="A4426">
        <v>45</v>
      </c>
      <c r="B4426">
        <v>12</v>
      </c>
      <c r="C4426">
        <v>25000</v>
      </c>
      <c r="D4426" t="s">
        <v>71</v>
      </c>
      <c r="E4426" t="s">
        <v>74</v>
      </c>
      <c r="F4426" t="s">
        <v>80</v>
      </c>
    </row>
    <row r="4427" spans="1:6" x14ac:dyDescent="0.45">
      <c r="A4427">
        <v>50</v>
      </c>
      <c r="B4427">
        <v>12</v>
      </c>
      <c r="C4427">
        <v>25000</v>
      </c>
      <c r="D4427" t="s">
        <v>71</v>
      </c>
      <c r="E4427" t="s">
        <v>74</v>
      </c>
      <c r="F4427" t="s">
        <v>80</v>
      </c>
    </row>
    <row r="4428" spans="1:6" x14ac:dyDescent="0.45">
      <c r="A4428">
        <v>55</v>
      </c>
      <c r="B4428">
        <v>12</v>
      </c>
      <c r="C4428">
        <v>25000</v>
      </c>
      <c r="D4428" t="s">
        <v>71</v>
      </c>
      <c r="E4428" t="s">
        <v>72</v>
      </c>
      <c r="F4428" t="s">
        <v>80</v>
      </c>
    </row>
    <row r="4429" spans="1:6" x14ac:dyDescent="0.45">
      <c r="A4429">
        <v>40</v>
      </c>
      <c r="B4429">
        <v>12</v>
      </c>
      <c r="C4429">
        <v>25000</v>
      </c>
      <c r="D4429" t="s">
        <v>71</v>
      </c>
      <c r="E4429" t="s">
        <v>74</v>
      </c>
      <c r="F4429" t="s">
        <v>80</v>
      </c>
    </row>
    <row r="4430" spans="1:6" x14ac:dyDescent="0.45">
      <c r="A4430">
        <v>40</v>
      </c>
      <c r="B4430">
        <v>12</v>
      </c>
      <c r="C4430">
        <v>25000</v>
      </c>
      <c r="D4430" t="s">
        <v>76</v>
      </c>
      <c r="E4430" t="s">
        <v>74</v>
      </c>
      <c r="F4430" t="s">
        <v>80</v>
      </c>
    </row>
    <row r="4431" spans="1:6" x14ac:dyDescent="0.45">
      <c r="A4431">
        <v>40</v>
      </c>
      <c r="B4431">
        <v>12</v>
      </c>
      <c r="C4431">
        <v>25000</v>
      </c>
      <c r="D4431" t="s">
        <v>71</v>
      </c>
      <c r="E4431" t="s">
        <v>72</v>
      </c>
      <c r="F4431" t="s">
        <v>80</v>
      </c>
    </row>
    <row r="4432" spans="1:6" x14ac:dyDescent="0.45">
      <c r="A4432">
        <v>51</v>
      </c>
      <c r="B4432">
        <v>12</v>
      </c>
      <c r="C4432">
        <v>25000</v>
      </c>
      <c r="D4432" t="s">
        <v>71</v>
      </c>
      <c r="E4432" t="s">
        <v>74</v>
      </c>
      <c r="F4432" t="s">
        <v>80</v>
      </c>
    </row>
    <row r="4433" spans="1:6" x14ac:dyDescent="0.45">
      <c r="A4433">
        <v>40</v>
      </c>
      <c r="B4433">
        <v>12</v>
      </c>
      <c r="C4433">
        <v>25000</v>
      </c>
      <c r="D4433" t="s">
        <v>71</v>
      </c>
      <c r="E4433" t="s">
        <v>72</v>
      </c>
      <c r="F4433" t="s">
        <v>80</v>
      </c>
    </row>
    <row r="4434" spans="1:6" x14ac:dyDescent="0.45">
      <c r="A4434">
        <v>40</v>
      </c>
      <c r="B4434">
        <v>12</v>
      </c>
      <c r="C4434">
        <v>25000</v>
      </c>
      <c r="D4434" t="s">
        <v>71</v>
      </c>
      <c r="E4434" t="s">
        <v>72</v>
      </c>
      <c r="F4434" t="s">
        <v>80</v>
      </c>
    </row>
    <row r="4435" spans="1:6" x14ac:dyDescent="0.45">
      <c r="A4435">
        <v>50</v>
      </c>
      <c r="B4435">
        <v>12</v>
      </c>
      <c r="C4435">
        <v>25000</v>
      </c>
      <c r="D4435" t="s">
        <v>71</v>
      </c>
      <c r="E4435" t="s">
        <v>74</v>
      </c>
      <c r="F4435" t="s">
        <v>80</v>
      </c>
    </row>
    <row r="4436" spans="1:6" x14ac:dyDescent="0.45">
      <c r="A4436">
        <v>40</v>
      </c>
      <c r="B4436">
        <v>12</v>
      </c>
      <c r="C4436">
        <v>25000</v>
      </c>
      <c r="D4436" t="s">
        <v>71</v>
      </c>
      <c r="E4436" t="s">
        <v>72</v>
      </c>
      <c r="F4436" t="s">
        <v>80</v>
      </c>
    </row>
    <row r="4437" spans="1:6" x14ac:dyDescent="0.45">
      <c r="A4437">
        <v>40</v>
      </c>
      <c r="B4437">
        <v>12</v>
      </c>
      <c r="C4437">
        <v>25000</v>
      </c>
      <c r="D4437" t="s">
        <v>71</v>
      </c>
      <c r="E4437" t="s">
        <v>72</v>
      </c>
      <c r="F4437" t="s">
        <v>80</v>
      </c>
    </row>
    <row r="4438" spans="1:6" x14ac:dyDescent="0.45">
      <c r="A4438">
        <v>40</v>
      </c>
      <c r="B4438">
        <v>12</v>
      </c>
      <c r="C4438">
        <v>25000</v>
      </c>
      <c r="D4438" t="s">
        <v>71</v>
      </c>
      <c r="E4438" t="s">
        <v>72</v>
      </c>
      <c r="F4438" t="s">
        <v>80</v>
      </c>
    </row>
    <row r="4439" spans="1:6" x14ac:dyDescent="0.45">
      <c r="A4439">
        <v>38</v>
      </c>
      <c r="B4439">
        <v>12</v>
      </c>
      <c r="C4439">
        <v>25000</v>
      </c>
      <c r="D4439" t="s">
        <v>71</v>
      </c>
      <c r="E4439" t="s">
        <v>72</v>
      </c>
      <c r="F4439" t="s">
        <v>80</v>
      </c>
    </row>
    <row r="4440" spans="1:6" x14ac:dyDescent="0.45">
      <c r="A4440">
        <v>50</v>
      </c>
      <c r="B4440">
        <v>12</v>
      </c>
      <c r="C4440">
        <v>25000</v>
      </c>
      <c r="D4440" t="s">
        <v>71</v>
      </c>
      <c r="E4440" t="s">
        <v>74</v>
      </c>
      <c r="F4440" t="s">
        <v>80</v>
      </c>
    </row>
    <row r="4441" spans="1:6" x14ac:dyDescent="0.45">
      <c r="A4441">
        <v>40</v>
      </c>
      <c r="B4441">
        <v>12</v>
      </c>
      <c r="C4441">
        <v>25000</v>
      </c>
      <c r="D4441" t="s">
        <v>76</v>
      </c>
      <c r="E4441" t="s">
        <v>74</v>
      </c>
      <c r="F4441" t="s">
        <v>80</v>
      </c>
    </row>
    <row r="4442" spans="1:6" x14ac:dyDescent="0.45">
      <c r="A4442">
        <v>40</v>
      </c>
      <c r="B4442">
        <v>12</v>
      </c>
      <c r="C4442">
        <v>25000</v>
      </c>
      <c r="D4442" t="s">
        <v>71</v>
      </c>
      <c r="E4442" t="s">
        <v>74</v>
      </c>
      <c r="F4442" t="s">
        <v>80</v>
      </c>
    </row>
    <row r="4443" spans="1:6" x14ac:dyDescent="0.45">
      <c r="A4443">
        <v>38</v>
      </c>
      <c r="B4443">
        <v>12</v>
      </c>
      <c r="C4443">
        <v>25000</v>
      </c>
      <c r="D4443" t="s">
        <v>71</v>
      </c>
      <c r="E4443" t="s">
        <v>72</v>
      </c>
      <c r="F4443" t="s">
        <v>80</v>
      </c>
    </row>
    <row r="4444" spans="1:6" x14ac:dyDescent="0.45">
      <c r="A4444">
        <v>40</v>
      </c>
      <c r="B4444">
        <v>12</v>
      </c>
      <c r="C4444">
        <v>25000</v>
      </c>
      <c r="D4444" t="s">
        <v>71</v>
      </c>
      <c r="E4444" t="s">
        <v>74</v>
      </c>
      <c r="F4444" t="s">
        <v>80</v>
      </c>
    </row>
    <row r="4445" spans="1:6" x14ac:dyDescent="0.45">
      <c r="A4445">
        <v>57</v>
      </c>
      <c r="B4445">
        <v>12</v>
      </c>
      <c r="C4445">
        <v>25000</v>
      </c>
      <c r="D4445" t="s">
        <v>71</v>
      </c>
      <c r="E4445" t="s">
        <v>72</v>
      </c>
      <c r="F4445" t="s">
        <v>80</v>
      </c>
    </row>
    <row r="4446" spans="1:6" x14ac:dyDescent="0.45">
      <c r="A4446">
        <v>40</v>
      </c>
      <c r="B4446">
        <v>12</v>
      </c>
      <c r="C4446">
        <v>25000</v>
      </c>
      <c r="D4446" t="s">
        <v>71</v>
      </c>
      <c r="E4446" t="s">
        <v>72</v>
      </c>
      <c r="F4446" t="s">
        <v>80</v>
      </c>
    </row>
    <row r="4447" spans="1:6" x14ac:dyDescent="0.45">
      <c r="A4447">
        <v>40</v>
      </c>
      <c r="B4447">
        <v>12</v>
      </c>
      <c r="C4447">
        <v>25000</v>
      </c>
      <c r="D4447" t="s">
        <v>71</v>
      </c>
      <c r="E4447" t="s">
        <v>72</v>
      </c>
      <c r="F4447" t="s">
        <v>80</v>
      </c>
    </row>
    <row r="4448" spans="1:6" x14ac:dyDescent="0.45">
      <c r="A4448">
        <v>65</v>
      </c>
      <c r="B4448">
        <v>12</v>
      </c>
      <c r="C4448">
        <v>25000</v>
      </c>
      <c r="D4448" t="s">
        <v>71</v>
      </c>
      <c r="E4448" t="s">
        <v>72</v>
      </c>
      <c r="F4448" t="s">
        <v>80</v>
      </c>
    </row>
    <row r="4449" spans="1:6" x14ac:dyDescent="0.45">
      <c r="A4449">
        <v>40</v>
      </c>
      <c r="B4449">
        <v>12</v>
      </c>
      <c r="C4449">
        <v>25000</v>
      </c>
      <c r="D4449" t="s">
        <v>71</v>
      </c>
      <c r="E4449" t="s">
        <v>72</v>
      </c>
      <c r="F4449" t="s">
        <v>80</v>
      </c>
    </row>
    <row r="4450" spans="1:6" x14ac:dyDescent="0.45">
      <c r="A4450">
        <v>40</v>
      </c>
      <c r="B4450">
        <v>12</v>
      </c>
      <c r="C4450">
        <v>25000</v>
      </c>
      <c r="D4450" t="s">
        <v>71</v>
      </c>
      <c r="E4450" t="s">
        <v>72</v>
      </c>
      <c r="F4450" t="s">
        <v>80</v>
      </c>
    </row>
    <row r="4451" spans="1:6" x14ac:dyDescent="0.45">
      <c r="A4451">
        <v>40</v>
      </c>
      <c r="B4451">
        <v>12</v>
      </c>
      <c r="C4451">
        <v>25000</v>
      </c>
      <c r="D4451" t="s">
        <v>71</v>
      </c>
      <c r="E4451" t="s">
        <v>74</v>
      </c>
      <c r="F4451" t="s">
        <v>80</v>
      </c>
    </row>
    <row r="4452" spans="1:6" x14ac:dyDescent="0.45">
      <c r="A4452">
        <v>40</v>
      </c>
      <c r="B4452">
        <v>12</v>
      </c>
      <c r="C4452">
        <v>25000</v>
      </c>
      <c r="D4452" t="s">
        <v>71</v>
      </c>
      <c r="E4452" t="s">
        <v>74</v>
      </c>
      <c r="F4452" t="s">
        <v>80</v>
      </c>
    </row>
    <row r="4453" spans="1:6" x14ac:dyDescent="0.45">
      <c r="A4453">
        <v>40</v>
      </c>
      <c r="B4453">
        <v>12</v>
      </c>
      <c r="C4453">
        <v>25000</v>
      </c>
      <c r="D4453" t="s">
        <v>71</v>
      </c>
      <c r="E4453" t="s">
        <v>74</v>
      </c>
      <c r="F4453" t="s">
        <v>80</v>
      </c>
    </row>
    <row r="4454" spans="1:6" x14ac:dyDescent="0.45">
      <c r="A4454">
        <v>45</v>
      </c>
      <c r="B4454">
        <v>12</v>
      </c>
      <c r="C4454">
        <v>25000</v>
      </c>
      <c r="D4454" t="s">
        <v>71</v>
      </c>
      <c r="E4454" t="s">
        <v>74</v>
      </c>
      <c r="F4454" t="s">
        <v>80</v>
      </c>
    </row>
    <row r="4455" spans="1:6" x14ac:dyDescent="0.45">
      <c r="A4455">
        <v>37</v>
      </c>
      <c r="B4455">
        <v>12</v>
      </c>
      <c r="C4455">
        <v>25000</v>
      </c>
      <c r="D4455" t="s">
        <v>71</v>
      </c>
      <c r="E4455" t="s">
        <v>72</v>
      </c>
      <c r="F4455" t="s">
        <v>80</v>
      </c>
    </row>
    <row r="4456" spans="1:6" x14ac:dyDescent="0.45">
      <c r="A4456">
        <v>43</v>
      </c>
      <c r="B4456">
        <v>12</v>
      </c>
      <c r="C4456">
        <v>25000</v>
      </c>
      <c r="D4456" t="s">
        <v>71</v>
      </c>
      <c r="E4456" t="s">
        <v>74</v>
      </c>
      <c r="F4456" t="s">
        <v>80</v>
      </c>
    </row>
    <row r="4457" spans="1:6" x14ac:dyDescent="0.45">
      <c r="A4457">
        <v>0</v>
      </c>
      <c r="B4457">
        <v>12</v>
      </c>
      <c r="C4457">
        <v>25000</v>
      </c>
      <c r="D4457" t="s">
        <v>71</v>
      </c>
      <c r="E4457" t="s">
        <v>74</v>
      </c>
      <c r="F4457" t="s">
        <v>80</v>
      </c>
    </row>
    <row r="4458" spans="1:6" x14ac:dyDescent="0.45">
      <c r="A4458">
        <v>40</v>
      </c>
      <c r="B4458">
        <v>12</v>
      </c>
      <c r="C4458">
        <v>25000</v>
      </c>
      <c r="D4458" t="s">
        <v>71</v>
      </c>
      <c r="E4458" t="s">
        <v>72</v>
      </c>
      <c r="F4458" t="s">
        <v>80</v>
      </c>
    </row>
    <row r="4459" spans="1:6" x14ac:dyDescent="0.45">
      <c r="A4459">
        <v>40</v>
      </c>
      <c r="B4459">
        <v>12</v>
      </c>
      <c r="C4459">
        <v>25000</v>
      </c>
      <c r="D4459" t="s">
        <v>71</v>
      </c>
      <c r="E4459" t="s">
        <v>74</v>
      </c>
      <c r="F4459" t="s">
        <v>80</v>
      </c>
    </row>
    <row r="4460" spans="1:6" x14ac:dyDescent="0.45">
      <c r="A4460">
        <v>40</v>
      </c>
      <c r="B4460">
        <v>12</v>
      </c>
      <c r="C4460">
        <v>25000</v>
      </c>
      <c r="D4460" t="s">
        <v>71</v>
      </c>
      <c r="E4460" t="s">
        <v>72</v>
      </c>
      <c r="F4460" t="s">
        <v>80</v>
      </c>
    </row>
    <row r="4461" spans="1:6" x14ac:dyDescent="0.45">
      <c r="A4461">
        <v>40</v>
      </c>
      <c r="B4461">
        <v>12</v>
      </c>
      <c r="C4461">
        <v>25000</v>
      </c>
      <c r="D4461" t="s">
        <v>71</v>
      </c>
      <c r="E4461" t="s">
        <v>72</v>
      </c>
      <c r="F4461" t="s">
        <v>80</v>
      </c>
    </row>
    <row r="4462" spans="1:6" x14ac:dyDescent="0.45">
      <c r="A4462">
        <v>0</v>
      </c>
      <c r="B4462">
        <v>12</v>
      </c>
      <c r="C4462">
        <v>25000</v>
      </c>
      <c r="D4462" t="s">
        <v>71</v>
      </c>
      <c r="E4462" t="s">
        <v>72</v>
      </c>
      <c r="F4462" t="s">
        <v>80</v>
      </c>
    </row>
    <row r="4463" spans="1:6" x14ac:dyDescent="0.45">
      <c r="A4463">
        <v>60</v>
      </c>
      <c r="B4463">
        <v>12</v>
      </c>
      <c r="C4463">
        <v>25000</v>
      </c>
      <c r="D4463" t="s">
        <v>71</v>
      </c>
      <c r="E4463" t="s">
        <v>72</v>
      </c>
      <c r="F4463" t="s">
        <v>80</v>
      </c>
    </row>
    <row r="4464" spans="1:6" x14ac:dyDescent="0.45">
      <c r="A4464">
        <v>40</v>
      </c>
      <c r="B4464">
        <v>12</v>
      </c>
      <c r="C4464">
        <v>25000</v>
      </c>
      <c r="D4464" t="s">
        <v>71</v>
      </c>
      <c r="E4464" t="s">
        <v>74</v>
      </c>
      <c r="F4464" t="s">
        <v>80</v>
      </c>
    </row>
    <row r="4465" spans="1:6" x14ac:dyDescent="0.45">
      <c r="A4465">
        <v>40</v>
      </c>
      <c r="B4465">
        <v>12</v>
      </c>
      <c r="C4465">
        <v>25000</v>
      </c>
      <c r="D4465" t="s">
        <v>71</v>
      </c>
      <c r="E4465" t="s">
        <v>74</v>
      </c>
      <c r="F4465" t="s">
        <v>80</v>
      </c>
    </row>
    <row r="4466" spans="1:6" x14ac:dyDescent="0.45">
      <c r="A4466">
        <v>51</v>
      </c>
      <c r="B4466">
        <v>12</v>
      </c>
      <c r="C4466">
        <v>25000</v>
      </c>
      <c r="D4466" t="s">
        <v>71</v>
      </c>
      <c r="E4466" t="s">
        <v>74</v>
      </c>
      <c r="F4466" t="s">
        <v>80</v>
      </c>
    </row>
    <row r="4467" spans="1:6" x14ac:dyDescent="0.45">
      <c r="A4467">
        <v>40</v>
      </c>
      <c r="B4467">
        <v>12</v>
      </c>
      <c r="C4467">
        <v>25000</v>
      </c>
      <c r="D4467" t="s">
        <v>71</v>
      </c>
      <c r="E4467" t="s">
        <v>74</v>
      </c>
      <c r="F4467" t="s">
        <v>80</v>
      </c>
    </row>
    <row r="4468" spans="1:6" x14ac:dyDescent="0.45">
      <c r="A4468">
        <v>42</v>
      </c>
      <c r="B4468">
        <v>12</v>
      </c>
      <c r="C4468">
        <v>25000</v>
      </c>
      <c r="D4468" t="s">
        <v>71</v>
      </c>
      <c r="E4468" t="s">
        <v>72</v>
      </c>
      <c r="F4468" t="s">
        <v>80</v>
      </c>
    </row>
    <row r="4469" spans="1:6" x14ac:dyDescent="0.45">
      <c r="A4469">
        <v>40</v>
      </c>
      <c r="B4469">
        <v>12</v>
      </c>
      <c r="C4469">
        <v>25000</v>
      </c>
      <c r="D4469" t="s">
        <v>71</v>
      </c>
      <c r="E4469" t="s">
        <v>74</v>
      </c>
      <c r="F4469" t="s">
        <v>80</v>
      </c>
    </row>
    <row r="4470" spans="1:6" x14ac:dyDescent="0.45">
      <c r="A4470">
        <v>40</v>
      </c>
      <c r="B4470">
        <v>12</v>
      </c>
      <c r="C4470">
        <v>25000</v>
      </c>
      <c r="D4470" t="s">
        <v>71</v>
      </c>
      <c r="E4470" t="s">
        <v>74</v>
      </c>
      <c r="F4470" t="s">
        <v>80</v>
      </c>
    </row>
    <row r="4471" spans="1:6" x14ac:dyDescent="0.45">
      <c r="A4471">
        <v>40</v>
      </c>
      <c r="B4471">
        <v>12</v>
      </c>
      <c r="C4471">
        <v>25000</v>
      </c>
      <c r="D4471" t="s">
        <v>71</v>
      </c>
      <c r="E4471" t="s">
        <v>74</v>
      </c>
      <c r="F4471" t="s">
        <v>80</v>
      </c>
    </row>
    <row r="4472" spans="1:6" x14ac:dyDescent="0.45">
      <c r="A4472">
        <v>50</v>
      </c>
      <c r="B4472">
        <v>12</v>
      </c>
      <c r="C4472">
        <v>25000</v>
      </c>
      <c r="D4472" t="s">
        <v>71</v>
      </c>
      <c r="E4472" t="s">
        <v>72</v>
      </c>
      <c r="F4472" t="s">
        <v>80</v>
      </c>
    </row>
    <row r="4473" spans="1:6" x14ac:dyDescent="0.45">
      <c r="A4473">
        <v>45</v>
      </c>
      <c r="B4473">
        <v>12</v>
      </c>
      <c r="C4473">
        <v>25000</v>
      </c>
      <c r="D4473" t="s">
        <v>71</v>
      </c>
      <c r="E4473" t="s">
        <v>74</v>
      </c>
      <c r="F4473" t="s">
        <v>80</v>
      </c>
    </row>
    <row r="4474" spans="1:6" x14ac:dyDescent="0.45">
      <c r="A4474">
        <v>40</v>
      </c>
      <c r="B4474">
        <v>12</v>
      </c>
      <c r="C4474">
        <v>25000</v>
      </c>
      <c r="D4474" t="s">
        <v>71</v>
      </c>
      <c r="E4474" t="s">
        <v>74</v>
      </c>
      <c r="F4474" t="s">
        <v>80</v>
      </c>
    </row>
    <row r="4475" spans="1:6" x14ac:dyDescent="0.45">
      <c r="A4475">
        <v>40</v>
      </c>
      <c r="B4475">
        <v>12</v>
      </c>
      <c r="C4475">
        <v>25000</v>
      </c>
      <c r="D4475" t="s">
        <v>71</v>
      </c>
      <c r="E4475" t="s">
        <v>74</v>
      </c>
      <c r="F4475" t="s">
        <v>80</v>
      </c>
    </row>
    <row r="4476" spans="1:6" x14ac:dyDescent="0.45">
      <c r="A4476">
        <v>40</v>
      </c>
      <c r="B4476">
        <v>12</v>
      </c>
      <c r="C4476">
        <v>25000</v>
      </c>
      <c r="D4476" t="s">
        <v>71</v>
      </c>
      <c r="E4476" t="s">
        <v>72</v>
      </c>
      <c r="F4476" t="s">
        <v>80</v>
      </c>
    </row>
    <row r="4477" spans="1:6" x14ac:dyDescent="0.45">
      <c r="A4477">
        <v>46</v>
      </c>
      <c r="B4477">
        <v>12</v>
      </c>
      <c r="C4477">
        <v>25000</v>
      </c>
      <c r="D4477" t="s">
        <v>71</v>
      </c>
      <c r="E4477" t="s">
        <v>74</v>
      </c>
      <c r="F4477" t="s">
        <v>80</v>
      </c>
    </row>
    <row r="4478" spans="1:6" x14ac:dyDescent="0.45">
      <c r="A4478">
        <v>40</v>
      </c>
      <c r="B4478">
        <v>12</v>
      </c>
      <c r="C4478">
        <v>25000</v>
      </c>
      <c r="D4478" t="s">
        <v>71</v>
      </c>
      <c r="E4478" t="s">
        <v>72</v>
      </c>
      <c r="F4478" t="s">
        <v>80</v>
      </c>
    </row>
    <row r="4479" spans="1:6" x14ac:dyDescent="0.45">
      <c r="A4479">
        <v>40</v>
      </c>
      <c r="B4479">
        <v>12</v>
      </c>
      <c r="C4479">
        <v>25000</v>
      </c>
      <c r="D4479" t="s">
        <v>71</v>
      </c>
      <c r="E4479" t="s">
        <v>72</v>
      </c>
      <c r="F4479" t="s">
        <v>80</v>
      </c>
    </row>
    <row r="4480" spans="1:6" x14ac:dyDescent="0.45">
      <c r="A4480">
        <v>40</v>
      </c>
      <c r="B4480">
        <v>12</v>
      </c>
      <c r="C4480">
        <v>25000</v>
      </c>
      <c r="D4480" t="s">
        <v>71</v>
      </c>
      <c r="E4480" t="s">
        <v>72</v>
      </c>
      <c r="F4480" t="s">
        <v>80</v>
      </c>
    </row>
    <row r="4481" spans="1:6" x14ac:dyDescent="0.45">
      <c r="A4481">
        <v>40</v>
      </c>
      <c r="B4481">
        <v>12</v>
      </c>
      <c r="C4481">
        <v>25000</v>
      </c>
      <c r="D4481" t="s">
        <v>71</v>
      </c>
      <c r="E4481" t="s">
        <v>72</v>
      </c>
      <c r="F4481" t="s">
        <v>80</v>
      </c>
    </row>
    <row r="4482" spans="1:6" x14ac:dyDescent="0.45">
      <c r="A4482">
        <v>40</v>
      </c>
      <c r="B4482">
        <v>12</v>
      </c>
      <c r="C4482">
        <v>25000</v>
      </c>
      <c r="D4482" t="s">
        <v>71</v>
      </c>
      <c r="E4482" t="s">
        <v>74</v>
      </c>
      <c r="F4482" t="s">
        <v>80</v>
      </c>
    </row>
    <row r="4483" spans="1:6" x14ac:dyDescent="0.45">
      <c r="A4483">
        <v>40</v>
      </c>
      <c r="B4483">
        <v>12</v>
      </c>
      <c r="C4483">
        <v>25000</v>
      </c>
      <c r="D4483" t="s">
        <v>71</v>
      </c>
      <c r="E4483" t="s">
        <v>72</v>
      </c>
      <c r="F4483" t="s">
        <v>80</v>
      </c>
    </row>
    <row r="4484" spans="1:6" x14ac:dyDescent="0.45">
      <c r="A4484">
        <v>48</v>
      </c>
      <c r="B4484">
        <v>12</v>
      </c>
      <c r="C4484">
        <v>25000</v>
      </c>
      <c r="D4484" t="s">
        <v>71</v>
      </c>
      <c r="E4484" t="s">
        <v>74</v>
      </c>
      <c r="F4484" t="s">
        <v>80</v>
      </c>
    </row>
    <row r="4485" spans="1:6" x14ac:dyDescent="0.45">
      <c r="A4485">
        <v>40</v>
      </c>
      <c r="B4485">
        <v>12</v>
      </c>
      <c r="C4485">
        <v>25000</v>
      </c>
      <c r="D4485" t="s">
        <v>71</v>
      </c>
      <c r="E4485" t="s">
        <v>74</v>
      </c>
      <c r="F4485" t="s">
        <v>80</v>
      </c>
    </row>
    <row r="4486" spans="1:6" x14ac:dyDescent="0.45">
      <c r="A4486">
        <v>36</v>
      </c>
      <c r="B4486">
        <v>12</v>
      </c>
      <c r="C4486">
        <v>25000</v>
      </c>
      <c r="D4486" t="s">
        <v>71</v>
      </c>
      <c r="E4486" t="s">
        <v>72</v>
      </c>
      <c r="F4486" t="s">
        <v>80</v>
      </c>
    </row>
    <row r="4487" spans="1:6" x14ac:dyDescent="0.45">
      <c r="A4487">
        <v>40</v>
      </c>
      <c r="B4487">
        <v>12</v>
      </c>
      <c r="C4487">
        <v>25000</v>
      </c>
      <c r="D4487" t="s">
        <v>71</v>
      </c>
      <c r="E4487" t="s">
        <v>72</v>
      </c>
      <c r="F4487" t="s">
        <v>80</v>
      </c>
    </row>
    <row r="4488" spans="1:6" x14ac:dyDescent="0.45">
      <c r="A4488">
        <v>45</v>
      </c>
      <c r="B4488">
        <v>12</v>
      </c>
      <c r="C4488">
        <v>25000</v>
      </c>
      <c r="D4488" t="s">
        <v>71</v>
      </c>
      <c r="E4488" t="s">
        <v>74</v>
      </c>
      <c r="F4488" t="s">
        <v>80</v>
      </c>
    </row>
    <row r="4489" spans="1:6" x14ac:dyDescent="0.45">
      <c r="A4489">
        <v>40</v>
      </c>
      <c r="B4489">
        <v>12</v>
      </c>
      <c r="C4489">
        <v>25010</v>
      </c>
      <c r="D4489" t="s">
        <v>71</v>
      </c>
      <c r="E4489" t="s">
        <v>72</v>
      </c>
      <c r="F4489" t="s">
        <v>80</v>
      </c>
    </row>
    <row r="4490" spans="1:6" x14ac:dyDescent="0.45">
      <c r="A4490">
        <v>40</v>
      </c>
      <c r="B4490">
        <v>12</v>
      </c>
      <c r="C4490">
        <v>25010</v>
      </c>
      <c r="D4490" t="s">
        <v>71</v>
      </c>
      <c r="E4490" t="s">
        <v>72</v>
      </c>
      <c r="F4490" t="s">
        <v>80</v>
      </c>
    </row>
    <row r="4491" spans="1:6" x14ac:dyDescent="0.45">
      <c r="A4491">
        <v>40</v>
      </c>
      <c r="B4491">
        <v>12</v>
      </c>
      <c r="C4491">
        <v>25300</v>
      </c>
      <c r="D4491" t="s">
        <v>71</v>
      </c>
      <c r="E4491" t="s">
        <v>72</v>
      </c>
      <c r="F4491" t="s">
        <v>80</v>
      </c>
    </row>
    <row r="4492" spans="1:6" x14ac:dyDescent="0.45">
      <c r="A4492">
        <v>38</v>
      </c>
      <c r="B4492">
        <v>12</v>
      </c>
      <c r="C4492">
        <v>25300</v>
      </c>
      <c r="D4492" t="s">
        <v>71</v>
      </c>
      <c r="E4492" t="s">
        <v>72</v>
      </c>
      <c r="F4492" t="s">
        <v>80</v>
      </c>
    </row>
    <row r="4493" spans="1:6" x14ac:dyDescent="0.45">
      <c r="A4493">
        <v>40</v>
      </c>
      <c r="B4493">
        <v>12</v>
      </c>
      <c r="C4493">
        <v>25376</v>
      </c>
      <c r="D4493" t="s">
        <v>71</v>
      </c>
      <c r="E4493" t="s">
        <v>72</v>
      </c>
      <c r="F4493" t="s">
        <v>80</v>
      </c>
    </row>
    <row r="4494" spans="1:6" x14ac:dyDescent="0.45">
      <c r="A4494">
        <v>40</v>
      </c>
      <c r="B4494">
        <v>12</v>
      </c>
      <c r="C4494">
        <v>25387</v>
      </c>
      <c r="D4494" t="s">
        <v>71</v>
      </c>
      <c r="E4494" t="s">
        <v>72</v>
      </c>
      <c r="F4494" t="s">
        <v>80</v>
      </c>
    </row>
    <row r="4495" spans="1:6" x14ac:dyDescent="0.45">
      <c r="A4495">
        <v>45</v>
      </c>
      <c r="B4495">
        <v>12</v>
      </c>
      <c r="C4495">
        <v>25500</v>
      </c>
      <c r="D4495" t="s">
        <v>71</v>
      </c>
      <c r="E4495" t="s">
        <v>72</v>
      </c>
      <c r="F4495" t="s">
        <v>80</v>
      </c>
    </row>
    <row r="4496" spans="1:6" x14ac:dyDescent="0.45">
      <c r="A4496">
        <v>40</v>
      </c>
      <c r="B4496">
        <v>12</v>
      </c>
      <c r="C4496">
        <v>25500</v>
      </c>
      <c r="D4496" t="s">
        <v>71</v>
      </c>
      <c r="E4496" t="s">
        <v>72</v>
      </c>
      <c r="F4496" t="s">
        <v>80</v>
      </c>
    </row>
    <row r="4497" spans="1:6" x14ac:dyDescent="0.45">
      <c r="A4497">
        <v>40</v>
      </c>
      <c r="B4497">
        <v>12</v>
      </c>
      <c r="C4497">
        <v>25500</v>
      </c>
      <c r="D4497" t="s">
        <v>71</v>
      </c>
      <c r="E4497" t="s">
        <v>74</v>
      </c>
      <c r="F4497" t="s">
        <v>80</v>
      </c>
    </row>
    <row r="4498" spans="1:6" x14ac:dyDescent="0.45">
      <c r="A4498">
        <v>60</v>
      </c>
      <c r="B4498">
        <v>12</v>
      </c>
      <c r="C4498">
        <v>25800</v>
      </c>
      <c r="D4498" t="s">
        <v>71</v>
      </c>
      <c r="E4498" t="s">
        <v>74</v>
      </c>
      <c r="F4498" t="s">
        <v>80</v>
      </c>
    </row>
    <row r="4499" spans="1:6" x14ac:dyDescent="0.45">
      <c r="A4499">
        <v>40</v>
      </c>
      <c r="B4499">
        <v>12</v>
      </c>
      <c r="C4499">
        <v>26000</v>
      </c>
      <c r="D4499" t="s">
        <v>71</v>
      </c>
      <c r="E4499" t="s">
        <v>72</v>
      </c>
      <c r="F4499" t="s">
        <v>80</v>
      </c>
    </row>
    <row r="4500" spans="1:6" x14ac:dyDescent="0.45">
      <c r="A4500">
        <v>38</v>
      </c>
      <c r="B4500">
        <v>12</v>
      </c>
      <c r="C4500">
        <v>26000</v>
      </c>
      <c r="D4500" t="s">
        <v>76</v>
      </c>
      <c r="E4500" t="s">
        <v>72</v>
      </c>
      <c r="F4500" t="s">
        <v>80</v>
      </c>
    </row>
    <row r="4501" spans="1:6" x14ac:dyDescent="0.45">
      <c r="A4501">
        <v>40</v>
      </c>
      <c r="B4501">
        <v>12</v>
      </c>
      <c r="C4501">
        <v>26000</v>
      </c>
      <c r="D4501" t="s">
        <v>76</v>
      </c>
      <c r="E4501" t="s">
        <v>72</v>
      </c>
      <c r="F4501" t="s">
        <v>80</v>
      </c>
    </row>
    <row r="4502" spans="1:6" x14ac:dyDescent="0.45">
      <c r="A4502">
        <v>45</v>
      </c>
      <c r="B4502">
        <v>12</v>
      </c>
      <c r="C4502">
        <v>26000</v>
      </c>
      <c r="D4502" t="s">
        <v>71</v>
      </c>
      <c r="E4502" t="s">
        <v>74</v>
      </c>
      <c r="F4502" t="s">
        <v>80</v>
      </c>
    </row>
    <row r="4503" spans="1:6" x14ac:dyDescent="0.45">
      <c r="A4503">
        <v>50</v>
      </c>
      <c r="B4503">
        <v>12</v>
      </c>
      <c r="C4503">
        <v>26000</v>
      </c>
      <c r="D4503" t="s">
        <v>71</v>
      </c>
      <c r="E4503" t="s">
        <v>72</v>
      </c>
      <c r="F4503" t="s">
        <v>80</v>
      </c>
    </row>
    <row r="4504" spans="1:6" x14ac:dyDescent="0.45">
      <c r="A4504">
        <v>70</v>
      </c>
      <c r="B4504">
        <v>12</v>
      </c>
      <c r="C4504">
        <v>26000</v>
      </c>
      <c r="D4504" t="s">
        <v>71</v>
      </c>
      <c r="E4504" t="s">
        <v>74</v>
      </c>
      <c r="F4504" t="s">
        <v>80</v>
      </c>
    </row>
    <row r="4505" spans="1:6" x14ac:dyDescent="0.45">
      <c r="A4505">
        <v>36</v>
      </c>
      <c r="B4505">
        <v>12</v>
      </c>
      <c r="C4505">
        <v>26000</v>
      </c>
      <c r="D4505" t="s">
        <v>71</v>
      </c>
      <c r="E4505" t="s">
        <v>74</v>
      </c>
      <c r="F4505" t="s">
        <v>80</v>
      </c>
    </row>
    <row r="4506" spans="1:6" x14ac:dyDescent="0.45">
      <c r="A4506">
        <v>40</v>
      </c>
      <c r="B4506">
        <v>12</v>
      </c>
      <c r="C4506">
        <v>26000</v>
      </c>
      <c r="D4506" t="s">
        <v>71</v>
      </c>
      <c r="E4506" t="s">
        <v>74</v>
      </c>
      <c r="F4506" t="s">
        <v>80</v>
      </c>
    </row>
    <row r="4507" spans="1:6" x14ac:dyDescent="0.45">
      <c r="A4507">
        <v>50</v>
      </c>
      <c r="B4507">
        <v>12</v>
      </c>
      <c r="C4507">
        <v>26000</v>
      </c>
      <c r="D4507" t="s">
        <v>71</v>
      </c>
      <c r="E4507" t="s">
        <v>72</v>
      </c>
      <c r="F4507" t="s">
        <v>80</v>
      </c>
    </row>
    <row r="4508" spans="1:6" x14ac:dyDescent="0.45">
      <c r="A4508">
        <v>50</v>
      </c>
      <c r="B4508">
        <v>12</v>
      </c>
      <c r="C4508">
        <v>26000</v>
      </c>
      <c r="D4508" t="s">
        <v>71</v>
      </c>
      <c r="E4508" t="s">
        <v>72</v>
      </c>
      <c r="F4508" t="s">
        <v>80</v>
      </c>
    </row>
    <row r="4509" spans="1:6" x14ac:dyDescent="0.45">
      <c r="A4509">
        <v>40</v>
      </c>
      <c r="B4509">
        <v>12</v>
      </c>
      <c r="C4509">
        <v>26000</v>
      </c>
      <c r="D4509" t="s">
        <v>71</v>
      </c>
      <c r="E4509" t="s">
        <v>74</v>
      </c>
      <c r="F4509" t="s">
        <v>80</v>
      </c>
    </row>
    <row r="4510" spans="1:6" x14ac:dyDescent="0.45">
      <c r="A4510">
        <v>55</v>
      </c>
      <c r="B4510">
        <v>12</v>
      </c>
      <c r="C4510">
        <v>26000</v>
      </c>
      <c r="D4510" t="s">
        <v>71</v>
      </c>
      <c r="E4510" t="s">
        <v>74</v>
      </c>
      <c r="F4510" t="s">
        <v>80</v>
      </c>
    </row>
    <row r="4511" spans="1:6" x14ac:dyDescent="0.45">
      <c r="A4511">
        <v>40</v>
      </c>
      <c r="B4511">
        <v>12</v>
      </c>
      <c r="C4511">
        <v>26000</v>
      </c>
      <c r="D4511" t="s">
        <v>76</v>
      </c>
      <c r="E4511" t="s">
        <v>74</v>
      </c>
      <c r="F4511" t="s">
        <v>80</v>
      </c>
    </row>
    <row r="4512" spans="1:6" x14ac:dyDescent="0.45">
      <c r="A4512">
        <v>54</v>
      </c>
      <c r="B4512">
        <v>12</v>
      </c>
      <c r="C4512">
        <v>26000</v>
      </c>
      <c r="D4512" t="s">
        <v>71</v>
      </c>
      <c r="E4512" t="s">
        <v>72</v>
      </c>
      <c r="F4512" t="s">
        <v>80</v>
      </c>
    </row>
    <row r="4513" spans="1:6" x14ac:dyDescent="0.45">
      <c r="A4513">
        <v>50</v>
      </c>
      <c r="B4513">
        <v>12</v>
      </c>
      <c r="C4513">
        <v>26000</v>
      </c>
      <c r="D4513" t="s">
        <v>71</v>
      </c>
      <c r="E4513" t="s">
        <v>72</v>
      </c>
      <c r="F4513" t="s">
        <v>80</v>
      </c>
    </row>
    <row r="4514" spans="1:6" x14ac:dyDescent="0.45">
      <c r="A4514">
        <v>40</v>
      </c>
      <c r="B4514">
        <v>12</v>
      </c>
      <c r="C4514">
        <v>26000</v>
      </c>
      <c r="D4514" t="s">
        <v>76</v>
      </c>
      <c r="E4514" t="s">
        <v>74</v>
      </c>
      <c r="F4514" t="s">
        <v>80</v>
      </c>
    </row>
    <row r="4515" spans="1:6" x14ac:dyDescent="0.45">
      <c r="A4515">
        <v>40</v>
      </c>
      <c r="B4515">
        <v>12</v>
      </c>
      <c r="C4515">
        <v>26000</v>
      </c>
      <c r="D4515" t="s">
        <v>71</v>
      </c>
      <c r="E4515" t="s">
        <v>74</v>
      </c>
      <c r="F4515" t="s">
        <v>80</v>
      </c>
    </row>
    <row r="4516" spans="1:6" x14ac:dyDescent="0.45">
      <c r="A4516">
        <v>45</v>
      </c>
      <c r="B4516">
        <v>12</v>
      </c>
      <c r="C4516">
        <v>26000</v>
      </c>
      <c r="D4516" t="s">
        <v>71</v>
      </c>
      <c r="E4516" t="s">
        <v>74</v>
      </c>
      <c r="F4516" t="s">
        <v>80</v>
      </c>
    </row>
    <row r="4517" spans="1:6" x14ac:dyDescent="0.45">
      <c r="A4517">
        <v>40</v>
      </c>
      <c r="B4517">
        <v>12</v>
      </c>
      <c r="C4517">
        <v>26000</v>
      </c>
      <c r="D4517" t="s">
        <v>71</v>
      </c>
      <c r="E4517" t="s">
        <v>74</v>
      </c>
      <c r="F4517" t="s">
        <v>80</v>
      </c>
    </row>
    <row r="4518" spans="1:6" x14ac:dyDescent="0.45">
      <c r="A4518">
        <v>40</v>
      </c>
      <c r="B4518">
        <v>12</v>
      </c>
      <c r="C4518">
        <v>26000</v>
      </c>
      <c r="D4518" t="s">
        <v>71</v>
      </c>
      <c r="E4518" t="s">
        <v>74</v>
      </c>
      <c r="F4518" t="s">
        <v>80</v>
      </c>
    </row>
    <row r="4519" spans="1:6" x14ac:dyDescent="0.45">
      <c r="A4519">
        <v>40</v>
      </c>
      <c r="B4519">
        <v>12</v>
      </c>
      <c r="C4519">
        <v>26000</v>
      </c>
      <c r="D4519" t="s">
        <v>71</v>
      </c>
      <c r="E4519" t="s">
        <v>74</v>
      </c>
      <c r="F4519" t="s">
        <v>80</v>
      </c>
    </row>
    <row r="4520" spans="1:6" x14ac:dyDescent="0.45">
      <c r="A4520">
        <v>35</v>
      </c>
      <c r="B4520">
        <v>12</v>
      </c>
      <c r="C4520">
        <v>26000</v>
      </c>
      <c r="D4520" t="s">
        <v>77</v>
      </c>
      <c r="E4520" t="s">
        <v>74</v>
      </c>
      <c r="F4520" t="s">
        <v>80</v>
      </c>
    </row>
    <row r="4521" spans="1:6" x14ac:dyDescent="0.45">
      <c r="A4521">
        <v>40</v>
      </c>
      <c r="B4521">
        <v>12</v>
      </c>
      <c r="C4521">
        <v>26000</v>
      </c>
      <c r="D4521" t="s">
        <v>76</v>
      </c>
      <c r="E4521" t="s">
        <v>72</v>
      </c>
      <c r="F4521" t="s">
        <v>80</v>
      </c>
    </row>
    <row r="4522" spans="1:6" x14ac:dyDescent="0.45">
      <c r="A4522">
        <v>35</v>
      </c>
      <c r="B4522">
        <v>12</v>
      </c>
      <c r="C4522">
        <v>26000</v>
      </c>
      <c r="D4522" t="s">
        <v>71</v>
      </c>
      <c r="E4522" t="s">
        <v>72</v>
      </c>
      <c r="F4522" t="s">
        <v>80</v>
      </c>
    </row>
    <row r="4523" spans="1:6" x14ac:dyDescent="0.45">
      <c r="A4523">
        <v>45</v>
      </c>
      <c r="B4523">
        <v>12</v>
      </c>
      <c r="C4523">
        <v>26000</v>
      </c>
      <c r="D4523" t="s">
        <v>71</v>
      </c>
      <c r="E4523" t="s">
        <v>72</v>
      </c>
      <c r="F4523" t="s">
        <v>80</v>
      </c>
    </row>
    <row r="4524" spans="1:6" x14ac:dyDescent="0.45">
      <c r="A4524">
        <v>40</v>
      </c>
      <c r="B4524">
        <v>12</v>
      </c>
      <c r="C4524">
        <v>26000</v>
      </c>
      <c r="D4524" t="s">
        <v>71</v>
      </c>
      <c r="E4524" t="s">
        <v>74</v>
      </c>
      <c r="F4524" t="s">
        <v>80</v>
      </c>
    </row>
    <row r="4525" spans="1:6" x14ac:dyDescent="0.45">
      <c r="A4525">
        <v>45</v>
      </c>
      <c r="B4525">
        <v>12</v>
      </c>
      <c r="C4525">
        <v>26000</v>
      </c>
      <c r="D4525" t="s">
        <v>71</v>
      </c>
      <c r="E4525" t="s">
        <v>74</v>
      </c>
      <c r="F4525" t="s">
        <v>80</v>
      </c>
    </row>
    <row r="4526" spans="1:6" x14ac:dyDescent="0.45">
      <c r="A4526">
        <v>62</v>
      </c>
      <c r="B4526">
        <v>12</v>
      </c>
      <c r="C4526">
        <v>26000</v>
      </c>
      <c r="D4526" t="s">
        <v>71</v>
      </c>
      <c r="E4526" t="s">
        <v>72</v>
      </c>
      <c r="F4526" t="s">
        <v>80</v>
      </c>
    </row>
    <row r="4527" spans="1:6" x14ac:dyDescent="0.45">
      <c r="A4527">
        <v>40</v>
      </c>
      <c r="B4527">
        <v>12</v>
      </c>
      <c r="C4527">
        <v>26000</v>
      </c>
      <c r="D4527" t="s">
        <v>71</v>
      </c>
      <c r="E4527" t="s">
        <v>72</v>
      </c>
      <c r="F4527" t="s">
        <v>80</v>
      </c>
    </row>
    <row r="4528" spans="1:6" x14ac:dyDescent="0.45">
      <c r="A4528">
        <v>40</v>
      </c>
      <c r="B4528">
        <v>12</v>
      </c>
      <c r="C4528">
        <v>26000</v>
      </c>
      <c r="D4528" t="s">
        <v>71</v>
      </c>
      <c r="E4528" t="s">
        <v>74</v>
      </c>
      <c r="F4528" t="s">
        <v>80</v>
      </c>
    </row>
    <row r="4529" spans="1:6" x14ac:dyDescent="0.45">
      <c r="A4529">
        <v>43</v>
      </c>
      <c r="B4529">
        <v>12</v>
      </c>
      <c r="C4529">
        <v>26000</v>
      </c>
      <c r="D4529" t="s">
        <v>71</v>
      </c>
      <c r="E4529" t="s">
        <v>74</v>
      </c>
      <c r="F4529" t="s">
        <v>80</v>
      </c>
    </row>
    <row r="4530" spans="1:6" x14ac:dyDescent="0.45">
      <c r="A4530">
        <v>40</v>
      </c>
      <c r="B4530">
        <v>12</v>
      </c>
      <c r="C4530">
        <v>26000</v>
      </c>
      <c r="D4530" t="s">
        <v>71</v>
      </c>
      <c r="E4530" t="s">
        <v>74</v>
      </c>
      <c r="F4530" t="s">
        <v>80</v>
      </c>
    </row>
    <row r="4531" spans="1:6" x14ac:dyDescent="0.45">
      <c r="A4531">
        <v>40</v>
      </c>
      <c r="B4531">
        <v>12</v>
      </c>
      <c r="C4531">
        <v>26114</v>
      </c>
      <c r="D4531" t="s">
        <v>71</v>
      </c>
      <c r="E4531" t="s">
        <v>74</v>
      </c>
      <c r="F4531" t="s">
        <v>80</v>
      </c>
    </row>
    <row r="4532" spans="1:6" x14ac:dyDescent="0.45">
      <c r="A4532">
        <v>60</v>
      </c>
      <c r="B4532">
        <v>12</v>
      </c>
      <c r="C4532">
        <v>26130</v>
      </c>
      <c r="D4532" t="s">
        <v>71</v>
      </c>
      <c r="E4532" t="s">
        <v>72</v>
      </c>
      <c r="F4532" t="s">
        <v>80</v>
      </c>
    </row>
    <row r="4533" spans="1:6" x14ac:dyDescent="0.45">
      <c r="A4533">
        <v>58</v>
      </c>
      <c r="B4533">
        <v>12</v>
      </c>
      <c r="C4533">
        <v>26471</v>
      </c>
      <c r="D4533" t="s">
        <v>71</v>
      </c>
      <c r="E4533" t="s">
        <v>74</v>
      </c>
      <c r="F4533" t="s">
        <v>80</v>
      </c>
    </row>
    <row r="4534" spans="1:6" x14ac:dyDescent="0.45">
      <c r="A4534">
        <v>40</v>
      </c>
      <c r="B4534">
        <v>12</v>
      </c>
      <c r="C4534">
        <v>26471</v>
      </c>
      <c r="D4534" t="s">
        <v>71</v>
      </c>
      <c r="E4534" t="s">
        <v>74</v>
      </c>
      <c r="F4534" t="s">
        <v>80</v>
      </c>
    </row>
    <row r="4535" spans="1:6" x14ac:dyDescent="0.45">
      <c r="A4535">
        <v>43</v>
      </c>
      <c r="B4535">
        <v>12</v>
      </c>
      <c r="C4535">
        <v>26500</v>
      </c>
      <c r="D4535" t="s">
        <v>76</v>
      </c>
      <c r="E4535" t="s">
        <v>72</v>
      </c>
      <c r="F4535" t="s">
        <v>80</v>
      </c>
    </row>
    <row r="4536" spans="1:6" x14ac:dyDescent="0.45">
      <c r="A4536">
        <v>40</v>
      </c>
      <c r="B4536">
        <v>12</v>
      </c>
      <c r="C4536">
        <v>26700</v>
      </c>
      <c r="D4536" t="s">
        <v>71</v>
      </c>
      <c r="E4536" t="s">
        <v>72</v>
      </c>
      <c r="F4536" t="s">
        <v>80</v>
      </c>
    </row>
    <row r="4537" spans="1:6" x14ac:dyDescent="0.45">
      <c r="A4537">
        <v>40</v>
      </c>
      <c r="B4537">
        <v>12</v>
      </c>
      <c r="C4537">
        <v>26880</v>
      </c>
      <c r="D4537" t="s">
        <v>71</v>
      </c>
      <c r="E4537" t="s">
        <v>74</v>
      </c>
      <c r="F4537" t="s">
        <v>80</v>
      </c>
    </row>
    <row r="4538" spans="1:6" x14ac:dyDescent="0.45">
      <c r="A4538">
        <v>40</v>
      </c>
      <c r="B4538">
        <v>12</v>
      </c>
      <c r="C4538">
        <v>26992</v>
      </c>
      <c r="D4538" t="s">
        <v>71</v>
      </c>
      <c r="E4538" t="s">
        <v>74</v>
      </c>
      <c r="F4538" t="s">
        <v>80</v>
      </c>
    </row>
    <row r="4539" spans="1:6" x14ac:dyDescent="0.45">
      <c r="A4539">
        <v>40</v>
      </c>
      <c r="B4539">
        <v>12</v>
      </c>
      <c r="C4539">
        <v>27000</v>
      </c>
      <c r="D4539" t="s">
        <v>71</v>
      </c>
      <c r="E4539" t="s">
        <v>74</v>
      </c>
      <c r="F4539" t="s">
        <v>80</v>
      </c>
    </row>
    <row r="4540" spans="1:6" x14ac:dyDescent="0.45">
      <c r="A4540">
        <v>40</v>
      </c>
      <c r="B4540">
        <v>12</v>
      </c>
      <c r="C4540">
        <v>27000</v>
      </c>
      <c r="D4540" t="s">
        <v>71</v>
      </c>
      <c r="E4540" t="s">
        <v>74</v>
      </c>
      <c r="F4540" t="s">
        <v>80</v>
      </c>
    </row>
    <row r="4541" spans="1:6" x14ac:dyDescent="0.45">
      <c r="A4541">
        <v>0</v>
      </c>
      <c r="B4541">
        <v>12</v>
      </c>
      <c r="C4541">
        <v>27000</v>
      </c>
      <c r="D4541" t="s">
        <v>71</v>
      </c>
      <c r="E4541" t="s">
        <v>72</v>
      </c>
      <c r="F4541" t="s">
        <v>80</v>
      </c>
    </row>
    <row r="4542" spans="1:6" x14ac:dyDescent="0.45">
      <c r="A4542">
        <v>40</v>
      </c>
      <c r="B4542">
        <v>12</v>
      </c>
      <c r="C4542">
        <v>27000</v>
      </c>
      <c r="D4542" t="s">
        <v>71</v>
      </c>
      <c r="E4542" t="s">
        <v>74</v>
      </c>
      <c r="F4542" t="s">
        <v>80</v>
      </c>
    </row>
    <row r="4543" spans="1:6" x14ac:dyDescent="0.45">
      <c r="A4543">
        <v>40</v>
      </c>
      <c r="B4543">
        <v>12</v>
      </c>
      <c r="C4543">
        <v>27000</v>
      </c>
      <c r="D4543" t="s">
        <v>71</v>
      </c>
      <c r="E4543" t="s">
        <v>74</v>
      </c>
      <c r="F4543" t="s">
        <v>80</v>
      </c>
    </row>
    <row r="4544" spans="1:6" x14ac:dyDescent="0.45">
      <c r="A4544">
        <v>40</v>
      </c>
      <c r="B4544">
        <v>12</v>
      </c>
      <c r="C4544">
        <v>27000</v>
      </c>
      <c r="D4544" t="s">
        <v>71</v>
      </c>
      <c r="E4544" t="s">
        <v>72</v>
      </c>
      <c r="F4544" t="s">
        <v>80</v>
      </c>
    </row>
    <row r="4545" spans="1:6" x14ac:dyDescent="0.45">
      <c r="A4545">
        <v>40</v>
      </c>
      <c r="B4545">
        <v>12</v>
      </c>
      <c r="C4545">
        <v>27000</v>
      </c>
      <c r="D4545" t="s">
        <v>71</v>
      </c>
      <c r="E4545" t="s">
        <v>72</v>
      </c>
      <c r="F4545" t="s">
        <v>80</v>
      </c>
    </row>
    <row r="4546" spans="1:6" x14ac:dyDescent="0.45">
      <c r="A4546">
        <v>40</v>
      </c>
      <c r="B4546">
        <v>12</v>
      </c>
      <c r="C4546">
        <v>27000</v>
      </c>
      <c r="D4546" t="s">
        <v>71</v>
      </c>
      <c r="E4546" t="s">
        <v>72</v>
      </c>
      <c r="F4546" t="s">
        <v>80</v>
      </c>
    </row>
    <row r="4547" spans="1:6" x14ac:dyDescent="0.45">
      <c r="A4547">
        <v>40</v>
      </c>
      <c r="B4547">
        <v>12</v>
      </c>
      <c r="C4547">
        <v>27000</v>
      </c>
      <c r="D4547" t="s">
        <v>71</v>
      </c>
      <c r="E4547" t="s">
        <v>74</v>
      </c>
      <c r="F4547" t="s">
        <v>80</v>
      </c>
    </row>
    <row r="4548" spans="1:6" x14ac:dyDescent="0.45">
      <c r="A4548">
        <v>45</v>
      </c>
      <c r="B4548">
        <v>12</v>
      </c>
      <c r="C4548">
        <v>27000</v>
      </c>
      <c r="D4548" t="s">
        <v>71</v>
      </c>
      <c r="E4548" t="s">
        <v>74</v>
      </c>
      <c r="F4548" t="s">
        <v>80</v>
      </c>
    </row>
    <row r="4549" spans="1:6" x14ac:dyDescent="0.45">
      <c r="A4549">
        <v>40</v>
      </c>
      <c r="B4549">
        <v>12</v>
      </c>
      <c r="C4549">
        <v>27000</v>
      </c>
      <c r="D4549" t="s">
        <v>71</v>
      </c>
      <c r="E4549" t="s">
        <v>74</v>
      </c>
      <c r="F4549" t="s">
        <v>80</v>
      </c>
    </row>
    <row r="4550" spans="1:6" x14ac:dyDescent="0.45">
      <c r="A4550">
        <v>58</v>
      </c>
      <c r="B4550">
        <v>12</v>
      </c>
      <c r="C4550">
        <v>27000</v>
      </c>
      <c r="D4550" t="s">
        <v>71</v>
      </c>
      <c r="E4550" t="s">
        <v>74</v>
      </c>
      <c r="F4550" t="s">
        <v>80</v>
      </c>
    </row>
    <row r="4551" spans="1:6" x14ac:dyDescent="0.45">
      <c r="A4551">
        <v>40</v>
      </c>
      <c r="B4551">
        <v>12</v>
      </c>
      <c r="C4551">
        <v>27000</v>
      </c>
      <c r="D4551" t="s">
        <v>71</v>
      </c>
      <c r="E4551" t="s">
        <v>72</v>
      </c>
      <c r="F4551" t="s">
        <v>80</v>
      </c>
    </row>
    <row r="4552" spans="1:6" x14ac:dyDescent="0.45">
      <c r="A4552">
        <v>40</v>
      </c>
      <c r="B4552">
        <v>12</v>
      </c>
      <c r="C4552">
        <v>27000</v>
      </c>
      <c r="D4552" t="s">
        <v>71</v>
      </c>
      <c r="E4552" t="s">
        <v>72</v>
      </c>
      <c r="F4552" t="s">
        <v>80</v>
      </c>
    </row>
    <row r="4553" spans="1:6" x14ac:dyDescent="0.45">
      <c r="A4553">
        <v>48</v>
      </c>
      <c r="B4553">
        <v>12</v>
      </c>
      <c r="C4553">
        <v>27000</v>
      </c>
      <c r="D4553" t="s">
        <v>71</v>
      </c>
      <c r="E4553" t="s">
        <v>72</v>
      </c>
      <c r="F4553" t="s">
        <v>80</v>
      </c>
    </row>
    <row r="4554" spans="1:6" x14ac:dyDescent="0.45">
      <c r="A4554">
        <v>40</v>
      </c>
      <c r="B4554">
        <v>12</v>
      </c>
      <c r="C4554">
        <v>27000</v>
      </c>
      <c r="D4554" t="s">
        <v>71</v>
      </c>
      <c r="E4554" t="s">
        <v>74</v>
      </c>
      <c r="F4554" t="s">
        <v>80</v>
      </c>
    </row>
    <row r="4555" spans="1:6" x14ac:dyDescent="0.45">
      <c r="A4555">
        <v>40</v>
      </c>
      <c r="B4555">
        <v>12</v>
      </c>
      <c r="C4555">
        <v>27000</v>
      </c>
      <c r="D4555" t="s">
        <v>71</v>
      </c>
      <c r="E4555" t="s">
        <v>74</v>
      </c>
      <c r="F4555" t="s">
        <v>80</v>
      </c>
    </row>
    <row r="4556" spans="1:6" x14ac:dyDescent="0.45">
      <c r="A4556">
        <v>50</v>
      </c>
      <c r="B4556">
        <v>12</v>
      </c>
      <c r="C4556">
        <v>27000</v>
      </c>
      <c r="D4556" t="s">
        <v>71</v>
      </c>
      <c r="E4556" t="s">
        <v>74</v>
      </c>
      <c r="F4556" t="s">
        <v>80</v>
      </c>
    </row>
    <row r="4557" spans="1:6" x14ac:dyDescent="0.45">
      <c r="A4557">
        <v>40</v>
      </c>
      <c r="B4557">
        <v>12</v>
      </c>
      <c r="C4557">
        <v>27000</v>
      </c>
      <c r="D4557" t="s">
        <v>71</v>
      </c>
      <c r="E4557" t="s">
        <v>72</v>
      </c>
      <c r="F4557" t="s">
        <v>80</v>
      </c>
    </row>
    <row r="4558" spans="1:6" x14ac:dyDescent="0.45">
      <c r="A4558">
        <v>40</v>
      </c>
      <c r="B4558">
        <v>12</v>
      </c>
      <c r="C4558">
        <v>27000</v>
      </c>
      <c r="D4558" t="s">
        <v>71</v>
      </c>
      <c r="E4558" t="s">
        <v>72</v>
      </c>
      <c r="F4558" t="s">
        <v>80</v>
      </c>
    </row>
    <row r="4559" spans="1:6" x14ac:dyDescent="0.45">
      <c r="A4559">
        <v>40</v>
      </c>
      <c r="B4559">
        <v>12</v>
      </c>
      <c r="C4559">
        <v>27000</v>
      </c>
      <c r="D4559" t="s">
        <v>71</v>
      </c>
      <c r="E4559" t="s">
        <v>72</v>
      </c>
      <c r="F4559" t="s">
        <v>80</v>
      </c>
    </row>
    <row r="4560" spans="1:6" x14ac:dyDescent="0.45">
      <c r="A4560">
        <v>40</v>
      </c>
      <c r="B4560">
        <v>12</v>
      </c>
      <c r="C4560">
        <v>27000</v>
      </c>
      <c r="D4560" t="s">
        <v>71</v>
      </c>
      <c r="E4560" t="s">
        <v>74</v>
      </c>
      <c r="F4560" t="s">
        <v>80</v>
      </c>
    </row>
    <row r="4561" spans="1:6" x14ac:dyDescent="0.45">
      <c r="A4561">
        <v>40</v>
      </c>
      <c r="B4561">
        <v>12</v>
      </c>
      <c r="C4561">
        <v>27000</v>
      </c>
      <c r="D4561" t="s">
        <v>71</v>
      </c>
      <c r="E4561" t="s">
        <v>72</v>
      </c>
      <c r="F4561" t="s">
        <v>80</v>
      </c>
    </row>
    <row r="4562" spans="1:6" x14ac:dyDescent="0.45">
      <c r="A4562">
        <v>40</v>
      </c>
      <c r="B4562">
        <v>12</v>
      </c>
      <c r="C4562">
        <v>27000</v>
      </c>
      <c r="D4562" t="s">
        <v>76</v>
      </c>
      <c r="E4562" t="s">
        <v>72</v>
      </c>
      <c r="F4562" t="s">
        <v>80</v>
      </c>
    </row>
    <row r="4563" spans="1:6" x14ac:dyDescent="0.45">
      <c r="A4563">
        <v>40</v>
      </c>
      <c r="B4563">
        <v>12</v>
      </c>
      <c r="C4563">
        <v>27000</v>
      </c>
      <c r="D4563" t="s">
        <v>71</v>
      </c>
      <c r="E4563" t="s">
        <v>74</v>
      </c>
      <c r="F4563" t="s">
        <v>80</v>
      </c>
    </row>
    <row r="4564" spans="1:6" x14ac:dyDescent="0.45">
      <c r="A4564">
        <v>40</v>
      </c>
      <c r="B4564">
        <v>12</v>
      </c>
      <c r="C4564">
        <v>27000</v>
      </c>
      <c r="D4564" t="s">
        <v>75</v>
      </c>
      <c r="E4564" t="s">
        <v>72</v>
      </c>
      <c r="F4564" t="s">
        <v>80</v>
      </c>
    </row>
    <row r="4565" spans="1:6" x14ac:dyDescent="0.45">
      <c r="A4565">
        <v>40</v>
      </c>
      <c r="B4565">
        <v>12</v>
      </c>
      <c r="C4565">
        <v>27000</v>
      </c>
      <c r="D4565" t="s">
        <v>71</v>
      </c>
      <c r="E4565" t="s">
        <v>72</v>
      </c>
      <c r="F4565" t="s">
        <v>80</v>
      </c>
    </row>
    <row r="4566" spans="1:6" x14ac:dyDescent="0.45">
      <c r="A4566">
        <v>50</v>
      </c>
      <c r="B4566">
        <v>12</v>
      </c>
      <c r="C4566">
        <v>27000</v>
      </c>
      <c r="D4566" t="s">
        <v>71</v>
      </c>
      <c r="E4566" t="s">
        <v>74</v>
      </c>
      <c r="F4566" t="s">
        <v>80</v>
      </c>
    </row>
    <row r="4567" spans="1:6" x14ac:dyDescent="0.45">
      <c r="A4567">
        <v>40</v>
      </c>
      <c r="B4567">
        <v>12</v>
      </c>
      <c r="C4567">
        <v>27000</v>
      </c>
      <c r="D4567" t="s">
        <v>71</v>
      </c>
      <c r="E4567" t="s">
        <v>74</v>
      </c>
      <c r="F4567" t="s">
        <v>80</v>
      </c>
    </row>
    <row r="4568" spans="1:6" x14ac:dyDescent="0.45">
      <c r="A4568">
        <v>40</v>
      </c>
      <c r="B4568">
        <v>12</v>
      </c>
      <c r="C4568">
        <v>27000</v>
      </c>
      <c r="D4568" t="s">
        <v>76</v>
      </c>
      <c r="E4568" t="s">
        <v>74</v>
      </c>
      <c r="F4568" t="s">
        <v>80</v>
      </c>
    </row>
    <row r="4569" spans="1:6" x14ac:dyDescent="0.45">
      <c r="A4569">
        <v>40</v>
      </c>
      <c r="B4569">
        <v>12</v>
      </c>
      <c r="C4569">
        <v>27000</v>
      </c>
      <c r="D4569" t="s">
        <v>76</v>
      </c>
      <c r="E4569" t="s">
        <v>74</v>
      </c>
      <c r="F4569" t="s">
        <v>80</v>
      </c>
    </row>
    <row r="4570" spans="1:6" x14ac:dyDescent="0.45">
      <c r="A4570">
        <v>40</v>
      </c>
      <c r="B4570">
        <v>12</v>
      </c>
      <c r="C4570">
        <v>27000</v>
      </c>
      <c r="D4570" t="s">
        <v>71</v>
      </c>
      <c r="E4570" t="s">
        <v>74</v>
      </c>
      <c r="F4570" t="s">
        <v>80</v>
      </c>
    </row>
    <row r="4571" spans="1:6" x14ac:dyDescent="0.45">
      <c r="A4571">
        <v>40</v>
      </c>
      <c r="B4571">
        <v>12</v>
      </c>
      <c r="C4571">
        <v>27000</v>
      </c>
      <c r="D4571" t="s">
        <v>71</v>
      </c>
      <c r="E4571" t="s">
        <v>72</v>
      </c>
      <c r="F4571" t="s">
        <v>80</v>
      </c>
    </row>
    <row r="4572" spans="1:6" x14ac:dyDescent="0.45">
      <c r="A4572">
        <v>40</v>
      </c>
      <c r="B4572">
        <v>12</v>
      </c>
      <c r="C4572">
        <v>27000</v>
      </c>
      <c r="D4572" t="s">
        <v>71</v>
      </c>
      <c r="E4572" t="s">
        <v>72</v>
      </c>
      <c r="F4572" t="s">
        <v>80</v>
      </c>
    </row>
    <row r="4573" spans="1:6" x14ac:dyDescent="0.45">
      <c r="A4573">
        <v>50</v>
      </c>
      <c r="B4573">
        <v>12</v>
      </c>
      <c r="C4573">
        <v>27000</v>
      </c>
      <c r="D4573" t="s">
        <v>71</v>
      </c>
      <c r="E4573" t="s">
        <v>74</v>
      </c>
      <c r="F4573" t="s">
        <v>80</v>
      </c>
    </row>
    <row r="4574" spans="1:6" x14ac:dyDescent="0.45">
      <c r="A4574">
        <v>40</v>
      </c>
      <c r="B4574">
        <v>12</v>
      </c>
      <c r="C4574">
        <v>27000</v>
      </c>
      <c r="D4574" t="s">
        <v>71</v>
      </c>
      <c r="E4574" t="s">
        <v>74</v>
      </c>
      <c r="F4574" t="s">
        <v>80</v>
      </c>
    </row>
    <row r="4575" spans="1:6" x14ac:dyDescent="0.45">
      <c r="A4575">
        <v>40</v>
      </c>
      <c r="B4575">
        <v>12</v>
      </c>
      <c r="C4575">
        <v>27000</v>
      </c>
      <c r="D4575" t="s">
        <v>71</v>
      </c>
      <c r="E4575" t="s">
        <v>74</v>
      </c>
      <c r="F4575" t="s">
        <v>80</v>
      </c>
    </row>
    <row r="4576" spans="1:6" x14ac:dyDescent="0.45">
      <c r="A4576">
        <v>40</v>
      </c>
      <c r="B4576">
        <v>12</v>
      </c>
      <c r="C4576">
        <v>27000</v>
      </c>
      <c r="D4576" t="s">
        <v>71</v>
      </c>
      <c r="E4576" t="s">
        <v>74</v>
      </c>
      <c r="F4576" t="s">
        <v>80</v>
      </c>
    </row>
    <row r="4577" spans="1:6" x14ac:dyDescent="0.45">
      <c r="A4577">
        <v>40</v>
      </c>
      <c r="B4577">
        <v>12</v>
      </c>
      <c r="C4577">
        <v>27000</v>
      </c>
      <c r="D4577" t="s">
        <v>76</v>
      </c>
      <c r="E4577" t="s">
        <v>72</v>
      </c>
      <c r="F4577" t="s">
        <v>80</v>
      </c>
    </row>
    <row r="4578" spans="1:6" x14ac:dyDescent="0.45">
      <c r="A4578">
        <v>0</v>
      </c>
      <c r="B4578">
        <v>12</v>
      </c>
      <c r="C4578">
        <v>27000</v>
      </c>
      <c r="D4578" t="s">
        <v>71</v>
      </c>
      <c r="E4578" t="s">
        <v>74</v>
      </c>
      <c r="F4578" t="s">
        <v>80</v>
      </c>
    </row>
    <row r="4579" spans="1:6" x14ac:dyDescent="0.45">
      <c r="A4579">
        <v>40</v>
      </c>
      <c r="B4579">
        <v>12</v>
      </c>
      <c r="C4579">
        <v>27000</v>
      </c>
      <c r="D4579" t="s">
        <v>71</v>
      </c>
      <c r="E4579" t="s">
        <v>72</v>
      </c>
      <c r="F4579" t="s">
        <v>80</v>
      </c>
    </row>
    <row r="4580" spans="1:6" x14ac:dyDescent="0.45">
      <c r="A4580">
        <v>45</v>
      </c>
      <c r="B4580">
        <v>12</v>
      </c>
      <c r="C4580">
        <v>27000</v>
      </c>
      <c r="D4580" t="s">
        <v>71</v>
      </c>
      <c r="E4580" t="s">
        <v>74</v>
      </c>
      <c r="F4580" t="s">
        <v>80</v>
      </c>
    </row>
    <row r="4581" spans="1:6" x14ac:dyDescent="0.45">
      <c r="A4581">
        <v>40</v>
      </c>
      <c r="B4581">
        <v>12</v>
      </c>
      <c r="C4581">
        <v>27000</v>
      </c>
      <c r="D4581" t="s">
        <v>71</v>
      </c>
      <c r="E4581" t="s">
        <v>74</v>
      </c>
      <c r="F4581" t="s">
        <v>80</v>
      </c>
    </row>
    <row r="4582" spans="1:6" x14ac:dyDescent="0.45">
      <c r="A4582">
        <v>40</v>
      </c>
      <c r="B4582">
        <v>12</v>
      </c>
      <c r="C4582">
        <v>27000</v>
      </c>
      <c r="D4582" t="s">
        <v>71</v>
      </c>
      <c r="E4582" t="s">
        <v>72</v>
      </c>
      <c r="F4582" t="s">
        <v>80</v>
      </c>
    </row>
    <row r="4583" spans="1:6" x14ac:dyDescent="0.45">
      <c r="A4583">
        <v>36</v>
      </c>
      <c r="B4583">
        <v>12</v>
      </c>
      <c r="C4583">
        <v>27000</v>
      </c>
      <c r="D4583" t="s">
        <v>71</v>
      </c>
      <c r="E4583" t="s">
        <v>74</v>
      </c>
      <c r="F4583" t="s">
        <v>80</v>
      </c>
    </row>
    <row r="4584" spans="1:6" x14ac:dyDescent="0.45">
      <c r="A4584">
        <v>40</v>
      </c>
      <c r="B4584">
        <v>12</v>
      </c>
      <c r="C4584">
        <v>27000</v>
      </c>
      <c r="D4584" t="s">
        <v>76</v>
      </c>
      <c r="E4584" t="s">
        <v>74</v>
      </c>
      <c r="F4584" t="s">
        <v>80</v>
      </c>
    </row>
    <row r="4585" spans="1:6" x14ac:dyDescent="0.45">
      <c r="A4585">
        <v>40</v>
      </c>
      <c r="B4585">
        <v>12</v>
      </c>
      <c r="C4585">
        <v>27001</v>
      </c>
      <c r="D4585" t="s">
        <v>71</v>
      </c>
      <c r="E4585" t="s">
        <v>74</v>
      </c>
      <c r="F4585" t="s">
        <v>80</v>
      </c>
    </row>
    <row r="4586" spans="1:6" x14ac:dyDescent="0.45">
      <c r="A4586">
        <v>40</v>
      </c>
      <c r="B4586">
        <v>12</v>
      </c>
      <c r="C4586">
        <v>27025</v>
      </c>
      <c r="D4586" t="s">
        <v>71</v>
      </c>
      <c r="E4586" t="s">
        <v>72</v>
      </c>
      <c r="F4586" t="s">
        <v>80</v>
      </c>
    </row>
    <row r="4587" spans="1:6" x14ac:dyDescent="0.45">
      <c r="A4587">
        <v>40</v>
      </c>
      <c r="B4587">
        <v>12</v>
      </c>
      <c r="C4587">
        <v>27040</v>
      </c>
      <c r="D4587" t="s">
        <v>71</v>
      </c>
      <c r="E4587" t="s">
        <v>74</v>
      </c>
      <c r="F4587" t="s">
        <v>80</v>
      </c>
    </row>
    <row r="4588" spans="1:6" x14ac:dyDescent="0.45">
      <c r="A4588">
        <v>40</v>
      </c>
      <c r="B4588">
        <v>12</v>
      </c>
      <c r="C4588">
        <v>27040</v>
      </c>
      <c r="D4588" t="s">
        <v>71</v>
      </c>
      <c r="E4588" t="s">
        <v>74</v>
      </c>
      <c r="F4588" t="s">
        <v>80</v>
      </c>
    </row>
    <row r="4589" spans="1:6" x14ac:dyDescent="0.45">
      <c r="A4589">
        <v>40</v>
      </c>
      <c r="B4589">
        <v>12</v>
      </c>
      <c r="C4589">
        <v>27200</v>
      </c>
      <c r="D4589" t="s">
        <v>71</v>
      </c>
      <c r="E4589" t="s">
        <v>74</v>
      </c>
      <c r="F4589" t="s">
        <v>80</v>
      </c>
    </row>
    <row r="4590" spans="1:6" x14ac:dyDescent="0.45">
      <c r="A4590">
        <v>39</v>
      </c>
      <c r="B4590">
        <v>12</v>
      </c>
      <c r="C4590">
        <v>27300</v>
      </c>
      <c r="D4590" t="s">
        <v>71</v>
      </c>
      <c r="E4590" t="s">
        <v>74</v>
      </c>
      <c r="F4590" t="s">
        <v>80</v>
      </c>
    </row>
    <row r="4591" spans="1:6" x14ac:dyDescent="0.45">
      <c r="A4591">
        <v>40</v>
      </c>
      <c r="B4591">
        <v>12</v>
      </c>
      <c r="C4591">
        <v>27372</v>
      </c>
      <c r="D4591" t="s">
        <v>71</v>
      </c>
      <c r="E4591" t="s">
        <v>72</v>
      </c>
      <c r="F4591" t="s">
        <v>80</v>
      </c>
    </row>
    <row r="4592" spans="1:6" x14ac:dyDescent="0.45">
      <c r="A4592">
        <v>45</v>
      </c>
      <c r="B4592">
        <v>12</v>
      </c>
      <c r="C4592">
        <v>27372</v>
      </c>
      <c r="D4592" t="s">
        <v>71</v>
      </c>
      <c r="E4592" t="s">
        <v>72</v>
      </c>
      <c r="F4592" t="s">
        <v>80</v>
      </c>
    </row>
    <row r="4593" spans="1:6" x14ac:dyDescent="0.45">
      <c r="A4593">
        <v>40</v>
      </c>
      <c r="B4593">
        <v>12</v>
      </c>
      <c r="C4593">
        <v>27500</v>
      </c>
      <c r="D4593" t="s">
        <v>71</v>
      </c>
      <c r="E4593" t="s">
        <v>74</v>
      </c>
      <c r="F4593" t="s">
        <v>80</v>
      </c>
    </row>
    <row r="4594" spans="1:6" x14ac:dyDescent="0.45">
      <c r="A4594">
        <v>50</v>
      </c>
      <c r="B4594">
        <v>12</v>
      </c>
      <c r="C4594">
        <v>27500</v>
      </c>
      <c r="D4594" t="s">
        <v>71</v>
      </c>
      <c r="E4594" t="s">
        <v>74</v>
      </c>
      <c r="F4594" t="s">
        <v>80</v>
      </c>
    </row>
    <row r="4595" spans="1:6" x14ac:dyDescent="0.45">
      <c r="A4595">
        <v>40</v>
      </c>
      <c r="B4595">
        <v>12</v>
      </c>
      <c r="C4595">
        <v>27500</v>
      </c>
      <c r="D4595" t="s">
        <v>71</v>
      </c>
      <c r="E4595" t="s">
        <v>72</v>
      </c>
      <c r="F4595" t="s">
        <v>80</v>
      </c>
    </row>
    <row r="4596" spans="1:6" x14ac:dyDescent="0.45">
      <c r="A4596">
        <v>40</v>
      </c>
      <c r="B4596">
        <v>12</v>
      </c>
      <c r="C4596">
        <v>27500</v>
      </c>
      <c r="D4596" t="s">
        <v>71</v>
      </c>
      <c r="E4596" t="s">
        <v>74</v>
      </c>
      <c r="F4596" t="s">
        <v>80</v>
      </c>
    </row>
    <row r="4597" spans="1:6" x14ac:dyDescent="0.45">
      <c r="A4597">
        <v>40</v>
      </c>
      <c r="B4597">
        <v>12</v>
      </c>
      <c r="C4597">
        <v>27500</v>
      </c>
      <c r="D4597" t="s">
        <v>71</v>
      </c>
      <c r="E4597" t="s">
        <v>74</v>
      </c>
      <c r="F4597" t="s">
        <v>80</v>
      </c>
    </row>
    <row r="4598" spans="1:6" x14ac:dyDescent="0.45">
      <c r="A4598">
        <v>40</v>
      </c>
      <c r="B4598">
        <v>12</v>
      </c>
      <c r="C4598">
        <v>27500</v>
      </c>
      <c r="D4598" t="s">
        <v>71</v>
      </c>
      <c r="E4598" t="s">
        <v>74</v>
      </c>
      <c r="F4598" t="s">
        <v>80</v>
      </c>
    </row>
    <row r="4599" spans="1:6" x14ac:dyDescent="0.45">
      <c r="A4599">
        <v>40</v>
      </c>
      <c r="B4599">
        <v>12</v>
      </c>
      <c r="C4599">
        <v>27560</v>
      </c>
      <c r="D4599" t="s">
        <v>71</v>
      </c>
      <c r="E4599" t="s">
        <v>74</v>
      </c>
      <c r="F4599" t="s">
        <v>80</v>
      </c>
    </row>
    <row r="4600" spans="1:6" x14ac:dyDescent="0.45">
      <c r="A4600">
        <v>40</v>
      </c>
      <c r="B4600">
        <v>12</v>
      </c>
      <c r="C4600">
        <v>27560</v>
      </c>
      <c r="D4600" t="s">
        <v>71</v>
      </c>
      <c r="E4600" t="s">
        <v>74</v>
      </c>
      <c r="F4600" t="s">
        <v>80</v>
      </c>
    </row>
    <row r="4601" spans="1:6" x14ac:dyDescent="0.45">
      <c r="A4601">
        <v>40</v>
      </c>
      <c r="B4601">
        <v>12</v>
      </c>
      <c r="C4601">
        <v>27600</v>
      </c>
      <c r="D4601" t="s">
        <v>71</v>
      </c>
      <c r="E4601" t="s">
        <v>74</v>
      </c>
      <c r="F4601" t="s">
        <v>80</v>
      </c>
    </row>
    <row r="4602" spans="1:6" x14ac:dyDescent="0.45">
      <c r="A4602">
        <v>45</v>
      </c>
      <c r="B4602">
        <v>12</v>
      </c>
      <c r="C4602">
        <v>27600</v>
      </c>
      <c r="D4602" t="s">
        <v>71</v>
      </c>
      <c r="E4602" t="s">
        <v>74</v>
      </c>
      <c r="F4602" t="s">
        <v>80</v>
      </c>
    </row>
    <row r="4603" spans="1:6" x14ac:dyDescent="0.45">
      <c r="A4603">
        <v>40</v>
      </c>
      <c r="B4603">
        <v>12</v>
      </c>
      <c r="C4603">
        <v>27800</v>
      </c>
      <c r="D4603" t="s">
        <v>71</v>
      </c>
      <c r="E4603" t="s">
        <v>72</v>
      </c>
      <c r="F4603" t="s">
        <v>80</v>
      </c>
    </row>
    <row r="4604" spans="1:6" x14ac:dyDescent="0.45">
      <c r="A4604">
        <v>37</v>
      </c>
      <c r="B4604">
        <v>12</v>
      </c>
      <c r="C4604">
        <v>27800</v>
      </c>
      <c r="D4604" t="s">
        <v>71</v>
      </c>
      <c r="E4604" t="s">
        <v>72</v>
      </c>
      <c r="F4604" t="s">
        <v>80</v>
      </c>
    </row>
    <row r="4605" spans="1:6" x14ac:dyDescent="0.45">
      <c r="A4605">
        <v>0</v>
      </c>
      <c r="B4605">
        <v>12</v>
      </c>
      <c r="C4605">
        <v>27800</v>
      </c>
      <c r="D4605" t="s">
        <v>76</v>
      </c>
      <c r="E4605" t="s">
        <v>72</v>
      </c>
      <c r="F4605" t="s">
        <v>80</v>
      </c>
    </row>
    <row r="4606" spans="1:6" x14ac:dyDescent="0.45">
      <c r="A4606">
        <v>50</v>
      </c>
      <c r="B4606">
        <v>12</v>
      </c>
      <c r="C4606">
        <v>27900</v>
      </c>
      <c r="D4606" t="s">
        <v>71</v>
      </c>
      <c r="E4606" t="s">
        <v>74</v>
      </c>
      <c r="F4606" t="s">
        <v>80</v>
      </c>
    </row>
    <row r="4607" spans="1:6" x14ac:dyDescent="0.45">
      <c r="A4607">
        <v>40</v>
      </c>
      <c r="B4607">
        <v>12</v>
      </c>
      <c r="C4607">
        <v>27949</v>
      </c>
      <c r="D4607" t="s">
        <v>71</v>
      </c>
      <c r="E4607" t="s">
        <v>72</v>
      </c>
      <c r="F4607" t="s">
        <v>80</v>
      </c>
    </row>
    <row r="4608" spans="1:6" x14ac:dyDescent="0.45">
      <c r="A4608">
        <v>40</v>
      </c>
      <c r="B4608">
        <v>12</v>
      </c>
      <c r="C4608">
        <v>27949</v>
      </c>
      <c r="D4608" t="s">
        <v>71</v>
      </c>
      <c r="E4608" t="s">
        <v>72</v>
      </c>
      <c r="F4608" t="s">
        <v>80</v>
      </c>
    </row>
    <row r="4609" spans="1:6" x14ac:dyDescent="0.45">
      <c r="A4609">
        <v>40</v>
      </c>
      <c r="B4609">
        <v>12</v>
      </c>
      <c r="C4609">
        <v>27995</v>
      </c>
      <c r="D4609" t="s">
        <v>71</v>
      </c>
      <c r="E4609" t="s">
        <v>72</v>
      </c>
      <c r="F4609" t="s">
        <v>80</v>
      </c>
    </row>
    <row r="4610" spans="1:6" x14ac:dyDescent="0.45">
      <c r="A4610">
        <v>38</v>
      </c>
      <c r="B4610">
        <v>12</v>
      </c>
      <c r="C4610">
        <v>28000</v>
      </c>
      <c r="D4610" t="s">
        <v>71</v>
      </c>
      <c r="E4610" t="s">
        <v>72</v>
      </c>
      <c r="F4610" t="s">
        <v>80</v>
      </c>
    </row>
    <row r="4611" spans="1:6" x14ac:dyDescent="0.45">
      <c r="A4611">
        <v>40</v>
      </c>
      <c r="B4611">
        <v>12</v>
      </c>
      <c r="C4611">
        <v>28000</v>
      </c>
      <c r="D4611" t="s">
        <v>71</v>
      </c>
      <c r="E4611" t="s">
        <v>74</v>
      </c>
      <c r="F4611" t="s">
        <v>80</v>
      </c>
    </row>
    <row r="4612" spans="1:6" x14ac:dyDescent="0.45">
      <c r="A4612">
        <v>70</v>
      </c>
      <c r="B4612">
        <v>12</v>
      </c>
      <c r="C4612">
        <v>28000</v>
      </c>
      <c r="D4612" t="s">
        <v>76</v>
      </c>
      <c r="E4612" t="s">
        <v>74</v>
      </c>
      <c r="F4612" t="s">
        <v>80</v>
      </c>
    </row>
    <row r="4613" spans="1:6" x14ac:dyDescent="0.45">
      <c r="A4613">
        <v>45</v>
      </c>
      <c r="B4613">
        <v>12</v>
      </c>
      <c r="C4613">
        <v>28000</v>
      </c>
      <c r="D4613" t="s">
        <v>71</v>
      </c>
      <c r="E4613" t="s">
        <v>74</v>
      </c>
      <c r="F4613" t="s">
        <v>80</v>
      </c>
    </row>
    <row r="4614" spans="1:6" x14ac:dyDescent="0.45">
      <c r="A4614">
        <v>50</v>
      </c>
      <c r="B4614">
        <v>12</v>
      </c>
      <c r="C4614">
        <v>28000</v>
      </c>
      <c r="D4614" t="s">
        <v>71</v>
      </c>
      <c r="E4614" t="s">
        <v>74</v>
      </c>
      <c r="F4614" t="s">
        <v>80</v>
      </c>
    </row>
    <row r="4615" spans="1:6" x14ac:dyDescent="0.45">
      <c r="A4615">
        <v>40</v>
      </c>
      <c r="B4615">
        <v>12</v>
      </c>
      <c r="C4615">
        <v>28000</v>
      </c>
      <c r="D4615" t="s">
        <v>71</v>
      </c>
      <c r="E4615" t="s">
        <v>74</v>
      </c>
      <c r="F4615" t="s">
        <v>80</v>
      </c>
    </row>
    <row r="4616" spans="1:6" x14ac:dyDescent="0.45">
      <c r="A4616">
        <v>45</v>
      </c>
      <c r="B4616">
        <v>12</v>
      </c>
      <c r="C4616">
        <v>28000</v>
      </c>
      <c r="D4616" t="s">
        <v>71</v>
      </c>
      <c r="E4616" t="s">
        <v>74</v>
      </c>
      <c r="F4616" t="s">
        <v>80</v>
      </c>
    </row>
    <row r="4617" spans="1:6" x14ac:dyDescent="0.45">
      <c r="A4617">
        <v>52</v>
      </c>
      <c r="B4617">
        <v>12</v>
      </c>
      <c r="C4617">
        <v>28000</v>
      </c>
      <c r="D4617" t="s">
        <v>71</v>
      </c>
      <c r="E4617" t="s">
        <v>74</v>
      </c>
      <c r="F4617" t="s">
        <v>80</v>
      </c>
    </row>
    <row r="4618" spans="1:6" x14ac:dyDescent="0.45">
      <c r="A4618">
        <v>40</v>
      </c>
      <c r="B4618">
        <v>12</v>
      </c>
      <c r="C4618">
        <v>28000</v>
      </c>
      <c r="D4618" t="s">
        <v>71</v>
      </c>
      <c r="E4618" t="s">
        <v>74</v>
      </c>
      <c r="F4618" t="s">
        <v>80</v>
      </c>
    </row>
    <row r="4619" spans="1:6" x14ac:dyDescent="0.45">
      <c r="A4619">
        <v>40</v>
      </c>
      <c r="B4619">
        <v>12</v>
      </c>
      <c r="C4619">
        <v>28000</v>
      </c>
      <c r="D4619" t="s">
        <v>71</v>
      </c>
      <c r="E4619" t="s">
        <v>74</v>
      </c>
      <c r="F4619" t="s">
        <v>80</v>
      </c>
    </row>
    <row r="4620" spans="1:6" x14ac:dyDescent="0.45">
      <c r="A4620">
        <v>40</v>
      </c>
      <c r="B4620">
        <v>12</v>
      </c>
      <c r="C4620">
        <v>28000</v>
      </c>
      <c r="D4620" t="s">
        <v>71</v>
      </c>
      <c r="E4620" t="s">
        <v>74</v>
      </c>
      <c r="F4620" t="s">
        <v>80</v>
      </c>
    </row>
    <row r="4621" spans="1:6" x14ac:dyDescent="0.45">
      <c r="A4621">
        <v>40</v>
      </c>
      <c r="B4621">
        <v>12</v>
      </c>
      <c r="C4621">
        <v>28000</v>
      </c>
      <c r="D4621" t="s">
        <v>71</v>
      </c>
      <c r="E4621" t="s">
        <v>72</v>
      </c>
      <c r="F4621" t="s">
        <v>80</v>
      </c>
    </row>
    <row r="4622" spans="1:6" x14ac:dyDescent="0.45">
      <c r="A4622">
        <v>40</v>
      </c>
      <c r="B4622">
        <v>12</v>
      </c>
      <c r="C4622">
        <v>28000</v>
      </c>
      <c r="D4622" t="s">
        <v>71</v>
      </c>
      <c r="E4622" t="s">
        <v>74</v>
      </c>
      <c r="F4622" t="s">
        <v>80</v>
      </c>
    </row>
    <row r="4623" spans="1:6" x14ac:dyDescent="0.45">
      <c r="A4623">
        <v>40</v>
      </c>
      <c r="B4623">
        <v>12</v>
      </c>
      <c r="C4623">
        <v>28000</v>
      </c>
      <c r="D4623" t="s">
        <v>71</v>
      </c>
      <c r="E4623" t="s">
        <v>72</v>
      </c>
      <c r="F4623" t="s">
        <v>80</v>
      </c>
    </row>
    <row r="4624" spans="1:6" x14ac:dyDescent="0.45">
      <c r="A4624">
        <v>50</v>
      </c>
      <c r="B4624">
        <v>12</v>
      </c>
      <c r="C4624">
        <v>28000</v>
      </c>
      <c r="D4624" t="s">
        <v>71</v>
      </c>
      <c r="E4624" t="s">
        <v>74</v>
      </c>
      <c r="F4624" t="s">
        <v>80</v>
      </c>
    </row>
    <row r="4625" spans="1:6" x14ac:dyDescent="0.45">
      <c r="A4625">
        <v>70</v>
      </c>
      <c r="B4625">
        <v>12</v>
      </c>
      <c r="C4625">
        <v>28000</v>
      </c>
      <c r="D4625" t="s">
        <v>76</v>
      </c>
      <c r="E4625" t="s">
        <v>74</v>
      </c>
      <c r="F4625" t="s">
        <v>80</v>
      </c>
    </row>
    <row r="4626" spans="1:6" x14ac:dyDescent="0.45">
      <c r="A4626">
        <v>0</v>
      </c>
      <c r="B4626">
        <v>12</v>
      </c>
      <c r="C4626">
        <v>28000</v>
      </c>
      <c r="D4626" t="s">
        <v>71</v>
      </c>
      <c r="E4626" t="s">
        <v>74</v>
      </c>
      <c r="F4626" t="s">
        <v>80</v>
      </c>
    </row>
    <row r="4627" spans="1:6" x14ac:dyDescent="0.45">
      <c r="A4627">
        <v>50</v>
      </c>
      <c r="B4627">
        <v>12</v>
      </c>
      <c r="C4627">
        <v>28000</v>
      </c>
      <c r="D4627" t="s">
        <v>71</v>
      </c>
      <c r="E4627" t="s">
        <v>72</v>
      </c>
      <c r="F4627" t="s">
        <v>80</v>
      </c>
    </row>
    <row r="4628" spans="1:6" x14ac:dyDescent="0.45">
      <c r="A4628">
        <v>40</v>
      </c>
      <c r="B4628">
        <v>12</v>
      </c>
      <c r="C4628">
        <v>28000</v>
      </c>
      <c r="D4628" t="s">
        <v>71</v>
      </c>
      <c r="E4628" t="s">
        <v>74</v>
      </c>
      <c r="F4628" t="s">
        <v>80</v>
      </c>
    </row>
    <row r="4629" spans="1:6" x14ac:dyDescent="0.45">
      <c r="A4629">
        <v>40</v>
      </c>
      <c r="B4629">
        <v>12</v>
      </c>
      <c r="C4629">
        <v>28000</v>
      </c>
      <c r="D4629" t="s">
        <v>71</v>
      </c>
      <c r="E4629" t="s">
        <v>74</v>
      </c>
      <c r="F4629" t="s">
        <v>80</v>
      </c>
    </row>
    <row r="4630" spans="1:6" x14ac:dyDescent="0.45">
      <c r="A4630">
        <v>37</v>
      </c>
      <c r="B4630">
        <v>12</v>
      </c>
      <c r="C4630">
        <v>28000</v>
      </c>
      <c r="D4630" t="s">
        <v>71</v>
      </c>
      <c r="E4630" t="s">
        <v>72</v>
      </c>
      <c r="F4630" t="s">
        <v>80</v>
      </c>
    </row>
    <row r="4631" spans="1:6" x14ac:dyDescent="0.45">
      <c r="A4631">
        <v>40</v>
      </c>
      <c r="B4631">
        <v>12</v>
      </c>
      <c r="C4631">
        <v>28000</v>
      </c>
      <c r="D4631" t="s">
        <v>71</v>
      </c>
      <c r="E4631" t="s">
        <v>74</v>
      </c>
      <c r="F4631" t="s">
        <v>80</v>
      </c>
    </row>
    <row r="4632" spans="1:6" x14ac:dyDescent="0.45">
      <c r="A4632">
        <v>40</v>
      </c>
      <c r="B4632">
        <v>12</v>
      </c>
      <c r="C4632">
        <v>28000</v>
      </c>
      <c r="D4632" t="s">
        <v>71</v>
      </c>
      <c r="E4632" t="s">
        <v>74</v>
      </c>
      <c r="F4632" t="s">
        <v>80</v>
      </c>
    </row>
    <row r="4633" spans="1:6" x14ac:dyDescent="0.45">
      <c r="A4633">
        <v>40</v>
      </c>
      <c r="B4633">
        <v>12</v>
      </c>
      <c r="C4633">
        <v>28000</v>
      </c>
      <c r="D4633" t="s">
        <v>71</v>
      </c>
      <c r="E4633" t="s">
        <v>74</v>
      </c>
      <c r="F4633" t="s">
        <v>80</v>
      </c>
    </row>
    <row r="4634" spans="1:6" x14ac:dyDescent="0.45">
      <c r="A4634">
        <v>40</v>
      </c>
      <c r="B4634">
        <v>12</v>
      </c>
      <c r="C4634">
        <v>28000</v>
      </c>
      <c r="D4634" t="s">
        <v>71</v>
      </c>
      <c r="E4634" t="s">
        <v>72</v>
      </c>
      <c r="F4634" t="s">
        <v>80</v>
      </c>
    </row>
    <row r="4635" spans="1:6" x14ac:dyDescent="0.45">
      <c r="A4635">
        <v>40</v>
      </c>
      <c r="B4635">
        <v>12</v>
      </c>
      <c r="C4635">
        <v>28000</v>
      </c>
      <c r="D4635" t="s">
        <v>71</v>
      </c>
      <c r="E4635" t="s">
        <v>74</v>
      </c>
      <c r="F4635" t="s">
        <v>80</v>
      </c>
    </row>
    <row r="4636" spans="1:6" x14ac:dyDescent="0.45">
      <c r="A4636">
        <v>40</v>
      </c>
      <c r="B4636">
        <v>12</v>
      </c>
      <c r="C4636">
        <v>28000</v>
      </c>
      <c r="D4636" t="s">
        <v>71</v>
      </c>
      <c r="E4636" t="s">
        <v>74</v>
      </c>
      <c r="F4636" t="s">
        <v>80</v>
      </c>
    </row>
    <row r="4637" spans="1:6" x14ac:dyDescent="0.45">
      <c r="A4637">
        <v>40</v>
      </c>
      <c r="B4637">
        <v>12</v>
      </c>
      <c r="C4637">
        <v>28000</v>
      </c>
      <c r="D4637" t="s">
        <v>71</v>
      </c>
      <c r="E4637" t="s">
        <v>74</v>
      </c>
      <c r="F4637" t="s">
        <v>80</v>
      </c>
    </row>
    <row r="4638" spans="1:6" x14ac:dyDescent="0.45">
      <c r="A4638">
        <v>40</v>
      </c>
      <c r="B4638">
        <v>12</v>
      </c>
      <c r="C4638">
        <v>28049</v>
      </c>
      <c r="D4638" t="s">
        <v>71</v>
      </c>
      <c r="E4638" t="s">
        <v>74</v>
      </c>
      <c r="F4638" t="s">
        <v>80</v>
      </c>
    </row>
    <row r="4639" spans="1:6" x14ac:dyDescent="0.45">
      <c r="A4639">
        <v>40</v>
      </c>
      <c r="B4639">
        <v>12</v>
      </c>
      <c r="C4639">
        <v>28500</v>
      </c>
      <c r="D4639" t="s">
        <v>71</v>
      </c>
      <c r="E4639" t="s">
        <v>74</v>
      </c>
      <c r="F4639" t="s">
        <v>80</v>
      </c>
    </row>
    <row r="4640" spans="1:6" x14ac:dyDescent="0.45">
      <c r="A4640">
        <v>40</v>
      </c>
      <c r="B4640">
        <v>12</v>
      </c>
      <c r="C4640">
        <v>28500</v>
      </c>
      <c r="D4640" t="s">
        <v>71</v>
      </c>
      <c r="E4640" t="s">
        <v>72</v>
      </c>
      <c r="F4640" t="s">
        <v>80</v>
      </c>
    </row>
    <row r="4641" spans="1:6" x14ac:dyDescent="0.45">
      <c r="A4641">
        <v>0</v>
      </c>
      <c r="B4641">
        <v>12</v>
      </c>
      <c r="C4641">
        <v>28500</v>
      </c>
      <c r="D4641" t="s">
        <v>71</v>
      </c>
      <c r="E4641" t="s">
        <v>74</v>
      </c>
      <c r="F4641" t="s">
        <v>80</v>
      </c>
    </row>
    <row r="4642" spans="1:6" x14ac:dyDescent="0.45">
      <c r="A4642">
        <v>50</v>
      </c>
      <c r="B4642">
        <v>12</v>
      </c>
      <c r="C4642">
        <v>28500</v>
      </c>
      <c r="D4642" t="s">
        <v>71</v>
      </c>
      <c r="E4642" t="s">
        <v>74</v>
      </c>
      <c r="F4642" t="s">
        <v>80</v>
      </c>
    </row>
    <row r="4643" spans="1:6" x14ac:dyDescent="0.45">
      <c r="A4643">
        <v>40</v>
      </c>
      <c r="B4643">
        <v>12</v>
      </c>
      <c r="C4643">
        <v>28600</v>
      </c>
      <c r="D4643" t="s">
        <v>71</v>
      </c>
      <c r="E4643" t="s">
        <v>72</v>
      </c>
      <c r="F4643" t="s">
        <v>80</v>
      </c>
    </row>
    <row r="4644" spans="1:6" x14ac:dyDescent="0.45">
      <c r="A4644">
        <v>40</v>
      </c>
      <c r="B4644">
        <v>12</v>
      </c>
      <c r="C4644">
        <v>28774</v>
      </c>
      <c r="D4644" t="s">
        <v>71</v>
      </c>
      <c r="E4644" t="s">
        <v>74</v>
      </c>
      <c r="F4644" t="s">
        <v>80</v>
      </c>
    </row>
    <row r="4645" spans="1:6" x14ac:dyDescent="0.45">
      <c r="A4645">
        <v>0</v>
      </c>
      <c r="B4645">
        <v>12</v>
      </c>
      <c r="C4645">
        <v>28800</v>
      </c>
      <c r="D4645" t="s">
        <v>71</v>
      </c>
      <c r="E4645" t="s">
        <v>74</v>
      </c>
      <c r="F4645" t="s">
        <v>80</v>
      </c>
    </row>
    <row r="4646" spans="1:6" x14ac:dyDescent="0.45">
      <c r="A4646">
        <v>46</v>
      </c>
      <c r="B4646">
        <v>12</v>
      </c>
      <c r="C4646">
        <v>28800</v>
      </c>
      <c r="D4646" t="s">
        <v>71</v>
      </c>
      <c r="E4646" t="s">
        <v>74</v>
      </c>
      <c r="F4646" t="s">
        <v>80</v>
      </c>
    </row>
    <row r="4647" spans="1:6" x14ac:dyDescent="0.45">
      <c r="A4647">
        <v>40</v>
      </c>
      <c r="B4647">
        <v>12</v>
      </c>
      <c r="C4647">
        <v>28825</v>
      </c>
      <c r="D4647" t="s">
        <v>71</v>
      </c>
      <c r="E4647" t="s">
        <v>74</v>
      </c>
      <c r="F4647" t="s">
        <v>80</v>
      </c>
    </row>
    <row r="4648" spans="1:6" x14ac:dyDescent="0.45">
      <c r="A4648">
        <v>50</v>
      </c>
      <c r="B4648">
        <v>12</v>
      </c>
      <c r="C4648">
        <v>28825</v>
      </c>
      <c r="D4648" t="s">
        <v>71</v>
      </c>
      <c r="E4648" t="s">
        <v>74</v>
      </c>
      <c r="F4648" t="s">
        <v>80</v>
      </c>
    </row>
    <row r="4649" spans="1:6" x14ac:dyDescent="0.45">
      <c r="A4649">
        <v>40</v>
      </c>
      <c r="B4649">
        <v>12</v>
      </c>
      <c r="C4649">
        <v>28853</v>
      </c>
      <c r="D4649" t="s">
        <v>71</v>
      </c>
      <c r="E4649" t="s">
        <v>74</v>
      </c>
      <c r="F4649" t="s">
        <v>80</v>
      </c>
    </row>
    <row r="4650" spans="1:6" x14ac:dyDescent="0.45">
      <c r="A4650">
        <v>0</v>
      </c>
      <c r="B4650">
        <v>12</v>
      </c>
      <c r="C4650">
        <v>28901</v>
      </c>
      <c r="D4650" t="s">
        <v>77</v>
      </c>
      <c r="E4650" t="s">
        <v>72</v>
      </c>
      <c r="F4650" t="s">
        <v>80</v>
      </c>
    </row>
    <row r="4651" spans="1:6" x14ac:dyDescent="0.45">
      <c r="A4651">
        <v>70</v>
      </c>
      <c r="B4651">
        <v>12</v>
      </c>
      <c r="C4651">
        <v>28998</v>
      </c>
      <c r="D4651" t="s">
        <v>71</v>
      </c>
      <c r="E4651" t="s">
        <v>74</v>
      </c>
      <c r="F4651" t="s">
        <v>80</v>
      </c>
    </row>
    <row r="4652" spans="1:6" x14ac:dyDescent="0.45">
      <c r="A4652">
        <v>0</v>
      </c>
      <c r="B4652">
        <v>12</v>
      </c>
      <c r="C4652">
        <v>28998</v>
      </c>
      <c r="D4652" t="s">
        <v>71</v>
      </c>
      <c r="E4652" t="s">
        <v>74</v>
      </c>
      <c r="F4652" t="s">
        <v>80</v>
      </c>
    </row>
    <row r="4653" spans="1:6" x14ac:dyDescent="0.45">
      <c r="A4653">
        <v>80</v>
      </c>
      <c r="B4653">
        <v>12</v>
      </c>
      <c r="C4653">
        <v>29000</v>
      </c>
      <c r="D4653" t="s">
        <v>71</v>
      </c>
      <c r="E4653" t="s">
        <v>74</v>
      </c>
      <c r="F4653" t="s">
        <v>80</v>
      </c>
    </row>
    <row r="4654" spans="1:6" x14ac:dyDescent="0.45">
      <c r="A4654">
        <v>40</v>
      </c>
      <c r="B4654">
        <v>12</v>
      </c>
      <c r="C4654">
        <v>29000</v>
      </c>
      <c r="D4654" t="s">
        <v>71</v>
      </c>
      <c r="E4654" t="s">
        <v>72</v>
      </c>
      <c r="F4654" t="s">
        <v>80</v>
      </c>
    </row>
    <row r="4655" spans="1:6" x14ac:dyDescent="0.45">
      <c r="A4655">
        <v>50</v>
      </c>
      <c r="B4655">
        <v>12</v>
      </c>
      <c r="C4655">
        <v>29000</v>
      </c>
      <c r="D4655" t="s">
        <v>71</v>
      </c>
      <c r="E4655" t="s">
        <v>74</v>
      </c>
      <c r="F4655" t="s">
        <v>80</v>
      </c>
    </row>
    <row r="4656" spans="1:6" x14ac:dyDescent="0.45">
      <c r="A4656">
        <v>40</v>
      </c>
      <c r="B4656">
        <v>12</v>
      </c>
      <c r="C4656">
        <v>29000</v>
      </c>
      <c r="D4656" t="s">
        <v>71</v>
      </c>
      <c r="E4656" t="s">
        <v>72</v>
      </c>
      <c r="F4656" t="s">
        <v>80</v>
      </c>
    </row>
    <row r="4657" spans="1:6" x14ac:dyDescent="0.45">
      <c r="A4657">
        <v>45</v>
      </c>
      <c r="B4657">
        <v>12</v>
      </c>
      <c r="C4657">
        <v>29000</v>
      </c>
      <c r="D4657" t="s">
        <v>71</v>
      </c>
      <c r="E4657" t="s">
        <v>74</v>
      </c>
      <c r="F4657" t="s">
        <v>80</v>
      </c>
    </row>
    <row r="4658" spans="1:6" x14ac:dyDescent="0.45">
      <c r="A4658">
        <v>40</v>
      </c>
      <c r="B4658">
        <v>12</v>
      </c>
      <c r="C4658">
        <v>29000</v>
      </c>
      <c r="D4658" t="s">
        <v>71</v>
      </c>
      <c r="E4658" t="s">
        <v>74</v>
      </c>
      <c r="F4658" t="s">
        <v>80</v>
      </c>
    </row>
    <row r="4659" spans="1:6" x14ac:dyDescent="0.45">
      <c r="A4659">
        <v>40</v>
      </c>
      <c r="B4659">
        <v>12</v>
      </c>
      <c r="C4659">
        <v>29000</v>
      </c>
      <c r="D4659" t="s">
        <v>71</v>
      </c>
      <c r="E4659" t="s">
        <v>74</v>
      </c>
      <c r="F4659" t="s">
        <v>80</v>
      </c>
    </row>
    <row r="4660" spans="1:6" x14ac:dyDescent="0.45">
      <c r="A4660">
        <v>40</v>
      </c>
      <c r="B4660">
        <v>12</v>
      </c>
      <c r="C4660">
        <v>29000</v>
      </c>
      <c r="D4660" t="s">
        <v>71</v>
      </c>
      <c r="E4660" t="s">
        <v>74</v>
      </c>
      <c r="F4660" t="s">
        <v>80</v>
      </c>
    </row>
    <row r="4661" spans="1:6" x14ac:dyDescent="0.45">
      <c r="A4661">
        <v>40</v>
      </c>
      <c r="B4661">
        <v>12</v>
      </c>
      <c r="C4661">
        <v>29000</v>
      </c>
      <c r="D4661" t="s">
        <v>71</v>
      </c>
      <c r="E4661" t="s">
        <v>74</v>
      </c>
      <c r="F4661" t="s">
        <v>80</v>
      </c>
    </row>
    <row r="4662" spans="1:6" x14ac:dyDescent="0.45">
      <c r="A4662">
        <v>52</v>
      </c>
      <c r="B4662">
        <v>12</v>
      </c>
      <c r="C4662">
        <v>29000</v>
      </c>
      <c r="D4662" t="s">
        <v>71</v>
      </c>
      <c r="E4662" t="s">
        <v>74</v>
      </c>
      <c r="F4662" t="s">
        <v>80</v>
      </c>
    </row>
    <row r="4663" spans="1:6" x14ac:dyDescent="0.45">
      <c r="A4663">
        <v>40</v>
      </c>
      <c r="B4663">
        <v>12</v>
      </c>
      <c r="C4663">
        <v>29000</v>
      </c>
      <c r="D4663" t="s">
        <v>71</v>
      </c>
      <c r="E4663" t="s">
        <v>74</v>
      </c>
      <c r="F4663" t="s">
        <v>80</v>
      </c>
    </row>
    <row r="4664" spans="1:6" x14ac:dyDescent="0.45">
      <c r="A4664">
        <v>40</v>
      </c>
      <c r="B4664">
        <v>12</v>
      </c>
      <c r="C4664">
        <v>29000</v>
      </c>
      <c r="D4664" t="s">
        <v>71</v>
      </c>
      <c r="E4664" t="s">
        <v>74</v>
      </c>
      <c r="F4664" t="s">
        <v>80</v>
      </c>
    </row>
    <row r="4665" spans="1:6" x14ac:dyDescent="0.45">
      <c r="A4665">
        <v>40</v>
      </c>
      <c r="B4665">
        <v>12</v>
      </c>
      <c r="C4665">
        <v>29000</v>
      </c>
      <c r="D4665" t="s">
        <v>71</v>
      </c>
      <c r="E4665" t="s">
        <v>74</v>
      </c>
      <c r="F4665" t="s">
        <v>80</v>
      </c>
    </row>
    <row r="4666" spans="1:6" x14ac:dyDescent="0.45">
      <c r="A4666">
        <v>40</v>
      </c>
      <c r="B4666">
        <v>12</v>
      </c>
      <c r="C4666">
        <v>29000</v>
      </c>
      <c r="D4666" t="s">
        <v>71</v>
      </c>
      <c r="E4666" t="s">
        <v>74</v>
      </c>
      <c r="F4666" t="s">
        <v>80</v>
      </c>
    </row>
    <row r="4667" spans="1:6" x14ac:dyDescent="0.45">
      <c r="A4667">
        <v>0</v>
      </c>
      <c r="B4667">
        <v>12</v>
      </c>
      <c r="C4667">
        <v>29000</v>
      </c>
      <c r="D4667" t="s">
        <v>71</v>
      </c>
      <c r="E4667" t="s">
        <v>74</v>
      </c>
      <c r="F4667" t="s">
        <v>80</v>
      </c>
    </row>
    <row r="4668" spans="1:6" x14ac:dyDescent="0.45">
      <c r="A4668">
        <v>40</v>
      </c>
      <c r="B4668">
        <v>12</v>
      </c>
      <c r="C4668">
        <v>29000</v>
      </c>
      <c r="D4668" t="s">
        <v>71</v>
      </c>
      <c r="E4668" t="s">
        <v>72</v>
      </c>
      <c r="F4668" t="s">
        <v>80</v>
      </c>
    </row>
    <row r="4669" spans="1:6" x14ac:dyDescent="0.45">
      <c r="A4669">
        <v>60</v>
      </c>
      <c r="B4669">
        <v>12</v>
      </c>
      <c r="C4669">
        <v>29000</v>
      </c>
      <c r="D4669" t="s">
        <v>71</v>
      </c>
      <c r="E4669" t="s">
        <v>74</v>
      </c>
      <c r="F4669" t="s">
        <v>80</v>
      </c>
    </row>
    <row r="4670" spans="1:6" x14ac:dyDescent="0.45">
      <c r="A4670">
        <v>45</v>
      </c>
      <c r="B4670">
        <v>12</v>
      </c>
      <c r="C4670">
        <v>29000</v>
      </c>
      <c r="D4670" t="s">
        <v>71</v>
      </c>
      <c r="E4670" t="s">
        <v>74</v>
      </c>
      <c r="F4670" t="s">
        <v>80</v>
      </c>
    </row>
    <row r="4671" spans="1:6" x14ac:dyDescent="0.45">
      <c r="A4671">
        <v>50</v>
      </c>
      <c r="B4671">
        <v>12</v>
      </c>
      <c r="C4671">
        <v>29000</v>
      </c>
      <c r="D4671" t="s">
        <v>71</v>
      </c>
      <c r="E4671" t="s">
        <v>74</v>
      </c>
      <c r="F4671" t="s">
        <v>80</v>
      </c>
    </row>
    <row r="4672" spans="1:6" x14ac:dyDescent="0.45">
      <c r="A4672">
        <v>40</v>
      </c>
      <c r="B4672">
        <v>12</v>
      </c>
      <c r="C4672">
        <v>29000</v>
      </c>
      <c r="D4672" t="s">
        <v>71</v>
      </c>
      <c r="E4672" t="s">
        <v>74</v>
      </c>
      <c r="F4672" t="s">
        <v>80</v>
      </c>
    </row>
    <row r="4673" spans="1:6" x14ac:dyDescent="0.45">
      <c r="A4673">
        <v>40</v>
      </c>
      <c r="B4673">
        <v>12</v>
      </c>
      <c r="C4673">
        <v>29000</v>
      </c>
      <c r="D4673" t="s">
        <v>71</v>
      </c>
      <c r="E4673" t="s">
        <v>72</v>
      </c>
      <c r="F4673" t="s">
        <v>80</v>
      </c>
    </row>
    <row r="4674" spans="1:6" x14ac:dyDescent="0.45">
      <c r="A4674">
        <v>50</v>
      </c>
      <c r="B4674">
        <v>12</v>
      </c>
      <c r="C4674">
        <v>29000</v>
      </c>
      <c r="D4674" t="s">
        <v>71</v>
      </c>
      <c r="E4674" t="s">
        <v>74</v>
      </c>
      <c r="F4674" t="s">
        <v>80</v>
      </c>
    </row>
    <row r="4675" spans="1:6" x14ac:dyDescent="0.45">
      <c r="A4675">
        <v>40</v>
      </c>
      <c r="B4675">
        <v>12</v>
      </c>
      <c r="C4675">
        <v>29000</v>
      </c>
      <c r="D4675" t="s">
        <v>71</v>
      </c>
      <c r="E4675" t="s">
        <v>74</v>
      </c>
      <c r="F4675" t="s">
        <v>80</v>
      </c>
    </row>
    <row r="4676" spans="1:6" x14ac:dyDescent="0.45">
      <c r="A4676">
        <v>40</v>
      </c>
      <c r="B4676">
        <v>12</v>
      </c>
      <c r="C4676">
        <v>29000</v>
      </c>
      <c r="D4676" t="s">
        <v>71</v>
      </c>
      <c r="E4676" t="s">
        <v>72</v>
      </c>
      <c r="F4676" t="s">
        <v>80</v>
      </c>
    </row>
    <row r="4677" spans="1:6" x14ac:dyDescent="0.45">
      <c r="A4677">
        <v>40</v>
      </c>
      <c r="B4677">
        <v>12</v>
      </c>
      <c r="C4677">
        <v>29000</v>
      </c>
      <c r="D4677" t="s">
        <v>71</v>
      </c>
      <c r="E4677" t="s">
        <v>72</v>
      </c>
      <c r="F4677" t="s">
        <v>80</v>
      </c>
    </row>
    <row r="4678" spans="1:6" x14ac:dyDescent="0.45">
      <c r="A4678">
        <v>40</v>
      </c>
      <c r="B4678">
        <v>12</v>
      </c>
      <c r="C4678">
        <v>29000</v>
      </c>
      <c r="D4678" t="s">
        <v>71</v>
      </c>
      <c r="E4678" t="s">
        <v>72</v>
      </c>
      <c r="F4678" t="s">
        <v>80</v>
      </c>
    </row>
    <row r="4679" spans="1:6" x14ac:dyDescent="0.45">
      <c r="A4679">
        <v>40</v>
      </c>
      <c r="B4679">
        <v>12</v>
      </c>
      <c r="C4679">
        <v>29000</v>
      </c>
      <c r="D4679" t="s">
        <v>71</v>
      </c>
      <c r="E4679" t="s">
        <v>72</v>
      </c>
      <c r="F4679" t="s">
        <v>80</v>
      </c>
    </row>
    <row r="4680" spans="1:6" x14ac:dyDescent="0.45">
      <c r="A4680">
        <v>48</v>
      </c>
      <c r="B4680">
        <v>12</v>
      </c>
      <c r="C4680">
        <v>29484</v>
      </c>
      <c r="D4680" t="s">
        <v>71</v>
      </c>
      <c r="E4680" t="s">
        <v>72</v>
      </c>
      <c r="F4680" t="s">
        <v>80</v>
      </c>
    </row>
    <row r="4681" spans="1:6" x14ac:dyDescent="0.45">
      <c r="A4681">
        <v>40</v>
      </c>
      <c r="B4681">
        <v>12</v>
      </c>
      <c r="C4681">
        <v>29484</v>
      </c>
      <c r="D4681" t="s">
        <v>71</v>
      </c>
      <c r="E4681" t="s">
        <v>72</v>
      </c>
      <c r="F4681" t="s">
        <v>80</v>
      </c>
    </row>
    <row r="4682" spans="1:6" x14ac:dyDescent="0.45">
      <c r="A4682">
        <v>50</v>
      </c>
      <c r="B4682">
        <v>12</v>
      </c>
      <c r="C4682">
        <v>29500</v>
      </c>
      <c r="D4682" t="s">
        <v>71</v>
      </c>
      <c r="E4682" t="s">
        <v>74</v>
      </c>
      <c r="F4682" t="s">
        <v>80</v>
      </c>
    </row>
    <row r="4683" spans="1:6" x14ac:dyDescent="0.45">
      <c r="A4683">
        <v>50</v>
      </c>
      <c r="B4683">
        <v>12</v>
      </c>
      <c r="C4683">
        <v>29500</v>
      </c>
      <c r="D4683" t="s">
        <v>71</v>
      </c>
      <c r="E4683" t="s">
        <v>74</v>
      </c>
      <c r="F4683" t="s">
        <v>80</v>
      </c>
    </row>
    <row r="4684" spans="1:6" x14ac:dyDescent="0.45">
      <c r="A4684">
        <v>40</v>
      </c>
      <c r="B4684">
        <v>12</v>
      </c>
      <c r="C4684">
        <v>29700</v>
      </c>
      <c r="D4684" t="s">
        <v>71</v>
      </c>
      <c r="E4684" t="s">
        <v>74</v>
      </c>
      <c r="F4684" t="s">
        <v>80</v>
      </c>
    </row>
    <row r="4685" spans="1:6" x14ac:dyDescent="0.45">
      <c r="A4685">
        <v>40</v>
      </c>
      <c r="B4685">
        <v>12</v>
      </c>
      <c r="C4685">
        <v>29700</v>
      </c>
      <c r="D4685" t="s">
        <v>71</v>
      </c>
      <c r="E4685" t="s">
        <v>74</v>
      </c>
      <c r="F4685" t="s">
        <v>80</v>
      </c>
    </row>
    <row r="4686" spans="1:6" x14ac:dyDescent="0.45">
      <c r="A4686">
        <v>40</v>
      </c>
      <c r="B4686">
        <v>12</v>
      </c>
      <c r="C4686">
        <v>29829</v>
      </c>
      <c r="D4686" t="s">
        <v>71</v>
      </c>
      <c r="E4686" t="s">
        <v>74</v>
      </c>
      <c r="F4686" t="s">
        <v>80</v>
      </c>
    </row>
    <row r="4687" spans="1:6" x14ac:dyDescent="0.45">
      <c r="A4687">
        <v>40</v>
      </c>
      <c r="B4687">
        <v>12</v>
      </c>
      <c r="C4687">
        <v>29872</v>
      </c>
      <c r="D4687" t="s">
        <v>71</v>
      </c>
      <c r="E4687" t="s">
        <v>72</v>
      </c>
      <c r="F4687" t="s">
        <v>80</v>
      </c>
    </row>
    <row r="4688" spans="1:6" x14ac:dyDescent="0.45">
      <c r="A4688">
        <v>56</v>
      </c>
      <c r="B4688">
        <v>12</v>
      </c>
      <c r="C4688">
        <v>29900</v>
      </c>
      <c r="D4688" t="s">
        <v>76</v>
      </c>
      <c r="E4688" t="s">
        <v>72</v>
      </c>
      <c r="F4688" t="s">
        <v>80</v>
      </c>
    </row>
    <row r="4689" spans="1:6" x14ac:dyDescent="0.45">
      <c r="A4689">
        <v>40</v>
      </c>
      <c r="B4689">
        <v>12</v>
      </c>
      <c r="C4689">
        <v>29991</v>
      </c>
      <c r="D4689" t="s">
        <v>71</v>
      </c>
      <c r="E4689" t="s">
        <v>72</v>
      </c>
      <c r="F4689" t="s">
        <v>80</v>
      </c>
    </row>
    <row r="4690" spans="1:6" x14ac:dyDescent="0.45">
      <c r="A4690">
        <v>45</v>
      </c>
      <c r="B4690">
        <v>12</v>
      </c>
      <c r="C4690">
        <v>30000</v>
      </c>
      <c r="D4690" t="s">
        <v>71</v>
      </c>
      <c r="E4690" t="s">
        <v>74</v>
      </c>
      <c r="F4690" t="s">
        <v>80</v>
      </c>
    </row>
    <row r="4691" spans="1:6" x14ac:dyDescent="0.45">
      <c r="A4691">
        <v>40</v>
      </c>
      <c r="B4691">
        <v>12</v>
      </c>
      <c r="C4691">
        <v>30000</v>
      </c>
      <c r="D4691" t="s">
        <v>71</v>
      </c>
      <c r="E4691" t="s">
        <v>74</v>
      </c>
      <c r="F4691" t="s">
        <v>80</v>
      </c>
    </row>
    <row r="4692" spans="1:6" x14ac:dyDescent="0.45">
      <c r="A4692">
        <v>40</v>
      </c>
      <c r="B4692">
        <v>12</v>
      </c>
      <c r="C4692">
        <v>30000</v>
      </c>
      <c r="D4692" t="s">
        <v>71</v>
      </c>
      <c r="E4692" t="s">
        <v>74</v>
      </c>
      <c r="F4692" t="s">
        <v>80</v>
      </c>
    </row>
    <row r="4693" spans="1:6" x14ac:dyDescent="0.45">
      <c r="A4693">
        <v>40</v>
      </c>
      <c r="B4693">
        <v>12</v>
      </c>
      <c r="C4693">
        <v>30000</v>
      </c>
      <c r="D4693" t="s">
        <v>71</v>
      </c>
      <c r="E4693" t="s">
        <v>72</v>
      </c>
      <c r="F4693" t="s">
        <v>80</v>
      </c>
    </row>
    <row r="4694" spans="1:6" x14ac:dyDescent="0.45">
      <c r="A4694">
        <v>40</v>
      </c>
      <c r="B4694">
        <v>12</v>
      </c>
      <c r="C4694">
        <v>30000</v>
      </c>
      <c r="D4694" t="s">
        <v>71</v>
      </c>
      <c r="E4694" t="s">
        <v>74</v>
      </c>
      <c r="F4694" t="s">
        <v>80</v>
      </c>
    </row>
    <row r="4695" spans="1:6" x14ac:dyDescent="0.45">
      <c r="A4695">
        <v>40</v>
      </c>
      <c r="B4695">
        <v>12</v>
      </c>
      <c r="C4695">
        <v>30000</v>
      </c>
      <c r="D4695" t="s">
        <v>71</v>
      </c>
      <c r="E4695" t="s">
        <v>74</v>
      </c>
      <c r="F4695" t="s">
        <v>80</v>
      </c>
    </row>
    <row r="4696" spans="1:6" x14ac:dyDescent="0.45">
      <c r="A4696">
        <v>40</v>
      </c>
      <c r="B4696">
        <v>12</v>
      </c>
      <c r="C4696">
        <v>30000</v>
      </c>
      <c r="D4696" t="s">
        <v>71</v>
      </c>
      <c r="E4696" t="s">
        <v>72</v>
      </c>
      <c r="F4696" t="s">
        <v>80</v>
      </c>
    </row>
    <row r="4697" spans="1:6" x14ac:dyDescent="0.45">
      <c r="A4697">
        <v>40</v>
      </c>
      <c r="B4697">
        <v>12</v>
      </c>
      <c r="C4697">
        <v>30000</v>
      </c>
      <c r="D4697" t="s">
        <v>71</v>
      </c>
      <c r="E4697" t="s">
        <v>74</v>
      </c>
      <c r="F4697" t="s">
        <v>80</v>
      </c>
    </row>
    <row r="4698" spans="1:6" x14ac:dyDescent="0.45">
      <c r="A4698">
        <v>99</v>
      </c>
      <c r="B4698">
        <v>12</v>
      </c>
      <c r="C4698">
        <v>30000</v>
      </c>
      <c r="D4698" t="s">
        <v>71</v>
      </c>
      <c r="E4698" t="s">
        <v>74</v>
      </c>
      <c r="F4698" t="s">
        <v>80</v>
      </c>
    </row>
    <row r="4699" spans="1:6" x14ac:dyDescent="0.45">
      <c r="A4699">
        <v>40</v>
      </c>
      <c r="B4699">
        <v>12</v>
      </c>
      <c r="C4699">
        <v>30000</v>
      </c>
      <c r="D4699" t="s">
        <v>71</v>
      </c>
      <c r="E4699" t="s">
        <v>72</v>
      </c>
      <c r="F4699" t="s">
        <v>80</v>
      </c>
    </row>
    <row r="4700" spans="1:6" x14ac:dyDescent="0.45">
      <c r="A4700">
        <v>40</v>
      </c>
      <c r="B4700">
        <v>12</v>
      </c>
      <c r="C4700">
        <v>30000</v>
      </c>
      <c r="D4700" t="s">
        <v>71</v>
      </c>
      <c r="E4700" t="s">
        <v>74</v>
      </c>
      <c r="F4700" t="s">
        <v>80</v>
      </c>
    </row>
    <row r="4701" spans="1:6" x14ac:dyDescent="0.45">
      <c r="A4701">
        <v>45</v>
      </c>
      <c r="B4701">
        <v>12</v>
      </c>
      <c r="C4701">
        <v>30000</v>
      </c>
      <c r="D4701" t="s">
        <v>71</v>
      </c>
      <c r="E4701" t="s">
        <v>72</v>
      </c>
      <c r="F4701" t="s">
        <v>80</v>
      </c>
    </row>
    <row r="4702" spans="1:6" x14ac:dyDescent="0.45">
      <c r="A4702">
        <v>40</v>
      </c>
      <c r="B4702">
        <v>12</v>
      </c>
      <c r="C4702">
        <v>30000</v>
      </c>
      <c r="D4702" t="s">
        <v>71</v>
      </c>
      <c r="E4702" t="s">
        <v>74</v>
      </c>
      <c r="F4702" t="s">
        <v>80</v>
      </c>
    </row>
    <row r="4703" spans="1:6" x14ac:dyDescent="0.45">
      <c r="A4703">
        <v>40</v>
      </c>
      <c r="B4703">
        <v>12</v>
      </c>
      <c r="C4703">
        <v>30000</v>
      </c>
      <c r="D4703" t="s">
        <v>71</v>
      </c>
      <c r="E4703" t="s">
        <v>74</v>
      </c>
      <c r="F4703" t="s">
        <v>80</v>
      </c>
    </row>
    <row r="4704" spans="1:6" x14ac:dyDescent="0.45">
      <c r="A4704">
        <v>40</v>
      </c>
      <c r="B4704">
        <v>12</v>
      </c>
      <c r="C4704">
        <v>30000</v>
      </c>
      <c r="D4704" t="s">
        <v>71</v>
      </c>
      <c r="E4704" t="s">
        <v>72</v>
      </c>
      <c r="F4704" t="s">
        <v>80</v>
      </c>
    </row>
    <row r="4705" spans="1:6" x14ac:dyDescent="0.45">
      <c r="A4705">
        <v>40</v>
      </c>
      <c r="B4705">
        <v>12</v>
      </c>
      <c r="C4705">
        <v>30000</v>
      </c>
      <c r="D4705" t="s">
        <v>71</v>
      </c>
      <c r="E4705" t="s">
        <v>72</v>
      </c>
      <c r="F4705" t="s">
        <v>80</v>
      </c>
    </row>
    <row r="4706" spans="1:6" x14ac:dyDescent="0.45">
      <c r="A4706">
        <v>40</v>
      </c>
      <c r="B4706">
        <v>12</v>
      </c>
      <c r="C4706">
        <v>30000</v>
      </c>
      <c r="D4706" t="s">
        <v>76</v>
      </c>
      <c r="E4706" t="s">
        <v>74</v>
      </c>
      <c r="F4706" t="s">
        <v>80</v>
      </c>
    </row>
    <row r="4707" spans="1:6" x14ac:dyDescent="0.45">
      <c r="A4707">
        <v>40</v>
      </c>
      <c r="B4707">
        <v>12</v>
      </c>
      <c r="C4707">
        <v>30000</v>
      </c>
      <c r="D4707" t="s">
        <v>71</v>
      </c>
      <c r="E4707" t="s">
        <v>74</v>
      </c>
      <c r="F4707" t="s">
        <v>80</v>
      </c>
    </row>
    <row r="4708" spans="1:6" x14ac:dyDescent="0.45">
      <c r="A4708">
        <v>40</v>
      </c>
      <c r="B4708">
        <v>12</v>
      </c>
      <c r="C4708">
        <v>30000</v>
      </c>
      <c r="D4708" t="s">
        <v>71</v>
      </c>
      <c r="E4708" t="s">
        <v>72</v>
      </c>
      <c r="F4708" t="s">
        <v>80</v>
      </c>
    </row>
    <row r="4709" spans="1:6" x14ac:dyDescent="0.45">
      <c r="A4709">
        <v>40</v>
      </c>
      <c r="B4709">
        <v>12</v>
      </c>
      <c r="C4709">
        <v>30000</v>
      </c>
      <c r="D4709" t="s">
        <v>71</v>
      </c>
      <c r="E4709" t="s">
        <v>74</v>
      </c>
      <c r="F4709" t="s">
        <v>80</v>
      </c>
    </row>
    <row r="4710" spans="1:6" x14ac:dyDescent="0.45">
      <c r="A4710">
        <v>40</v>
      </c>
      <c r="B4710">
        <v>12</v>
      </c>
      <c r="C4710">
        <v>30000</v>
      </c>
      <c r="D4710" t="s">
        <v>71</v>
      </c>
      <c r="E4710" t="s">
        <v>72</v>
      </c>
      <c r="F4710" t="s">
        <v>80</v>
      </c>
    </row>
    <row r="4711" spans="1:6" x14ac:dyDescent="0.45">
      <c r="A4711">
        <v>35</v>
      </c>
      <c r="B4711">
        <v>12</v>
      </c>
      <c r="C4711">
        <v>30000</v>
      </c>
      <c r="D4711" t="s">
        <v>71</v>
      </c>
      <c r="E4711" t="s">
        <v>72</v>
      </c>
      <c r="F4711" t="s">
        <v>80</v>
      </c>
    </row>
    <row r="4712" spans="1:6" x14ac:dyDescent="0.45">
      <c r="A4712">
        <v>40</v>
      </c>
      <c r="B4712">
        <v>12</v>
      </c>
      <c r="C4712">
        <v>30000</v>
      </c>
      <c r="D4712" t="s">
        <v>71</v>
      </c>
      <c r="E4712" t="s">
        <v>74</v>
      </c>
      <c r="F4712" t="s">
        <v>80</v>
      </c>
    </row>
    <row r="4713" spans="1:6" x14ac:dyDescent="0.45">
      <c r="A4713">
        <v>40</v>
      </c>
      <c r="B4713">
        <v>12</v>
      </c>
      <c r="C4713">
        <v>30000</v>
      </c>
      <c r="D4713" t="s">
        <v>71</v>
      </c>
      <c r="E4713" t="s">
        <v>74</v>
      </c>
      <c r="F4713" t="s">
        <v>80</v>
      </c>
    </row>
    <row r="4714" spans="1:6" x14ac:dyDescent="0.45">
      <c r="A4714">
        <v>40</v>
      </c>
      <c r="B4714">
        <v>12</v>
      </c>
      <c r="C4714">
        <v>30000</v>
      </c>
      <c r="D4714" t="s">
        <v>71</v>
      </c>
      <c r="E4714" t="s">
        <v>74</v>
      </c>
      <c r="F4714" t="s">
        <v>80</v>
      </c>
    </row>
    <row r="4715" spans="1:6" x14ac:dyDescent="0.45">
      <c r="A4715">
        <v>40</v>
      </c>
      <c r="B4715">
        <v>12</v>
      </c>
      <c r="C4715">
        <v>30000</v>
      </c>
      <c r="D4715" t="s">
        <v>71</v>
      </c>
      <c r="E4715" t="s">
        <v>74</v>
      </c>
      <c r="F4715" t="s">
        <v>80</v>
      </c>
    </row>
    <row r="4716" spans="1:6" x14ac:dyDescent="0.45">
      <c r="A4716">
        <v>40</v>
      </c>
      <c r="B4716">
        <v>12</v>
      </c>
      <c r="C4716">
        <v>30000</v>
      </c>
      <c r="D4716" t="s">
        <v>76</v>
      </c>
      <c r="E4716" t="s">
        <v>74</v>
      </c>
      <c r="F4716" t="s">
        <v>80</v>
      </c>
    </row>
    <row r="4717" spans="1:6" x14ac:dyDescent="0.45">
      <c r="A4717">
        <v>50</v>
      </c>
      <c r="B4717">
        <v>12</v>
      </c>
      <c r="C4717">
        <v>30000</v>
      </c>
      <c r="D4717" t="s">
        <v>71</v>
      </c>
      <c r="E4717" t="s">
        <v>74</v>
      </c>
      <c r="F4717" t="s">
        <v>80</v>
      </c>
    </row>
    <row r="4718" spans="1:6" x14ac:dyDescent="0.45">
      <c r="A4718">
        <v>70</v>
      </c>
      <c r="B4718">
        <v>12</v>
      </c>
      <c r="C4718">
        <v>30000</v>
      </c>
      <c r="D4718" t="s">
        <v>71</v>
      </c>
      <c r="E4718" t="s">
        <v>72</v>
      </c>
      <c r="F4718" t="s">
        <v>80</v>
      </c>
    </row>
    <row r="4719" spans="1:6" x14ac:dyDescent="0.45">
      <c r="A4719">
        <v>40</v>
      </c>
      <c r="B4719">
        <v>12</v>
      </c>
      <c r="C4719">
        <v>30000</v>
      </c>
      <c r="D4719" t="s">
        <v>71</v>
      </c>
      <c r="E4719" t="s">
        <v>72</v>
      </c>
      <c r="F4719" t="s">
        <v>80</v>
      </c>
    </row>
    <row r="4720" spans="1:6" x14ac:dyDescent="0.45">
      <c r="A4720">
        <v>40</v>
      </c>
      <c r="B4720">
        <v>12</v>
      </c>
      <c r="C4720">
        <v>30000</v>
      </c>
      <c r="D4720" t="s">
        <v>71</v>
      </c>
      <c r="E4720" t="s">
        <v>74</v>
      </c>
      <c r="F4720" t="s">
        <v>80</v>
      </c>
    </row>
    <row r="4721" spans="1:6" x14ac:dyDescent="0.45">
      <c r="A4721">
        <v>40</v>
      </c>
      <c r="B4721">
        <v>12</v>
      </c>
      <c r="C4721">
        <v>30000</v>
      </c>
      <c r="D4721" t="s">
        <v>71</v>
      </c>
      <c r="E4721" t="s">
        <v>74</v>
      </c>
      <c r="F4721" t="s">
        <v>80</v>
      </c>
    </row>
    <row r="4722" spans="1:6" x14ac:dyDescent="0.45">
      <c r="A4722">
        <v>40</v>
      </c>
      <c r="B4722">
        <v>12</v>
      </c>
      <c r="C4722">
        <v>30000</v>
      </c>
      <c r="D4722" t="s">
        <v>71</v>
      </c>
      <c r="E4722" t="s">
        <v>72</v>
      </c>
      <c r="F4722" t="s">
        <v>80</v>
      </c>
    </row>
    <row r="4723" spans="1:6" x14ac:dyDescent="0.45">
      <c r="A4723">
        <v>38</v>
      </c>
      <c r="B4723">
        <v>12</v>
      </c>
      <c r="C4723">
        <v>30000</v>
      </c>
      <c r="D4723" t="s">
        <v>71</v>
      </c>
      <c r="E4723" t="s">
        <v>72</v>
      </c>
      <c r="F4723" t="s">
        <v>80</v>
      </c>
    </row>
    <row r="4724" spans="1:6" x14ac:dyDescent="0.45">
      <c r="A4724">
        <v>65</v>
      </c>
      <c r="B4724">
        <v>12</v>
      </c>
      <c r="C4724">
        <v>30000</v>
      </c>
      <c r="D4724" t="s">
        <v>76</v>
      </c>
      <c r="E4724" t="s">
        <v>74</v>
      </c>
      <c r="F4724" t="s">
        <v>80</v>
      </c>
    </row>
    <row r="4725" spans="1:6" x14ac:dyDescent="0.45">
      <c r="A4725">
        <v>0</v>
      </c>
      <c r="B4725">
        <v>12</v>
      </c>
      <c r="C4725">
        <v>30000</v>
      </c>
      <c r="D4725" t="s">
        <v>71</v>
      </c>
      <c r="E4725" t="s">
        <v>74</v>
      </c>
      <c r="F4725" t="s">
        <v>80</v>
      </c>
    </row>
    <row r="4726" spans="1:6" x14ac:dyDescent="0.45">
      <c r="A4726">
        <v>40</v>
      </c>
      <c r="B4726">
        <v>12</v>
      </c>
      <c r="C4726">
        <v>30000</v>
      </c>
      <c r="D4726" t="s">
        <v>71</v>
      </c>
      <c r="E4726" t="s">
        <v>72</v>
      </c>
      <c r="F4726" t="s">
        <v>80</v>
      </c>
    </row>
    <row r="4727" spans="1:6" x14ac:dyDescent="0.45">
      <c r="A4727">
        <v>40</v>
      </c>
      <c r="B4727">
        <v>12</v>
      </c>
      <c r="C4727">
        <v>30000</v>
      </c>
      <c r="D4727" t="s">
        <v>71</v>
      </c>
      <c r="E4727" t="s">
        <v>72</v>
      </c>
      <c r="F4727" t="s">
        <v>80</v>
      </c>
    </row>
    <row r="4728" spans="1:6" x14ac:dyDescent="0.45">
      <c r="A4728">
        <v>40</v>
      </c>
      <c r="B4728">
        <v>12</v>
      </c>
      <c r="C4728">
        <v>30000</v>
      </c>
      <c r="D4728" t="s">
        <v>71</v>
      </c>
      <c r="E4728" t="s">
        <v>74</v>
      </c>
      <c r="F4728" t="s">
        <v>80</v>
      </c>
    </row>
    <row r="4729" spans="1:6" x14ac:dyDescent="0.45">
      <c r="A4729">
        <v>40</v>
      </c>
      <c r="B4729">
        <v>12</v>
      </c>
      <c r="C4729">
        <v>30000</v>
      </c>
      <c r="D4729" t="s">
        <v>71</v>
      </c>
      <c r="E4729" t="s">
        <v>72</v>
      </c>
      <c r="F4729" t="s">
        <v>80</v>
      </c>
    </row>
    <row r="4730" spans="1:6" x14ac:dyDescent="0.45">
      <c r="A4730">
        <v>45</v>
      </c>
      <c r="B4730">
        <v>12</v>
      </c>
      <c r="C4730">
        <v>30000</v>
      </c>
      <c r="D4730" t="s">
        <v>71</v>
      </c>
      <c r="E4730" t="s">
        <v>74</v>
      </c>
      <c r="F4730" t="s">
        <v>80</v>
      </c>
    </row>
    <row r="4731" spans="1:6" x14ac:dyDescent="0.45">
      <c r="A4731">
        <v>50</v>
      </c>
      <c r="B4731">
        <v>12</v>
      </c>
      <c r="C4731">
        <v>30000</v>
      </c>
      <c r="D4731" t="s">
        <v>71</v>
      </c>
      <c r="E4731" t="s">
        <v>74</v>
      </c>
      <c r="F4731" t="s">
        <v>80</v>
      </c>
    </row>
    <row r="4732" spans="1:6" x14ac:dyDescent="0.45">
      <c r="A4732">
        <v>40</v>
      </c>
      <c r="B4732">
        <v>12</v>
      </c>
      <c r="C4732">
        <v>30000</v>
      </c>
      <c r="D4732" t="s">
        <v>71</v>
      </c>
      <c r="E4732" t="s">
        <v>74</v>
      </c>
      <c r="F4732" t="s">
        <v>80</v>
      </c>
    </row>
    <row r="4733" spans="1:6" x14ac:dyDescent="0.45">
      <c r="A4733">
        <v>40</v>
      </c>
      <c r="B4733">
        <v>12</v>
      </c>
      <c r="C4733">
        <v>30000</v>
      </c>
      <c r="D4733" t="s">
        <v>71</v>
      </c>
      <c r="E4733" t="s">
        <v>74</v>
      </c>
      <c r="F4733" t="s">
        <v>80</v>
      </c>
    </row>
    <row r="4734" spans="1:6" x14ac:dyDescent="0.45">
      <c r="A4734">
        <v>40</v>
      </c>
      <c r="B4734">
        <v>12</v>
      </c>
      <c r="C4734">
        <v>30000</v>
      </c>
      <c r="D4734" t="s">
        <v>71</v>
      </c>
      <c r="E4734" t="s">
        <v>74</v>
      </c>
      <c r="F4734" t="s">
        <v>80</v>
      </c>
    </row>
    <row r="4735" spans="1:6" x14ac:dyDescent="0.45">
      <c r="A4735">
        <v>40</v>
      </c>
      <c r="B4735">
        <v>12</v>
      </c>
      <c r="C4735">
        <v>30000</v>
      </c>
      <c r="D4735" t="s">
        <v>71</v>
      </c>
      <c r="E4735" t="s">
        <v>74</v>
      </c>
      <c r="F4735" t="s">
        <v>80</v>
      </c>
    </row>
    <row r="4736" spans="1:6" x14ac:dyDescent="0.45">
      <c r="A4736">
        <v>40</v>
      </c>
      <c r="B4736">
        <v>12</v>
      </c>
      <c r="C4736">
        <v>30000</v>
      </c>
      <c r="D4736" t="s">
        <v>76</v>
      </c>
      <c r="E4736" t="s">
        <v>74</v>
      </c>
      <c r="F4736" t="s">
        <v>80</v>
      </c>
    </row>
    <row r="4737" spans="1:6" x14ac:dyDescent="0.45">
      <c r="A4737">
        <v>40</v>
      </c>
      <c r="B4737">
        <v>12</v>
      </c>
      <c r="C4737">
        <v>30000</v>
      </c>
      <c r="D4737" t="s">
        <v>71</v>
      </c>
      <c r="E4737" t="s">
        <v>74</v>
      </c>
      <c r="F4737" t="s">
        <v>80</v>
      </c>
    </row>
    <row r="4738" spans="1:6" x14ac:dyDescent="0.45">
      <c r="A4738">
        <v>40</v>
      </c>
      <c r="B4738">
        <v>12</v>
      </c>
      <c r="C4738">
        <v>30000</v>
      </c>
      <c r="D4738" t="s">
        <v>71</v>
      </c>
      <c r="E4738" t="s">
        <v>74</v>
      </c>
      <c r="F4738" t="s">
        <v>80</v>
      </c>
    </row>
    <row r="4739" spans="1:6" x14ac:dyDescent="0.45">
      <c r="A4739">
        <v>40</v>
      </c>
      <c r="B4739">
        <v>12</v>
      </c>
      <c r="C4739">
        <v>30000</v>
      </c>
      <c r="D4739" t="s">
        <v>71</v>
      </c>
      <c r="E4739" t="s">
        <v>72</v>
      </c>
      <c r="F4739" t="s">
        <v>80</v>
      </c>
    </row>
    <row r="4740" spans="1:6" x14ac:dyDescent="0.45">
      <c r="A4740">
        <v>50</v>
      </c>
      <c r="B4740">
        <v>12</v>
      </c>
      <c r="C4740">
        <v>30000</v>
      </c>
      <c r="D4740" t="s">
        <v>71</v>
      </c>
      <c r="E4740" t="s">
        <v>74</v>
      </c>
      <c r="F4740" t="s">
        <v>80</v>
      </c>
    </row>
    <row r="4741" spans="1:6" x14ac:dyDescent="0.45">
      <c r="A4741">
        <v>38</v>
      </c>
      <c r="B4741">
        <v>12</v>
      </c>
      <c r="C4741">
        <v>30000</v>
      </c>
      <c r="D4741" t="s">
        <v>71</v>
      </c>
      <c r="E4741" t="s">
        <v>72</v>
      </c>
      <c r="F4741" t="s">
        <v>80</v>
      </c>
    </row>
    <row r="4742" spans="1:6" x14ac:dyDescent="0.45">
      <c r="A4742">
        <v>40</v>
      </c>
      <c r="B4742">
        <v>12</v>
      </c>
      <c r="C4742">
        <v>30000</v>
      </c>
      <c r="D4742" t="s">
        <v>71</v>
      </c>
      <c r="E4742" t="s">
        <v>74</v>
      </c>
      <c r="F4742" t="s">
        <v>80</v>
      </c>
    </row>
    <row r="4743" spans="1:6" x14ac:dyDescent="0.45">
      <c r="A4743">
        <v>40</v>
      </c>
      <c r="B4743">
        <v>12</v>
      </c>
      <c r="C4743">
        <v>30000</v>
      </c>
      <c r="D4743" t="s">
        <v>76</v>
      </c>
      <c r="E4743" t="s">
        <v>72</v>
      </c>
      <c r="F4743" t="s">
        <v>80</v>
      </c>
    </row>
    <row r="4744" spans="1:6" x14ac:dyDescent="0.45">
      <c r="A4744">
        <v>40</v>
      </c>
      <c r="B4744">
        <v>12</v>
      </c>
      <c r="C4744">
        <v>30000</v>
      </c>
      <c r="D4744" t="s">
        <v>71</v>
      </c>
      <c r="E4744" t="s">
        <v>74</v>
      </c>
      <c r="F4744" t="s">
        <v>80</v>
      </c>
    </row>
    <row r="4745" spans="1:6" x14ac:dyDescent="0.45">
      <c r="A4745">
        <v>40</v>
      </c>
      <c r="B4745">
        <v>12</v>
      </c>
      <c r="C4745">
        <v>30000</v>
      </c>
      <c r="D4745" t="s">
        <v>71</v>
      </c>
      <c r="E4745" t="s">
        <v>72</v>
      </c>
      <c r="F4745" t="s">
        <v>80</v>
      </c>
    </row>
    <row r="4746" spans="1:6" x14ac:dyDescent="0.45">
      <c r="A4746">
        <v>40</v>
      </c>
      <c r="B4746">
        <v>12</v>
      </c>
      <c r="C4746">
        <v>30000</v>
      </c>
      <c r="D4746" t="s">
        <v>71</v>
      </c>
      <c r="E4746" t="s">
        <v>74</v>
      </c>
      <c r="F4746" t="s">
        <v>80</v>
      </c>
    </row>
    <row r="4747" spans="1:6" x14ac:dyDescent="0.45">
      <c r="A4747">
        <v>40</v>
      </c>
      <c r="B4747">
        <v>12</v>
      </c>
      <c r="C4747">
        <v>30000</v>
      </c>
      <c r="D4747" t="s">
        <v>71</v>
      </c>
      <c r="E4747" t="s">
        <v>74</v>
      </c>
      <c r="F4747" t="s">
        <v>80</v>
      </c>
    </row>
    <row r="4748" spans="1:6" x14ac:dyDescent="0.45">
      <c r="A4748">
        <v>40</v>
      </c>
      <c r="B4748">
        <v>12</v>
      </c>
      <c r="C4748">
        <v>30000</v>
      </c>
      <c r="D4748" t="s">
        <v>71</v>
      </c>
      <c r="E4748" t="s">
        <v>74</v>
      </c>
      <c r="F4748" t="s">
        <v>80</v>
      </c>
    </row>
    <row r="4749" spans="1:6" x14ac:dyDescent="0.45">
      <c r="A4749">
        <v>40</v>
      </c>
      <c r="B4749">
        <v>12</v>
      </c>
      <c r="C4749">
        <v>30000</v>
      </c>
      <c r="D4749" t="s">
        <v>76</v>
      </c>
      <c r="E4749" t="s">
        <v>74</v>
      </c>
      <c r="F4749" t="s">
        <v>80</v>
      </c>
    </row>
    <row r="4750" spans="1:6" x14ac:dyDescent="0.45">
      <c r="A4750">
        <v>40</v>
      </c>
      <c r="B4750">
        <v>12</v>
      </c>
      <c r="C4750">
        <v>30000</v>
      </c>
      <c r="D4750" t="s">
        <v>76</v>
      </c>
      <c r="E4750" t="s">
        <v>72</v>
      </c>
      <c r="F4750" t="s">
        <v>80</v>
      </c>
    </row>
    <row r="4751" spans="1:6" x14ac:dyDescent="0.45">
      <c r="A4751">
        <v>50</v>
      </c>
      <c r="B4751">
        <v>12</v>
      </c>
      <c r="C4751">
        <v>30000</v>
      </c>
      <c r="D4751" t="s">
        <v>71</v>
      </c>
      <c r="E4751" t="s">
        <v>74</v>
      </c>
      <c r="F4751" t="s">
        <v>80</v>
      </c>
    </row>
    <row r="4752" spans="1:6" x14ac:dyDescent="0.45">
      <c r="A4752">
        <v>40</v>
      </c>
      <c r="B4752">
        <v>12</v>
      </c>
      <c r="C4752">
        <v>30000</v>
      </c>
      <c r="D4752" t="s">
        <v>71</v>
      </c>
      <c r="E4752" t="s">
        <v>74</v>
      </c>
      <c r="F4752" t="s">
        <v>80</v>
      </c>
    </row>
    <row r="4753" spans="1:6" x14ac:dyDescent="0.45">
      <c r="A4753">
        <v>50</v>
      </c>
      <c r="B4753">
        <v>12</v>
      </c>
      <c r="C4753">
        <v>30000</v>
      </c>
      <c r="D4753" t="s">
        <v>71</v>
      </c>
      <c r="E4753" t="s">
        <v>74</v>
      </c>
      <c r="F4753" t="s">
        <v>80</v>
      </c>
    </row>
    <row r="4754" spans="1:6" x14ac:dyDescent="0.45">
      <c r="A4754">
        <v>40</v>
      </c>
      <c r="B4754">
        <v>12</v>
      </c>
      <c r="C4754">
        <v>30000</v>
      </c>
      <c r="D4754" t="s">
        <v>71</v>
      </c>
      <c r="E4754" t="s">
        <v>72</v>
      </c>
      <c r="F4754" t="s">
        <v>80</v>
      </c>
    </row>
    <row r="4755" spans="1:6" x14ac:dyDescent="0.45">
      <c r="A4755">
        <v>40</v>
      </c>
      <c r="B4755">
        <v>12</v>
      </c>
      <c r="C4755">
        <v>30000</v>
      </c>
      <c r="D4755" t="s">
        <v>71</v>
      </c>
      <c r="E4755" t="s">
        <v>72</v>
      </c>
      <c r="F4755" t="s">
        <v>80</v>
      </c>
    </row>
    <row r="4756" spans="1:6" x14ac:dyDescent="0.45">
      <c r="A4756">
        <v>40</v>
      </c>
      <c r="B4756">
        <v>12</v>
      </c>
      <c r="C4756">
        <v>30000</v>
      </c>
      <c r="D4756" t="s">
        <v>71</v>
      </c>
      <c r="E4756" t="s">
        <v>72</v>
      </c>
      <c r="F4756" t="s">
        <v>80</v>
      </c>
    </row>
    <row r="4757" spans="1:6" x14ac:dyDescent="0.45">
      <c r="A4757">
        <v>50</v>
      </c>
      <c r="B4757">
        <v>12</v>
      </c>
      <c r="C4757">
        <v>30000</v>
      </c>
      <c r="D4757" t="s">
        <v>71</v>
      </c>
      <c r="E4757" t="s">
        <v>74</v>
      </c>
      <c r="F4757" t="s">
        <v>80</v>
      </c>
    </row>
    <row r="4758" spans="1:6" x14ac:dyDescent="0.45">
      <c r="A4758">
        <v>40</v>
      </c>
      <c r="B4758">
        <v>12</v>
      </c>
      <c r="C4758">
        <v>30000</v>
      </c>
      <c r="D4758" t="s">
        <v>71</v>
      </c>
      <c r="E4758" t="s">
        <v>72</v>
      </c>
      <c r="F4758" t="s">
        <v>80</v>
      </c>
    </row>
    <row r="4759" spans="1:6" x14ac:dyDescent="0.45">
      <c r="A4759">
        <v>75</v>
      </c>
      <c r="B4759">
        <v>12</v>
      </c>
      <c r="C4759">
        <v>30000</v>
      </c>
      <c r="D4759" t="s">
        <v>71</v>
      </c>
      <c r="E4759" t="s">
        <v>74</v>
      </c>
      <c r="F4759" t="s">
        <v>80</v>
      </c>
    </row>
    <row r="4760" spans="1:6" x14ac:dyDescent="0.45">
      <c r="A4760">
        <v>40</v>
      </c>
      <c r="B4760">
        <v>12</v>
      </c>
      <c r="C4760">
        <v>30000</v>
      </c>
      <c r="D4760" t="s">
        <v>71</v>
      </c>
      <c r="E4760" t="s">
        <v>74</v>
      </c>
      <c r="F4760" t="s">
        <v>80</v>
      </c>
    </row>
    <row r="4761" spans="1:6" x14ac:dyDescent="0.45">
      <c r="A4761">
        <v>40</v>
      </c>
      <c r="B4761">
        <v>12</v>
      </c>
      <c r="C4761">
        <v>30000</v>
      </c>
      <c r="D4761" t="s">
        <v>71</v>
      </c>
      <c r="E4761" t="s">
        <v>74</v>
      </c>
      <c r="F4761" t="s">
        <v>80</v>
      </c>
    </row>
    <row r="4762" spans="1:6" x14ac:dyDescent="0.45">
      <c r="A4762">
        <v>40</v>
      </c>
      <c r="B4762">
        <v>12</v>
      </c>
      <c r="C4762">
        <v>30000</v>
      </c>
      <c r="D4762" t="s">
        <v>71</v>
      </c>
      <c r="E4762" t="s">
        <v>72</v>
      </c>
      <c r="F4762" t="s">
        <v>80</v>
      </c>
    </row>
    <row r="4763" spans="1:6" x14ac:dyDescent="0.45">
      <c r="A4763">
        <v>40</v>
      </c>
      <c r="B4763">
        <v>12</v>
      </c>
      <c r="C4763">
        <v>30000</v>
      </c>
      <c r="D4763" t="s">
        <v>71</v>
      </c>
      <c r="E4763" t="s">
        <v>74</v>
      </c>
      <c r="F4763" t="s">
        <v>80</v>
      </c>
    </row>
    <row r="4764" spans="1:6" x14ac:dyDescent="0.45">
      <c r="A4764">
        <v>40</v>
      </c>
      <c r="B4764">
        <v>12</v>
      </c>
      <c r="C4764">
        <v>30000</v>
      </c>
      <c r="D4764" t="s">
        <v>71</v>
      </c>
      <c r="E4764" t="s">
        <v>74</v>
      </c>
      <c r="F4764" t="s">
        <v>80</v>
      </c>
    </row>
    <row r="4765" spans="1:6" x14ac:dyDescent="0.45">
      <c r="A4765">
        <v>40</v>
      </c>
      <c r="B4765">
        <v>12</v>
      </c>
      <c r="C4765">
        <v>30000</v>
      </c>
      <c r="D4765" t="s">
        <v>71</v>
      </c>
      <c r="E4765" t="s">
        <v>74</v>
      </c>
      <c r="F4765" t="s">
        <v>80</v>
      </c>
    </row>
    <row r="4766" spans="1:6" x14ac:dyDescent="0.45">
      <c r="A4766">
        <v>40</v>
      </c>
      <c r="B4766">
        <v>12</v>
      </c>
      <c r="C4766">
        <v>30000</v>
      </c>
      <c r="D4766" t="s">
        <v>71</v>
      </c>
      <c r="E4766" t="s">
        <v>74</v>
      </c>
      <c r="F4766" t="s">
        <v>80</v>
      </c>
    </row>
    <row r="4767" spans="1:6" x14ac:dyDescent="0.45">
      <c r="A4767">
        <v>50</v>
      </c>
      <c r="B4767">
        <v>12</v>
      </c>
      <c r="C4767">
        <v>30000</v>
      </c>
      <c r="D4767" t="s">
        <v>71</v>
      </c>
      <c r="E4767" t="s">
        <v>74</v>
      </c>
      <c r="F4767" t="s">
        <v>80</v>
      </c>
    </row>
    <row r="4768" spans="1:6" x14ac:dyDescent="0.45">
      <c r="A4768">
        <v>50</v>
      </c>
      <c r="B4768">
        <v>12</v>
      </c>
      <c r="C4768">
        <v>30000</v>
      </c>
      <c r="D4768" t="s">
        <v>76</v>
      </c>
      <c r="E4768" t="s">
        <v>72</v>
      </c>
      <c r="F4768" t="s">
        <v>80</v>
      </c>
    </row>
    <row r="4769" spans="1:6" x14ac:dyDescent="0.45">
      <c r="A4769">
        <v>37</v>
      </c>
      <c r="B4769">
        <v>12</v>
      </c>
      <c r="C4769">
        <v>30000</v>
      </c>
      <c r="D4769" t="s">
        <v>71</v>
      </c>
      <c r="E4769" t="s">
        <v>72</v>
      </c>
      <c r="F4769" t="s">
        <v>80</v>
      </c>
    </row>
    <row r="4770" spans="1:6" x14ac:dyDescent="0.45">
      <c r="A4770">
        <v>45</v>
      </c>
      <c r="B4770">
        <v>12</v>
      </c>
      <c r="C4770">
        <v>30000</v>
      </c>
      <c r="D4770" t="s">
        <v>71</v>
      </c>
      <c r="E4770" t="s">
        <v>74</v>
      </c>
      <c r="F4770" t="s">
        <v>80</v>
      </c>
    </row>
    <row r="4771" spans="1:6" x14ac:dyDescent="0.45">
      <c r="A4771">
        <v>55</v>
      </c>
      <c r="B4771">
        <v>12</v>
      </c>
      <c r="C4771">
        <v>30000</v>
      </c>
      <c r="D4771" t="s">
        <v>71</v>
      </c>
      <c r="E4771" t="s">
        <v>74</v>
      </c>
      <c r="F4771" t="s">
        <v>80</v>
      </c>
    </row>
    <row r="4772" spans="1:6" x14ac:dyDescent="0.45">
      <c r="A4772">
        <v>40</v>
      </c>
      <c r="B4772">
        <v>12</v>
      </c>
      <c r="C4772">
        <v>30000</v>
      </c>
      <c r="D4772" t="s">
        <v>71</v>
      </c>
      <c r="E4772" t="s">
        <v>74</v>
      </c>
      <c r="F4772" t="s">
        <v>80</v>
      </c>
    </row>
    <row r="4773" spans="1:6" x14ac:dyDescent="0.45">
      <c r="A4773">
        <v>45</v>
      </c>
      <c r="B4773">
        <v>12</v>
      </c>
      <c r="C4773">
        <v>30000</v>
      </c>
      <c r="D4773" t="s">
        <v>71</v>
      </c>
      <c r="E4773" t="s">
        <v>72</v>
      </c>
      <c r="F4773" t="s">
        <v>80</v>
      </c>
    </row>
    <row r="4774" spans="1:6" x14ac:dyDescent="0.45">
      <c r="A4774">
        <v>40</v>
      </c>
      <c r="B4774">
        <v>12</v>
      </c>
      <c r="C4774">
        <v>30000</v>
      </c>
      <c r="D4774" t="s">
        <v>71</v>
      </c>
      <c r="E4774" t="s">
        <v>74</v>
      </c>
      <c r="F4774" t="s">
        <v>80</v>
      </c>
    </row>
    <row r="4775" spans="1:6" x14ac:dyDescent="0.45">
      <c r="A4775">
        <v>40</v>
      </c>
      <c r="B4775">
        <v>12</v>
      </c>
      <c r="C4775">
        <v>30000</v>
      </c>
      <c r="D4775" t="s">
        <v>71</v>
      </c>
      <c r="E4775" t="s">
        <v>74</v>
      </c>
      <c r="F4775" t="s">
        <v>80</v>
      </c>
    </row>
    <row r="4776" spans="1:6" x14ac:dyDescent="0.45">
      <c r="A4776">
        <v>45</v>
      </c>
      <c r="B4776">
        <v>12</v>
      </c>
      <c r="C4776">
        <v>30000</v>
      </c>
      <c r="D4776" t="s">
        <v>71</v>
      </c>
      <c r="E4776" t="s">
        <v>72</v>
      </c>
      <c r="F4776" t="s">
        <v>80</v>
      </c>
    </row>
    <row r="4777" spans="1:6" x14ac:dyDescent="0.45">
      <c r="A4777">
        <v>40</v>
      </c>
      <c r="B4777">
        <v>12</v>
      </c>
      <c r="C4777">
        <v>30000</v>
      </c>
      <c r="D4777" t="s">
        <v>71</v>
      </c>
      <c r="E4777" t="s">
        <v>74</v>
      </c>
      <c r="F4777" t="s">
        <v>80</v>
      </c>
    </row>
    <row r="4778" spans="1:6" x14ac:dyDescent="0.45">
      <c r="A4778">
        <v>60</v>
      </c>
      <c r="B4778">
        <v>12</v>
      </c>
      <c r="C4778">
        <v>30000</v>
      </c>
      <c r="D4778" t="s">
        <v>71</v>
      </c>
      <c r="E4778" t="s">
        <v>74</v>
      </c>
      <c r="F4778" t="s">
        <v>80</v>
      </c>
    </row>
    <row r="4779" spans="1:6" x14ac:dyDescent="0.45">
      <c r="A4779">
        <v>40</v>
      </c>
      <c r="B4779">
        <v>12</v>
      </c>
      <c r="C4779">
        <v>30000</v>
      </c>
      <c r="D4779" t="s">
        <v>71</v>
      </c>
      <c r="E4779" t="s">
        <v>72</v>
      </c>
      <c r="F4779" t="s">
        <v>80</v>
      </c>
    </row>
    <row r="4780" spans="1:6" x14ac:dyDescent="0.45">
      <c r="A4780">
        <v>45</v>
      </c>
      <c r="B4780">
        <v>12</v>
      </c>
      <c r="C4780">
        <v>30000</v>
      </c>
      <c r="D4780" t="s">
        <v>71</v>
      </c>
      <c r="E4780" t="s">
        <v>74</v>
      </c>
      <c r="F4780" t="s">
        <v>80</v>
      </c>
    </row>
    <row r="4781" spans="1:6" x14ac:dyDescent="0.45">
      <c r="A4781">
        <v>40</v>
      </c>
      <c r="B4781">
        <v>12</v>
      </c>
      <c r="C4781">
        <v>30000</v>
      </c>
      <c r="D4781" t="s">
        <v>71</v>
      </c>
      <c r="E4781" t="s">
        <v>74</v>
      </c>
      <c r="F4781" t="s">
        <v>80</v>
      </c>
    </row>
    <row r="4782" spans="1:6" x14ac:dyDescent="0.45">
      <c r="A4782">
        <v>36</v>
      </c>
      <c r="B4782">
        <v>12</v>
      </c>
      <c r="C4782">
        <v>30000</v>
      </c>
      <c r="D4782" t="s">
        <v>71</v>
      </c>
      <c r="E4782" t="s">
        <v>74</v>
      </c>
      <c r="F4782" t="s">
        <v>80</v>
      </c>
    </row>
    <row r="4783" spans="1:6" x14ac:dyDescent="0.45">
      <c r="A4783">
        <v>40</v>
      </c>
      <c r="B4783">
        <v>12</v>
      </c>
      <c r="C4783">
        <v>30000</v>
      </c>
      <c r="D4783" t="s">
        <v>71</v>
      </c>
      <c r="E4783" t="s">
        <v>74</v>
      </c>
      <c r="F4783" t="s">
        <v>80</v>
      </c>
    </row>
    <row r="4784" spans="1:6" x14ac:dyDescent="0.45">
      <c r="A4784">
        <v>40</v>
      </c>
      <c r="B4784">
        <v>12</v>
      </c>
      <c r="C4784">
        <v>30000</v>
      </c>
      <c r="D4784" t="s">
        <v>71</v>
      </c>
      <c r="E4784" t="s">
        <v>72</v>
      </c>
      <c r="F4784" t="s">
        <v>80</v>
      </c>
    </row>
    <row r="4785" spans="1:6" x14ac:dyDescent="0.45">
      <c r="A4785">
        <v>40</v>
      </c>
      <c r="B4785">
        <v>12</v>
      </c>
      <c r="C4785">
        <v>30104</v>
      </c>
      <c r="D4785" t="s">
        <v>71</v>
      </c>
      <c r="E4785" t="s">
        <v>72</v>
      </c>
      <c r="F4785" t="s">
        <v>80</v>
      </c>
    </row>
    <row r="4786" spans="1:6" x14ac:dyDescent="0.45">
      <c r="A4786">
        <v>40</v>
      </c>
      <c r="B4786">
        <v>12</v>
      </c>
      <c r="C4786">
        <v>30240</v>
      </c>
      <c r="D4786" t="s">
        <v>71</v>
      </c>
      <c r="E4786" t="s">
        <v>74</v>
      </c>
      <c r="F4786" t="s">
        <v>80</v>
      </c>
    </row>
    <row r="4787" spans="1:6" x14ac:dyDescent="0.45">
      <c r="A4787">
        <v>50</v>
      </c>
      <c r="B4787">
        <v>12</v>
      </c>
      <c r="C4787">
        <v>30400</v>
      </c>
      <c r="D4787" t="s">
        <v>71</v>
      </c>
      <c r="E4787" t="s">
        <v>72</v>
      </c>
      <c r="F4787" t="s">
        <v>80</v>
      </c>
    </row>
    <row r="4788" spans="1:6" x14ac:dyDescent="0.45">
      <c r="A4788">
        <v>40</v>
      </c>
      <c r="B4788">
        <v>12</v>
      </c>
      <c r="C4788">
        <v>30500</v>
      </c>
      <c r="D4788" t="s">
        <v>76</v>
      </c>
      <c r="E4788" t="s">
        <v>74</v>
      </c>
      <c r="F4788" t="s">
        <v>80</v>
      </c>
    </row>
    <row r="4789" spans="1:6" x14ac:dyDescent="0.45">
      <c r="A4789">
        <v>40</v>
      </c>
      <c r="B4789">
        <v>12</v>
      </c>
      <c r="C4789">
        <v>30500</v>
      </c>
      <c r="D4789" t="s">
        <v>71</v>
      </c>
      <c r="E4789" t="s">
        <v>72</v>
      </c>
      <c r="F4789" t="s">
        <v>80</v>
      </c>
    </row>
    <row r="4790" spans="1:6" x14ac:dyDescent="0.45">
      <c r="A4790">
        <v>45</v>
      </c>
      <c r="B4790">
        <v>12</v>
      </c>
      <c r="C4790">
        <v>30701</v>
      </c>
      <c r="D4790" t="s">
        <v>71</v>
      </c>
      <c r="E4790" t="s">
        <v>74</v>
      </c>
      <c r="F4790" t="s">
        <v>80</v>
      </c>
    </row>
    <row r="4791" spans="1:6" x14ac:dyDescent="0.45">
      <c r="A4791">
        <v>40</v>
      </c>
      <c r="B4791">
        <v>12</v>
      </c>
      <c r="C4791">
        <v>30724</v>
      </c>
      <c r="D4791" t="s">
        <v>71</v>
      </c>
      <c r="E4791" t="s">
        <v>74</v>
      </c>
      <c r="F4791" t="s">
        <v>80</v>
      </c>
    </row>
    <row r="4792" spans="1:6" x14ac:dyDescent="0.45">
      <c r="A4792">
        <v>50</v>
      </c>
      <c r="B4792">
        <v>12</v>
      </c>
      <c r="C4792">
        <v>31000</v>
      </c>
      <c r="D4792" t="s">
        <v>71</v>
      </c>
      <c r="E4792" t="s">
        <v>74</v>
      </c>
      <c r="F4792" t="s">
        <v>80</v>
      </c>
    </row>
    <row r="4793" spans="1:6" x14ac:dyDescent="0.45">
      <c r="A4793">
        <v>50</v>
      </c>
      <c r="B4793">
        <v>12</v>
      </c>
      <c r="C4793">
        <v>31000</v>
      </c>
      <c r="D4793" t="s">
        <v>71</v>
      </c>
      <c r="E4793" t="s">
        <v>74</v>
      </c>
      <c r="F4793" t="s">
        <v>80</v>
      </c>
    </row>
    <row r="4794" spans="1:6" x14ac:dyDescent="0.45">
      <c r="A4794">
        <v>40</v>
      </c>
      <c r="B4794">
        <v>12</v>
      </c>
      <c r="C4794">
        <v>31000</v>
      </c>
      <c r="D4794" t="s">
        <v>71</v>
      </c>
      <c r="E4794" t="s">
        <v>74</v>
      </c>
      <c r="F4794" t="s">
        <v>80</v>
      </c>
    </row>
    <row r="4795" spans="1:6" x14ac:dyDescent="0.45">
      <c r="A4795">
        <v>40</v>
      </c>
      <c r="B4795">
        <v>12</v>
      </c>
      <c r="C4795">
        <v>31000</v>
      </c>
      <c r="D4795" t="s">
        <v>71</v>
      </c>
      <c r="E4795" t="s">
        <v>72</v>
      </c>
      <c r="F4795" t="s">
        <v>80</v>
      </c>
    </row>
    <row r="4796" spans="1:6" x14ac:dyDescent="0.45">
      <c r="A4796">
        <v>40</v>
      </c>
      <c r="B4796">
        <v>12</v>
      </c>
      <c r="C4796">
        <v>31000</v>
      </c>
      <c r="D4796" t="s">
        <v>71</v>
      </c>
      <c r="E4796" t="s">
        <v>72</v>
      </c>
      <c r="F4796" t="s">
        <v>80</v>
      </c>
    </row>
    <row r="4797" spans="1:6" x14ac:dyDescent="0.45">
      <c r="A4797">
        <v>40</v>
      </c>
      <c r="B4797">
        <v>12</v>
      </c>
      <c r="C4797">
        <v>31000</v>
      </c>
      <c r="D4797" t="s">
        <v>71</v>
      </c>
      <c r="E4797" t="s">
        <v>74</v>
      </c>
      <c r="F4797" t="s">
        <v>80</v>
      </c>
    </row>
    <row r="4798" spans="1:6" x14ac:dyDescent="0.45">
      <c r="A4798">
        <v>40</v>
      </c>
      <c r="B4798">
        <v>12</v>
      </c>
      <c r="C4798">
        <v>31000</v>
      </c>
      <c r="D4798" t="s">
        <v>71</v>
      </c>
      <c r="E4798" t="s">
        <v>72</v>
      </c>
      <c r="F4798" t="s">
        <v>80</v>
      </c>
    </row>
    <row r="4799" spans="1:6" x14ac:dyDescent="0.45">
      <c r="A4799">
        <v>40</v>
      </c>
      <c r="B4799">
        <v>12</v>
      </c>
      <c r="C4799">
        <v>31000</v>
      </c>
      <c r="D4799" t="s">
        <v>71</v>
      </c>
      <c r="E4799" t="s">
        <v>74</v>
      </c>
      <c r="F4799" t="s">
        <v>80</v>
      </c>
    </row>
    <row r="4800" spans="1:6" x14ac:dyDescent="0.45">
      <c r="A4800">
        <v>0</v>
      </c>
      <c r="B4800">
        <v>12</v>
      </c>
      <c r="C4800">
        <v>31000</v>
      </c>
      <c r="D4800" t="s">
        <v>71</v>
      </c>
      <c r="E4800" t="s">
        <v>74</v>
      </c>
      <c r="F4800" t="s">
        <v>80</v>
      </c>
    </row>
    <row r="4801" spans="1:6" x14ac:dyDescent="0.45">
      <c r="A4801">
        <v>40</v>
      </c>
      <c r="B4801">
        <v>12</v>
      </c>
      <c r="C4801">
        <v>31000</v>
      </c>
      <c r="D4801" t="s">
        <v>71</v>
      </c>
      <c r="E4801" t="s">
        <v>72</v>
      </c>
      <c r="F4801" t="s">
        <v>80</v>
      </c>
    </row>
    <row r="4802" spans="1:6" x14ac:dyDescent="0.45">
      <c r="A4802">
        <v>40</v>
      </c>
      <c r="B4802">
        <v>12</v>
      </c>
      <c r="C4802">
        <v>31000</v>
      </c>
      <c r="D4802" t="s">
        <v>71</v>
      </c>
      <c r="E4802" t="s">
        <v>72</v>
      </c>
      <c r="F4802" t="s">
        <v>80</v>
      </c>
    </row>
    <row r="4803" spans="1:6" x14ac:dyDescent="0.45">
      <c r="A4803">
        <v>40</v>
      </c>
      <c r="B4803">
        <v>12</v>
      </c>
      <c r="C4803">
        <v>31000</v>
      </c>
      <c r="D4803" t="s">
        <v>71</v>
      </c>
      <c r="E4803" t="s">
        <v>74</v>
      </c>
      <c r="F4803" t="s">
        <v>80</v>
      </c>
    </row>
    <row r="4804" spans="1:6" x14ac:dyDescent="0.45">
      <c r="A4804">
        <v>50</v>
      </c>
      <c r="B4804">
        <v>12</v>
      </c>
      <c r="C4804">
        <v>31000</v>
      </c>
      <c r="D4804" t="s">
        <v>71</v>
      </c>
      <c r="E4804" t="s">
        <v>72</v>
      </c>
      <c r="F4804" t="s">
        <v>80</v>
      </c>
    </row>
    <row r="4805" spans="1:6" x14ac:dyDescent="0.45">
      <c r="A4805">
        <v>40</v>
      </c>
      <c r="B4805">
        <v>12</v>
      </c>
      <c r="C4805">
        <v>31000</v>
      </c>
      <c r="D4805" t="s">
        <v>71</v>
      </c>
      <c r="E4805" t="s">
        <v>72</v>
      </c>
      <c r="F4805" t="s">
        <v>80</v>
      </c>
    </row>
    <row r="4806" spans="1:6" x14ac:dyDescent="0.45">
      <c r="A4806">
        <v>40</v>
      </c>
      <c r="B4806">
        <v>12</v>
      </c>
      <c r="C4806">
        <v>31000</v>
      </c>
      <c r="D4806" t="s">
        <v>71</v>
      </c>
      <c r="E4806" t="s">
        <v>72</v>
      </c>
      <c r="F4806" t="s">
        <v>80</v>
      </c>
    </row>
    <row r="4807" spans="1:6" x14ac:dyDescent="0.45">
      <c r="A4807">
        <v>40</v>
      </c>
      <c r="B4807">
        <v>12</v>
      </c>
      <c r="C4807">
        <v>31009</v>
      </c>
      <c r="D4807" t="s">
        <v>71</v>
      </c>
      <c r="E4807" t="s">
        <v>72</v>
      </c>
      <c r="F4807" t="s">
        <v>80</v>
      </c>
    </row>
    <row r="4808" spans="1:6" x14ac:dyDescent="0.45">
      <c r="A4808">
        <v>45</v>
      </c>
      <c r="B4808">
        <v>12</v>
      </c>
      <c r="C4808">
        <v>31072</v>
      </c>
      <c r="D4808" t="s">
        <v>71</v>
      </c>
      <c r="E4808" t="s">
        <v>74</v>
      </c>
      <c r="F4808" t="s">
        <v>80</v>
      </c>
    </row>
    <row r="4809" spans="1:6" x14ac:dyDescent="0.45">
      <c r="A4809">
        <v>50</v>
      </c>
      <c r="B4809">
        <v>12</v>
      </c>
      <c r="C4809">
        <v>31200</v>
      </c>
      <c r="D4809" t="s">
        <v>71</v>
      </c>
      <c r="E4809" t="s">
        <v>74</v>
      </c>
      <c r="F4809" t="s">
        <v>80</v>
      </c>
    </row>
    <row r="4810" spans="1:6" x14ac:dyDescent="0.45">
      <c r="A4810">
        <v>40</v>
      </c>
      <c r="B4810">
        <v>12</v>
      </c>
      <c r="C4810">
        <v>31200</v>
      </c>
      <c r="D4810" t="s">
        <v>71</v>
      </c>
      <c r="E4810" t="s">
        <v>74</v>
      </c>
      <c r="F4810" t="s">
        <v>80</v>
      </c>
    </row>
    <row r="4811" spans="1:6" x14ac:dyDescent="0.45">
      <c r="A4811">
        <v>40</v>
      </c>
      <c r="B4811">
        <v>12</v>
      </c>
      <c r="C4811">
        <v>31200</v>
      </c>
      <c r="D4811" t="s">
        <v>71</v>
      </c>
      <c r="E4811" t="s">
        <v>72</v>
      </c>
      <c r="F4811" t="s">
        <v>80</v>
      </c>
    </row>
    <row r="4812" spans="1:6" x14ac:dyDescent="0.45">
      <c r="A4812">
        <v>40</v>
      </c>
      <c r="B4812">
        <v>12</v>
      </c>
      <c r="C4812">
        <v>31400</v>
      </c>
      <c r="D4812" t="s">
        <v>71</v>
      </c>
      <c r="E4812" t="s">
        <v>74</v>
      </c>
      <c r="F4812" t="s">
        <v>80</v>
      </c>
    </row>
    <row r="4813" spans="1:6" x14ac:dyDescent="0.45">
      <c r="A4813">
        <v>40</v>
      </c>
      <c r="B4813">
        <v>12</v>
      </c>
      <c r="C4813">
        <v>31434</v>
      </c>
      <c r="D4813" t="s">
        <v>71</v>
      </c>
      <c r="E4813" t="s">
        <v>72</v>
      </c>
      <c r="F4813" t="s">
        <v>80</v>
      </c>
    </row>
    <row r="4814" spans="1:6" x14ac:dyDescent="0.45">
      <c r="A4814">
        <v>43</v>
      </c>
      <c r="B4814">
        <v>12</v>
      </c>
      <c r="C4814">
        <v>31446</v>
      </c>
      <c r="D4814" t="s">
        <v>71</v>
      </c>
      <c r="E4814" t="s">
        <v>74</v>
      </c>
      <c r="F4814" t="s">
        <v>80</v>
      </c>
    </row>
    <row r="4815" spans="1:6" x14ac:dyDescent="0.45">
      <c r="A4815">
        <v>50</v>
      </c>
      <c r="B4815">
        <v>12</v>
      </c>
      <c r="C4815">
        <v>31450</v>
      </c>
      <c r="D4815" t="s">
        <v>71</v>
      </c>
      <c r="E4815" t="s">
        <v>74</v>
      </c>
      <c r="F4815" t="s">
        <v>80</v>
      </c>
    </row>
    <row r="4816" spans="1:6" x14ac:dyDescent="0.45">
      <c r="A4816">
        <v>40</v>
      </c>
      <c r="B4816">
        <v>12</v>
      </c>
      <c r="C4816">
        <v>31500</v>
      </c>
      <c r="D4816" t="s">
        <v>71</v>
      </c>
      <c r="E4816" t="s">
        <v>74</v>
      </c>
      <c r="F4816" t="s">
        <v>80</v>
      </c>
    </row>
    <row r="4817" spans="1:6" x14ac:dyDescent="0.45">
      <c r="A4817">
        <v>50</v>
      </c>
      <c r="B4817">
        <v>12</v>
      </c>
      <c r="C4817">
        <v>32000</v>
      </c>
      <c r="D4817" t="s">
        <v>71</v>
      </c>
      <c r="E4817" t="s">
        <v>74</v>
      </c>
      <c r="F4817" t="s">
        <v>80</v>
      </c>
    </row>
    <row r="4818" spans="1:6" x14ac:dyDescent="0.45">
      <c r="A4818">
        <v>50</v>
      </c>
      <c r="B4818">
        <v>12</v>
      </c>
      <c r="C4818">
        <v>32000</v>
      </c>
      <c r="D4818" t="s">
        <v>71</v>
      </c>
      <c r="E4818" t="s">
        <v>74</v>
      </c>
      <c r="F4818" t="s">
        <v>80</v>
      </c>
    </row>
    <row r="4819" spans="1:6" x14ac:dyDescent="0.45">
      <c r="A4819">
        <v>40</v>
      </c>
      <c r="B4819">
        <v>12</v>
      </c>
      <c r="C4819">
        <v>32000</v>
      </c>
      <c r="D4819" t="s">
        <v>71</v>
      </c>
      <c r="E4819" t="s">
        <v>72</v>
      </c>
      <c r="F4819" t="s">
        <v>80</v>
      </c>
    </row>
    <row r="4820" spans="1:6" x14ac:dyDescent="0.45">
      <c r="A4820">
        <v>45</v>
      </c>
      <c r="B4820">
        <v>12</v>
      </c>
      <c r="C4820">
        <v>32000</v>
      </c>
      <c r="D4820" t="s">
        <v>71</v>
      </c>
      <c r="E4820" t="s">
        <v>72</v>
      </c>
      <c r="F4820" t="s">
        <v>80</v>
      </c>
    </row>
    <row r="4821" spans="1:6" x14ac:dyDescent="0.45">
      <c r="A4821">
        <v>40</v>
      </c>
      <c r="B4821">
        <v>12</v>
      </c>
      <c r="C4821">
        <v>32000</v>
      </c>
      <c r="D4821" t="s">
        <v>71</v>
      </c>
      <c r="E4821" t="s">
        <v>74</v>
      </c>
      <c r="F4821" t="s">
        <v>80</v>
      </c>
    </row>
    <row r="4822" spans="1:6" x14ac:dyDescent="0.45">
      <c r="A4822">
        <v>40</v>
      </c>
      <c r="B4822">
        <v>12</v>
      </c>
      <c r="C4822">
        <v>32000</v>
      </c>
      <c r="D4822" t="s">
        <v>71</v>
      </c>
      <c r="E4822" t="s">
        <v>72</v>
      </c>
      <c r="F4822" t="s">
        <v>80</v>
      </c>
    </row>
    <row r="4823" spans="1:6" x14ac:dyDescent="0.45">
      <c r="A4823">
        <v>40</v>
      </c>
      <c r="B4823">
        <v>12</v>
      </c>
      <c r="C4823">
        <v>32000</v>
      </c>
      <c r="D4823" t="s">
        <v>71</v>
      </c>
      <c r="E4823" t="s">
        <v>74</v>
      </c>
      <c r="F4823" t="s">
        <v>80</v>
      </c>
    </row>
    <row r="4824" spans="1:6" x14ac:dyDescent="0.45">
      <c r="A4824">
        <v>60</v>
      </c>
      <c r="B4824">
        <v>12</v>
      </c>
      <c r="C4824">
        <v>32000</v>
      </c>
      <c r="D4824" t="s">
        <v>71</v>
      </c>
      <c r="E4824" t="s">
        <v>74</v>
      </c>
      <c r="F4824" t="s">
        <v>80</v>
      </c>
    </row>
    <row r="4825" spans="1:6" x14ac:dyDescent="0.45">
      <c r="A4825">
        <v>35</v>
      </c>
      <c r="B4825">
        <v>12</v>
      </c>
      <c r="C4825">
        <v>32000</v>
      </c>
      <c r="D4825" t="s">
        <v>71</v>
      </c>
      <c r="E4825" t="s">
        <v>74</v>
      </c>
      <c r="F4825" t="s">
        <v>80</v>
      </c>
    </row>
    <row r="4826" spans="1:6" x14ac:dyDescent="0.45">
      <c r="A4826">
        <v>40</v>
      </c>
      <c r="B4826">
        <v>12</v>
      </c>
      <c r="C4826">
        <v>32000</v>
      </c>
      <c r="D4826" t="s">
        <v>75</v>
      </c>
      <c r="E4826" t="s">
        <v>74</v>
      </c>
      <c r="F4826" t="s">
        <v>80</v>
      </c>
    </row>
    <row r="4827" spans="1:6" x14ac:dyDescent="0.45">
      <c r="A4827">
        <v>47</v>
      </c>
      <c r="B4827">
        <v>12</v>
      </c>
      <c r="C4827">
        <v>32000</v>
      </c>
      <c r="D4827" t="s">
        <v>71</v>
      </c>
      <c r="E4827" t="s">
        <v>74</v>
      </c>
      <c r="F4827" t="s">
        <v>80</v>
      </c>
    </row>
    <row r="4828" spans="1:6" x14ac:dyDescent="0.45">
      <c r="A4828">
        <v>60</v>
      </c>
      <c r="B4828">
        <v>12</v>
      </c>
      <c r="C4828">
        <v>32000</v>
      </c>
      <c r="D4828" t="s">
        <v>71</v>
      </c>
      <c r="E4828" t="s">
        <v>74</v>
      </c>
      <c r="F4828" t="s">
        <v>80</v>
      </c>
    </row>
    <row r="4829" spans="1:6" x14ac:dyDescent="0.45">
      <c r="A4829">
        <v>40</v>
      </c>
      <c r="B4829">
        <v>12</v>
      </c>
      <c r="C4829">
        <v>32000</v>
      </c>
      <c r="D4829" t="s">
        <v>76</v>
      </c>
      <c r="E4829" t="s">
        <v>72</v>
      </c>
      <c r="F4829" t="s">
        <v>80</v>
      </c>
    </row>
    <row r="4830" spans="1:6" x14ac:dyDescent="0.45">
      <c r="A4830">
        <v>60</v>
      </c>
      <c r="B4830">
        <v>12</v>
      </c>
      <c r="C4830">
        <v>32000</v>
      </c>
      <c r="D4830" t="s">
        <v>71</v>
      </c>
      <c r="E4830" t="s">
        <v>74</v>
      </c>
      <c r="F4830" t="s">
        <v>80</v>
      </c>
    </row>
    <row r="4831" spans="1:6" x14ac:dyDescent="0.45">
      <c r="A4831">
        <v>40</v>
      </c>
      <c r="B4831">
        <v>12</v>
      </c>
      <c r="C4831">
        <v>32000</v>
      </c>
      <c r="D4831" t="s">
        <v>76</v>
      </c>
      <c r="E4831" t="s">
        <v>72</v>
      </c>
      <c r="F4831" t="s">
        <v>80</v>
      </c>
    </row>
    <row r="4832" spans="1:6" x14ac:dyDescent="0.45">
      <c r="A4832">
        <v>0</v>
      </c>
      <c r="B4832">
        <v>12</v>
      </c>
      <c r="C4832">
        <v>32000</v>
      </c>
      <c r="D4832" t="s">
        <v>71</v>
      </c>
      <c r="E4832" t="s">
        <v>74</v>
      </c>
      <c r="F4832" t="s">
        <v>80</v>
      </c>
    </row>
    <row r="4833" spans="1:6" x14ac:dyDescent="0.45">
      <c r="A4833">
        <v>40</v>
      </c>
      <c r="B4833">
        <v>12</v>
      </c>
      <c r="C4833">
        <v>32000</v>
      </c>
      <c r="D4833" t="s">
        <v>71</v>
      </c>
      <c r="E4833" t="s">
        <v>72</v>
      </c>
      <c r="F4833" t="s">
        <v>80</v>
      </c>
    </row>
    <row r="4834" spans="1:6" x14ac:dyDescent="0.45">
      <c r="A4834">
        <v>40</v>
      </c>
      <c r="B4834">
        <v>12</v>
      </c>
      <c r="C4834">
        <v>32000</v>
      </c>
      <c r="D4834" t="s">
        <v>71</v>
      </c>
      <c r="E4834" t="s">
        <v>72</v>
      </c>
      <c r="F4834" t="s">
        <v>80</v>
      </c>
    </row>
    <row r="4835" spans="1:6" x14ac:dyDescent="0.45">
      <c r="A4835">
        <v>40</v>
      </c>
      <c r="B4835">
        <v>12</v>
      </c>
      <c r="C4835">
        <v>32000</v>
      </c>
      <c r="D4835" t="s">
        <v>71</v>
      </c>
      <c r="E4835" t="s">
        <v>72</v>
      </c>
      <c r="F4835" t="s">
        <v>80</v>
      </c>
    </row>
    <row r="4836" spans="1:6" x14ac:dyDescent="0.45">
      <c r="A4836">
        <v>40</v>
      </c>
      <c r="B4836">
        <v>12</v>
      </c>
      <c r="C4836">
        <v>32000</v>
      </c>
      <c r="D4836" t="s">
        <v>71</v>
      </c>
      <c r="E4836" t="s">
        <v>72</v>
      </c>
      <c r="F4836" t="s">
        <v>80</v>
      </c>
    </row>
    <row r="4837" spans="1:6" x14ac:dyDescent="0.45">
      <c r="A4837">
        <v>40</v>
      </c>
      <c r="B4837">
        <v>12</v>
      </c>
      <c r="C4837">
        <v>32000</v>
      </c>
      <c r="D4837" t="s">
        <v>71</v>
      </c>
      <c r="E4837" t="s">
        <v>72</v>
      </c>
      <c r="F4837" t="s">
        <v>80</v>
      </c>
    </row>
    <row r="4838" spans="1:6" x14ac:dyDescent="0.45">
      <c r="A4838">
        <v>40</v>
      </c>
      <c r="B4838">
        <v>12</v>
      </c>
      <c r="C4838">
        <v>32000</v>
      </c>
      <c r="D4838" t="s">
        <v>71</v>
      </c>
      <c r="E4838" t="s">
        <v>72</v>
      </c>
      <c r="F4838" t="s">
        <v>80</v>
      </c>
    </row>
    <row r="4839" spans="1:6" x14ac:dyDescent="0.45">
      <c r="A4839">
        <v>47</v>
      </c>
      <c r="B4839">
        <v>12</v>
      </c>
      <c r="C4839">
        <v>32000</v>
      </c>
      <c r="D4839" t="s">
        <v>71</v>
      </c>
      <c r="E4839" t="s">
        <v>74</v>
      </c>
      <c r="F4839" t="s">
        <v>80</v>
      </c>
    </row>
    <row r="4840" spans="1:6" x14ac:dyDescent="0.45">
      <c r="A4840">
        <v>40</v>
      </c>
      <c r="B4840">
        <v>12</v>
      </c>
      <c r="C4840">
        <v>32000</v>
      </c>
      <c r="D4840" t="s">
        <v>71</v>
      </c>
      <c r="E4840" t="s">
        <v>72</v>
      </c>
      <c r="F4840" t="s">
        <v>80</v>
      </c>
    </row>
    <row r="4841" spans="1:6" x14ac:dyDescent="0.45">
      <c r="A4841">
        <v>0</v>
      </c>
      <c r="B4841">
        <v>12</v>
      </c>
      <c r="C4841">
        <v>32000</v>
      </c>
      <c r="D4841" t="s">
        <v>71</v>
      </c>
      <c r="E4841" t="s">
        <v>74</v>
      </c>
      <c r="F4841" t="s">
        <v>80</v>
      </c>
    </row>
    <row r="4842" spans="1:6" x14ac:dyDescent="0.45">
      <c r="A4842">
        <v>40</v>
      </c>
      <c r="B4842">
        <v>12</v>
      </c>
      <c r="C4842">
        <v>32000</v>
      </c>
      <c r="D4842" t="s">
        <v>71</v>
      </c>
      <c r="E4842" t="s">
        <v>74</v>
      </c>
      <c r="F4842" t="s">
        <v>80</v>
      </c>
    </row>
    <row r="4843" spans="1:6" x14ac:dyDescent="0.45">
      <c r="A4843">
        <v>40</v>
      </c>
      <c r="B4843">
        <v>12</v>
      </c>
      <c r="C4843">
        <v>32000</v>
      </c>
      <c r="D4843" t="s">
        <v>71</v>
      </c>
      <c r="E4843" t="s">
        <v>74</v>
      </c>
      <c r="F4843" t="s">
        <v>80</v>
      </c>
    </row>
    <row r="4844" spans="1:6" x14ac:dyDescent="0.45">
      <c r="A4844">
        <v>48</v>
      </c>
      <c r="B4844">
        <v>12</v>
      </c>
      <c r="C4844">
        <v>32000</v>
      </c>
      <c r="D4844" t="s">
        <v>71</v>
      </c>
      <c r="E4844" t="s">
        <v>74</v>
      </c>
      <c r="F4844" t="s">
        <v>80</v>
      </c>
    </row>
    <row r="4845" spans="1:6" x14ac:dyDescent="0.45">
      <c r="A4845">
        <v>40</v>
      </c>
      <c r="B4845">
        <v>12</v>
      </c>
      <c r="C4845">
        <v>32000</v>
      </c>
      <c r="D4845" t="s">
        <v>71</v>
      </c>
      <c r="E4845" t="s">
        <v>74</v>
      </c>
      <c r="F4845" t="s">
        <v>80</v>
      </c>
    </row>
    <row r="4846" spans="1:6" x14ac:dyDescent="0.45">
      <c r="A4846">
        <v>40</v>
      </c>
      <c r="B4846">
        <v>12</v>
      </c>
      <c r="C4846">
        <v>32000</v>
      </c>
      <c r="D4846" t="s">
        <v>71</v>
      </c>
      <c r="E4846" t="s">
        <v>72</v>
      </c>
      <c r="F4846" t="s">
        <v>80</v>
      </c>
    </row>
    <row r="4847" spans="1:6" x14ac:dyDescent="0.45">
      <c r="A4847">
        <v>50</v>
      </c>
      <c r="B4847">
        <v>12</v>
      </c>
      <c r="C4847">
        <v>32000</v>
      </c>
      <c r="D4847" t="s">
        <v>71</v>
      </c>
      <c r="E4847" t="s">
        <v>74</v>
      </c>
      <c r="F4847" t="s">
        <v>80</v>
      </c>
    </row>
    <row r="4848" spans="1:6" x14ac:dyDescent="0.45">
      <c r="A4848">
        <v>40</v>
      </c>
      <c r="B4848">
        <v>12</v>
      </c>
      <c r="C4848">
        <v>32000</v>
      </c>
      <c r="D4848" t="s">
        <v>71</v>
      </c>
      <c r="E4848" t="s">
        <v>74</v>
      </c>
      <c r="F4848" t="s">
        <v>80</v>
      </c>
    </row>
    <row r="4849" spans="1:6" x14ac:dyDescent="0.45">
      <c r="A4849">
        <v>38</v>
      </c>
      <c r="B4849">
        <v>12</v>
      </c>
      <c r="C4849">
        <v>32000</v>
      </c>
      <c r="D4849" t="s">
        <v>71</v>
      </c>
      <c r="E4849" t="s">
        <v>72</v>
      </c>
      <c r="F4849" t="s">
        <v>80</v>
      </c>
    </row>
    <row r="4850" spans="1:6" x14ac:dyDescent="0.45">
      <c r="A4850">
        <v>40</v>
      </c>
      <c r="B4850">
        <v>12</v>
      </c>
      <c r="C4850">
        <v>32000</v>
      </c>
      <c r="D4850" t="s">
        <v>71</v>
      </c>
      <c r="E4850" t="s">
        <v>72</v>
      </c>
      <c r="F4850" t="s">
        <v>80</v>
      </c>
    </row>
    <row r="4851" spans="1:6" x14ac:dyDescent="0.45">
      <c r="A4851">
        <v>40</v>
      </c>
      <c r="B4851">
        <v>12</v>
      </c>
      <c r="C4851">
        <v>32076</v>
      </c>
      <c r="D4851" t="s">
        <v>71</v>
      </c>
      <c r="E4851" t="s">
        <v>74</v>
      </c>
      <c r="F4851" t="s">
        <v>80</v>
      </c>
    </row>
    <row r="4852" spans="1:6" x14ac:dyDescent="0.45">
      <c r="A4852">
        <v>40</v>
      </c>
      <c r="B4852">
        <v>12</v>
      </c>
      <c r="C4852">
        <v>32130</v>
      </c>
      <c r="D4852" t="s">
        <v>71</v>
      </c>
      <c r="E4852" t="s">
        <v>72</v>
      </c>
      <c r="F4852" t="s">
        <v>80</v>
      </c>
    </row>
    <row r="4853" spans="1:6" x14ac:dyDescent="0.45">
      <c r="A4853">
        <v>40</v>
      </c>
      <c r="B4853">
        <v>12</v>
      </c>
      <c r="C4853">
        <v>32213</v>
      </c>
      <c r="D4853" t="s">
        <v>71</v>
      </c>
      <c r="E4853" t="s">
        <v>74</v>
      </c>
      <c r="F4853" t="s">
        <v>80</v>
      </c>
    </row>
    <row r="4854" spans="1:6" x14ac:dyDescent="0.45">
      <c r="A4854">
        <v>42</v>
      </c>
      <c r="B4854">
        <v>12</v>
      </c>
      <c r="C4854">
        <v>32240</v>
      </c>
      <c r="D4854" t="s">
        <v>71</v>
      </c>
      <c r="E4854" t="s">
        <v>74</v>
      </c>
      <c r="F4854" t="s">
        <v>80</v>
      </c>
    </row>
    <row r="4855" spans="1:6" x14ac:dyDescent="0.45">
      <c r="A4855">
        <v>40</v>
      </c>
      <c r="B4855">
        <v>12</v>
      </c>
      <c r="C4855">
        <v>32400</v>
      </c>
      <c r="D4855" t="s">
        <v>71</v>
      </c>
      <c r="E4855" t="s">
        <v>74</v>
      </c>
      <c r="F4855" t="s">
        <v>80</v>
      </c>
    </row>
    <row r="4856" spans="1:6" x14ac:dyDescent="0.45">
      <c r="A4856">
        <v>45</v>
      </c>
      <c r="B4856">
        <v>12</v>
      </c>
      <c r="C4856">
        <v>32500</v>
      </c>
      <c r="D4856" t="s">
        <v>71</v>
      </c>
      <c r="E4856" t="s">
        <v>72</v>
      </c>
      <c r="F4856" t="s">
        <v>80</v>
      </c>
    </row>
    <row r="4857" spans="1:6" x14ac:dyDescent="0.45">
      <c r="A4857">
        <v>60</v>
      </c>
      <c r="B4857">
        <v>12</v>
      </c>
      <c r="C4857">
        <v>32500</v>
      </c>
      <c r="D4857" t="s">
        <v>71</v>
      </c>
      <c r="E4857" t="s">
        <v>74</v>
      </c>
      <c r="F4857" t="s">
        <v>80</v>
      </c>
    </row>
    <row r="4858" spans="1:6" x14ac:dyDescent="0.45">
      <c r="A4858">
        <v>0</v>
      </c>
      <c r="B4858">
        <v>12</v>
      </c>
      <c r="C4858">
        <v>32600</v>
      </c>
      <c r="D4858" t="s">
        <v>71</v>
      </c>
      <c r="E4858" t="s">
        <v>74</v>
      </c>
      <c r="F4858" t="s">
        <v>80</v>
      </c>
    </row>
    <row r="4859" spans="1:6" x14ac:dyDescent="0.45">
      <c r="A4859">
        <v>0</v>
      </c>
      <c r="B4859">
        <v>12</v>
      </c>
      <c r="C4859">
        <v>33000</v>
      </c>
      <c r="D4859" t="s">
        <v>76</v>
      </c>
      <c r="E4859" t="s">
        <v>74</v>
      </c>
      <c r="F4859" t="s">
        <v>80</v>
      </c>
    </row>
    <row r="4860" spans="1:6" x14ac:dyDescent="0.45">
      <c r="A4860">
        <v>50</v>
      </c>
      <c r="B4860">
        <v>12</v>
      </c>
      <c r="C4860">
        <v>33000</v>
      </c>
      <c r="D4860" t="s">
        <v>71</v>
      </c>
      <c r="E4860" t="s">
        <v>72</v>
      </c>
      <c r="F4860" t="s">
        <v>80</v>
      </c>
    </row>
    <row r="4861" spans="1:6" x14ac:dyDescent="0.45">
      <c r="A4861">
        <v>47</v>
      </c>
      <c r="B4861">
        <v>12</v>
      </c>
      <c r="C4861">
        <v>33000</v>
      </c>
      <c r="D4861" t="s">
        <v>71</v>
      </c>
      <c r="E4861" t="s">
        <v>74</v>
      </c>
      <c r="F4861" t="s">
        <v>80</v>
      </c>
    </row>
    <row r="4862" spans="1:6" x14ac:dyDescent="0.45">
      <c r="A4862">
        <v>50</v>
      </c>
      <c r="B4862">
        <v>12</v>
      </c>
      <c r="C4862">
        <v>33000</v>
      </c>
      <c r="D4862" t="s">
        <v>71</v>
      </c>
      <c r="E4862" t="s">
        <v>74</v>
      </c>
      <c r="F4862" t="s">
        <v>80</v>
      </c>
    </row>
    <row r="4863" spans="1:6" x14ac:dyDescent="0.45">
      <c r="A4863">
        <v>0</v>
      </c>
      <c r="B4863">
        <v>12</v>
      </c>
      <c r="C4863">
        <v>33000</v>
      </c>
      <c r="D4863" t="s">
        <v>71</v>
      </c>
      <c r="E4863" t="s">
        <v>74</v>
      </c>
      <c r="F4863" t="s">
        <v>80</v>
      </c>
    </row>
    <row r="4864" spans="1:6" x14ac:dyDescent="0.45">
      <c r="A4864">
        <v>40</v>
      </c>
      <c r="B4864">
        <v>12</v>
      </c>
      <c r="C4864">
        <v>33000</v>
      </c>
      <c r="D4864" t="s">
        <v>71</v>
      </c>
      <c r="E4864" t="s">
        <v>72</v>
      </c>
      <c r="F4864" t="s">
        <v>80</v>
      </c>
    </row>
    <row r="4865" spans="1:6" x14ac:dyDescent="0.45">
      <c r="A4865">
        <v>40</v>
      </c>
      <c r="B4865">
        <v>12</v>
      </c>
      <c r="C4865">
        <v>33000</v>
      </c>
      <c r="D4865" t="s">
        <v>71</v>
      </c>
      <c r="E4865" t="s">
        <v>74</v>
      </c>
      <c r="F4865" t="s">
        <v>80</v>
      </c>
    </row>
    <row r="4866" spans="1:6" x14ac:dyDescent="0.45">
      <c r="A4866">
        <v>45</v>
      </c>
      <c r="B4866">
        <v>12</v>
      </c>
      <c r="C4866">
        <v>33000</v>
      </c>
      <c r="D4866" t="s">
        <v>71</v>
      </c>
      <c r="E4866" t="s">
        <v>72</v>
      </c>
      <c r="F4866" t="s">
        <v>80</v>
      </c>
    </row>
    <row r="4867" spans="1:6" x14ac:dyDescent="0.45">
      <c r="A4867">
        <v>40</v>
      </c>
      <c r="B4867">
        <v>12</v>
      </c>
      <c r="C4867">
        <v>33000</v>
      </c>
      <c r="D4867" t="s">
        <v>71</v>
      </c>
      <c r="E4867" t="s">
        <v>74</v>
      </c>
      <c r="F4867" t="s">
        <v>80</v>
      </c>
    </row>
    <row r="4868" spans="1:6" x14ac:dyDescent="0.45">
      <c r="A4868">
        <v>40</v>
      </c>
      <c r="B4868">
        <v>12</v>
      </c>
      <c r="C4868">
        <v>33000</v>
      </c>
      <c r="D4868" t="s">
        <v>71</v>
      </c>
      <c r="E4868" t="s">
        <v>74</v>
      </c>
      <c r="F4868" t="s">
        <v>80</v>
      </c>
    </row>
    <row r="4869" spans="1:6" x14ac:dyDescent="0.45">
      <c r="A4869">
        <v>40</v>
      </c>
      <c r="B4869">
        <v>12</v>
      </c>
      <c r="C4869">
        <v>33000</v>
      </c>
      <c r="D4869" t="s">
        <v>71</v>
      </c>
      <c r="E4869" t="s">
        <v>74</v>
      </c>
      <c r="F4869" t="s">
        <v>80</v>
      </c>
    </row>
    <row r="4870" spans="1:6" x14ac:dyDescent="0.45">
      <c r="A4870">
        <v>40</v>
      </c>
      <c r="B4870">
        <v>12</v>
      </c>
      <c r="C4870">
        <v>33000</v>
      </c>
      <c r="D4870" t="s">
        <v>71</v>
      </c>
      <c r="E4870" t="s">
        <v>72</v>
      </c>
      <c r="F4870" t="s">
        <v>80</v>
      </c>
    </row>
    <row r="4871" spans="1:6" x14ac:dyDescent="0.45">
      <c r="A4871">
        <v>40</v>
      </c>
      <c r="B4871">
        <v>12</v>
      </c>
      <c r="C4871">
        <v>33000</v>
      </c>
      <c r="D4871" t="s">
        <v>71</v>
      </c>
      <c r="E4871" t="s">
        <v>72</v>
      </c>
      <c r="F4871" t="s">
        <v>80</v>
      </c>
    </row>
    <row r="4872" spans="1:6" x14ac:dyDescent="0.45">
      <c r="A4872">
        <v>40</v>
      </c>
      <c r="B4872">
        <v>12</v>
      </c>
      <c r="C4872">
        <v>33000</v>
      </c>
      <c r="D4872" t="s">
        <v>71</v>
      </c>
      <c r="E4872" t="s">
        <v>72</v>
      </c>
      <c r="F4872" t="s">
        <v>80</v>
      </c>
    </row>
    <row r="4873" spans="1:6" x14ac:dyDescent="0.45">
      <c r="A4873">
        <v>45</v>
      </c>
      <c r="B4873">
        <v>12</v>
      </c>
      <c r="C4873">
        <v>33000</v>
      </c>
      <c r="D4873" t="s">
        <v>71</v>
      </c>
      <c r="E4873" t="s">
        <v>74</v>
      </c>
      <c r="F4873" t="s">
        <v>80</v>
      </c>
    </row>
    <row r="4874" spans="1:6" x14ac:dyDescent="0.45">
      <c r="A4874">
        <v>40</v>
      </c>
      <c r="B4874">
        <v>12</v>
      </c>
      <c r="C4874">
        <v>33000</v>
      </c>
      <c r="D4874" t="s">
        <v>71</v>
      </c>
      <c r="E4874" t="s">
        <v>72</v>
      </c>
      <c r="F4874" t="s">
        <v>80</v>
      </c>
    </row>
    <row r="4875" spans="1:6" x14ac:dyDescent="0.45">
      <c r="A4875">
        <v>40</v>
      </c>
      <c r="B4875">
        <v>12</v>
      </c>
      <c r="C4875">
        <v>33000</v>
      </c>
      <c r="D4875" t="s">
        <v>71</v>
      </c>
      <c r="E4875" t="s">
        <v>74</v>
      </c>
      <c r="F4875" t="s">
        <v>80</v>
      </c>
    </row>
    <row r="4876" spans="1:6" x14ac:dyDescent="0.45">
      <c r="A4876">
        <v>40</v>
      </c>
      <c r="B4876">
        <v>12</v>
      </c>
      <c r="C4876">
        <v>33000</v>
      </c>
      <c r="D4876" t="s">
        <v>76</v>
      </c>
      <c r="E4876" t="s">
        <v>74</v>
      </c>
      <c r="F4876" t="s">
        <v>80</v>
      </c>
    </row>
    <row r="4877" spans="1:6" x14ac:dyDescent="0.45">
      <c r="A4877">
        <v>44</v>
      </c>
      <c r="B4877">
        <v>12</v>
      </c>
      <c r="C4877">
        <v>33000</v>
      </c>
      <c r="D4877" t="s">
        <v>71</v>
      </c>
      <c r="E4877" t="s">
        <v>74</v>
      </c>
      <c r="F4877" t="s">
        <v>80</v>
      </c>
    </row>
    <row r="4878" spans="1:6" x14ac:dyDescent="0.45">
      <c r="A4878">
        <v>40</v>
      </c>
      <c r="B4878">
        <v>12</v>
      </c>
      <c r="C4878">
        <v>33000</v>
      </c>
      <c r="D4878" t="s">
        <v>71</v>
      </c>
      <c r="E4878" t="s">
        <v>74</v>
      </c>
      <c r="F4878" t="s">
        <v>80</v>
      </c>
    </row>
    <row r="4879" spans="1:6" x14ac:dyDescent="0.45">
      <c r="A4879">
        <v>40</v>
      </c>
      <c r="B4879">
        <v>12</v>
      </c>
      <c r="C4879">
        <v>33000</v>
      </c>
      <c r="D4879" t="s">
        <v>71</v>
      </c>
      <c r="E4879" t="s">
        <v>74</v>
      </c>
      <c r="F4879" t="s">
        <v>80</v>
      </c>
    </row>
    <row r="4880" spans="1:6" x14ac:dyDescent="0.45">
      <c r="A4880">
        <v>40</v>
      </c>
      <c r="B4880">
        <v>12</v>
      </c>
      <c r="C4880">
        <v>33000</v>
      </c>
      <c r="D4880" t="s">
        <v>71</v>
      </c>
      <c r="E4880" t="s">
        <v>74</v>
      </c>
      <c r="F4880" t="s">
        <v>80</v>
      </c>
    </row>
    <row r="4881" spans="1:6" x14ac:dyDescent="0.45">
      <c r="A4881">
        <v>44</v>
      </c>
      <c r="B4881">
        <v>12</v>
      </c>
      <c r="C4881">
        <v>33200</v>
      </c>
      <c r="D4881" t="s">
        <v>71</v>
      </c>
      <c r="E4881" t="s">
        <v>72</v>
      </c>
      <c r="F4881" t="s">
        <v>80</v>
      </c>
    </row>
    <row r="4882" spans="1:6" x14ac:dyDescent="0.45">
      <c r="A4882">
        <v>40</v>
      </c>
      <c r="B4882">
        <v>12</v>
      </c>
      <c r="C4882">
        <v>33279</v>
      </c>
      <c r="D4882" t="s">
        <v>71</v>
      </c>
      <c r="E4882" t="s">
        <v>74</v>
      </c>
      <c r="F4882" t="s">
        <v>80</v>
      </c>
    </row>
    <row r="4883" spans="1:6" x14ac:dyDescent="0.45">
      <c r="A4883">
        <v>40</v>
      </c>
      <c r="B4883">
        <v>12</v>
      </c>
      <c r="C4883">
        <v>33300</v>
      </c>
      <c r="D4883" t="s">
        <v>71</v>
      </c>
      <c r="E4883" t="s">
        <v>72</v>
      </c>
      <c r="F4883" t="s">
        <v>80</v>
      </c>
    </row>
    <row r="4884" spans="1:6" x14ac:dyDescent="0.45">
      <c r="A4884">
        <v>45</v>
      </c>
      <c r="B4884">
        <v>12</v>
      </c>
      <c r="C4884">
        <v>33600</v>
      </c>
      <c r="D4884" t="s">
        <v>71</v>
      </c>
      <c r="E4884" t="s">
        <v>72</v>
      </c>
      <c r="F4884" t="s">
        <v>80</v>
      </c>
    </row>
    <row r="4885" spans="1:6" x14ac:dyDescent="0.45">
      <c r="A4885">
        <v>40</v>
      </c>
      <c r="B4885">
        <v>12</v>
      </c>
      <c r="C4885">
        <v>33600</v>
      </c>
      <c r="D4885" t="s">
        <v>71</v>
      </c>
      <c r="E4885" t="s">
        <v>72</v>
      </c>
      <c r="F4885" t="s">
        <v>80</v>
      </c>
    </row>
    <row r="4886" spans="1:6" x14ac:dyDescent="0.45">
      <c r="A4886">
        <v>55</v>
      </c>
      <c r="B4886">
        <v>12</v>
      </c>
      <c r="C4886">
        <v>33606</v>
      </c>
      <c r="D4886" t="s">
        <v>71</v>
      </c>
      <c r="E4886" t="s">
        <v>74</v>
      </c>
      <c r="F4886" t="s">
        <v>80</v>
      </c>
    </row>
    <row r="4887" spans="1:6" x14ac:dyDescent="0.45">
      <c r="A4887">
        <v>60</v>
      </c>
      <c r="B4887">
        <v>12</v>
      </c>
      <c r="C4887">
        <v>33700</v>
      </c>
      <c r="D4887" t="s">
        <v>71</v>
      </c>
      <c r="E4887" t="s">
        <v>74</v>
      </c>
      <c r="F4887" t="s">
        <v>80</v>
      </c>
    </row>
    <row r="4888" spans="1:6" x14ac:dyDescent="0.45">
      <c r="A4888">
        <v>40</v>
      </c>
      <c r="B4888">
        <v>12</v>
      </c>
      <c r="C4888">
        <v>33780</v>
      </c>
      <c r="D4888" t="s">
        <v>71</v>
      </c>
      <c r="E4888" t="s">
        <v>74</v>
      </c>
      <c r="F4888" t="s">
        <v>80</v>
      </c>
    </row>
    <row r="4889" spans="1:6" x14ac:dyDescent="0.45">
      <c r="A4889">
        <v>40</v>
      </c>
      <c r="B4889">
        <v>12</v>
      </c>
      <c r="C4889">
        <v>33780</v>
      </c>
      <c r="D4889" t="s">
        <v>71</v>
      </c>
      <c r="E4889" t="s">
        <v>74</v>
      </c>
      <c r="F4889" t="s">
        <v>80</v>
      </c>
    </row>
    <row r="4890" spans="1:6" x14ac:dyDescent="0.45">
      <c r="A4890">
        <v>45</v>
      </c>
      <c r="B4890">
        <v>12</v>
      </c>
      <c r="C4890">
        <v>33800</v>
      </c>
      <c r="D4890" t="s">
        <v>71</v>
      </c>
      <c r="E4890" t="s">
        <v>74</v>
      </c>
      <c r="F4890" t="s">
        <v>80</v>
      </c>
    </row>
    <row r="4891" spans="1:6" x14ac:dyDescent="0.45">
      <c r="A4891">
        <v>50</v>
      </c>
      <c r="B4891">
        <v>12</v>
      </c>
      <c r="C4891">
        <v>33800</v>
      </c>
      <c r="D4891" t="s">
        <v>71</v>
      </c>
      <c r="E4891" t="s">
        <v>74</v>
      </c>
      <c r="F4891" t="s">
        <v>80</v>
      </c>
    </row>
    <row r="4892" spans="1:6" x14ac:dyDescent="0.45">
      <c r="A4892">
        <v>40</v>
      </c>
      <c r="B4892">
        <v>12</v>
      </c>
      <c r="C4892">
        <v>34000</v>
      </c>
      <c r="D4892" t="s">
        <v>71</v>
      </c>
      <c r="E4892" t="s">
        <v>74</v>
      </c>
      <c r="F4892" t="s">
        <v>80</v>
      </c>
    </row>
    <row r="4893" spans="1:6" x14ac:dyDescent="0.45">
      <c r="A4893">
        <v>40</v>
      </c>
      <c r="B4893">
        <v>12</v>
      </c>
      <c r="C4893">
        <v>34000</v>
      </c>
      <c r="D4893" t="s">
        <v>76</v>
      </c>
      <c r="E4893" t="s">
        <v>72</v>
      </c>
      <c r="F4893" t="s">
        <v>80</v>
      </c>
    </row>
    <row r="4894" spans="1:6" x14ac:dyDescent="0.45">
      <c r="A4894">
        <v>40</v>
      </c>
      <c r="B4894">
        <v>12</v>
      </c>
      <c r="C4894">
        <v>34000</v>
      </c>
      <c r="D4894" t="s">
        <v>76</v>
      </c>
      <c r="E4894" t="s">
        <v>72</v>
      </c>
      <c r="F4894" t="s">
        <v>80</v>
      </c>
    </row>
    <row r="4895" spans="1:6" x14ac:dyDescent="0.45">
      <c r="A4895">
        <v>45</v>
      </c>
      <c r="B4895">
        <v>12</v>
      </c>
      <c r="C4895">
        <v>34000</v>
      </c>
      <c r="D4895" t="s">
        <v>71</v>
      </c>
      <c r="E4895" t="s">
        <v>72</v>
      </c>
      <c r="F4895" t="s">
        <v>80</v>
      </c>
    </row>
    <row r="4896" spans="1:6" x14ac:dyDescent="0.45">
      <c r="A4896">
        <v>45</v>
      </c>
      <c r="B4896">
        <v>12</v>
      </c>
      <c r="C4896">
        <v>34000</v>
      </c>
      <c r="D4896" t="s">
        <v>71</v>
      </c>
      <c r="E4896" t="s">
        <v>74</v>
      </c>
      <c r="F4896" t="s">
        <v>80</v>
      </c>
    </row>
    <row r="4897" spans="1:6" x14ac:dyDescent="0.45">
      <c r="A4897">
        <v>50</v>
      </c>
      <c r="B4897">
        <v>12</v>
      </c>
      <c r="C4897">
        <v>34000</v>
      </c>
      <c r="D4897" t="s">
        <v>71</v>
      </c>
      <c r="E4897" t="s">
        <v>74</v>
      </c>
      <c r="F4897" t="s">
        <v>80</v>
      </c>
    </row>
    <row r="4898" spans="1:6" x14ac:dyDescent="0.45">
      <c r="A4898">
        <v>40</v>
      </c>
      <c r="B4898">
        <v>12</v>
      </c>
      <c r="C4898">
        <v>34000</v>
      </c>
      <c r="D4898" t="s">
        <v>71</v>
      </c>
      <c r="E4898" t="s">
        <v>74</v>
      </c>
      <c r="F4898" t="s">
        <v>80</v>
      </c>
    </row>
    <row r="4899" spans="1:6" x14ac:dyDescent="0.45">
      <c r="A4899">
        <v>50</v>
      </c>
      <c r="B4899">
        <v>12</v>
      </c>
      <c r="C4899">
        <v>34000</v>
      </c>
      <c r="D4899" t="s">
        <v>71</v>
      </c>
      <c r="E4899" t="s">
        <v>74</v>
      </c>
      <c r="F4899" t="s">
        <v>80</v>
      </c>
    </row>
    <row r="4900" spans="1:6" x14ac:dyDescent="0.45">
      <c r="A4900">
        <v>40</v>
      </c>
      <c r="B4900">
        <v>12</v>
      </c>
      <c r="C4900">
        <v>34000</v>
      </c>
      <c r="D4900" t="s">
        <v>76</v>
      </c>
      <c r="E4900" t="s">
        <v>74</v>
      </c>
      <c r="F4900" t="s">
        <v>80</v>
      </c>
    </row>
    <row r="4901" spans="1:6" x14ac:dyDescent="0.45">
      <c r="A4901">
        <v>60</v>
      </c>
      <c r="B4901">
        <v>12</v>
      </c>
      <c r="C4901">
        <v>34000</v>
      </c>
      <c r="D4901" t="s">
        <v>71</v>
      </c>
      <c r="E4901" t="s">
        <v>74</v>
      </c>
      <c r="F4901" t="s">
        <v>80</v>
      </c>
    </row>
    <row r="4902" spans="1:6" x14ac:dyDescent="0.45">
      <c r="A4902">
        <v>50</v>
      </c>
      <c r="B4902">
        <v>12</v>
      </c>
      <c r="C4902">
        <v>34000</v>
      </c>
      <c r="D4902" t="s">
        <v>71</v>
      </c>
      <c r="E4902" t="s">
        <v>74</v>
      </c>
      <c r="F4902" t="s">
        <v>80</v>
      </c>
    </row>
    <row r="4903" spans="1:6" x14ac:dyDescent="0.45">
      <c r="A4903">
        <v>40</v>
      </c>
      <c r="B4903">
        <v>12</v>
      </c>
      <c r="C4903">
        <v>34000</v>
      </c>
      <c r="D4903" t="s">
        <v>71</v>
      </c>
      <c r="E4903" t="s">
        <v>74</v>
      </c>
      <c r="F4903" t="s">
        <v>80</v>
      </c>
    </row>
    <row r="4904" spans="1:6" x14ac:dyDescent="0.45">
      <c r="A4904">
        <v>40</v>
      </c>
      <c r="B4904">
        <v>12</v>
      </c>
      <c r="C4904">
        <v>34000</v>
      </c>
      <c r="D4904" t="s">
        <v>71</v>
      </c>
      <c r="E4904" t="s">
        <v>74</v>
      </c>
      <c r="F4904" t="s">
        <v>80</v>
      </c>
    </row>
    <row r="4905" spans="1:6" x14ac:dyDescent="0.45">
      <c r="A4905">
        <v>80</v>
      </c>
      <c r="B4905">
        <v>12</v>
      </c>
      <c r="C4905">
        <v>34000</v>
      </c>
      <c r="D4905" t="s">
        <v>71</v>
      </c>
      <c r="E4905" t="s">
        <v>74</v>
      </c>
      <c r="F4905" t="s">
        <v>80</v>
      </c>
    </row>
    <row r="4906" spans="1:6" x14ac:dyDescent="0.45">
      <c r="A4906">
        <v>40</v>
      </c>
      <c r="B4906">
        <v>12</v>
      </c>
      <c r="C4906">
        <v>34000</v>
      </c>
      <c r="D4906" t="s">
        <v>71</v>
      </c>
      <c r="E4906" t="s">
        <v>74</v>
      </c>
      <c r="F4906" t="s">
        <v>80</v>
      </c>
    </row>
    <row r="4907" spans="1:6" x14ac:dyDescent="0.45">
      <c r="A4907">
        <v>40</v>
      </c>
      <c r="B4907">
        <v>12</v>
      </c>
      <c r="C4907">
        <v>34000</v>
      </c>
      <c r="D4907" t="s">
        <v>71</v>
      </c>
      <c r="E4907" t="s">
        <v>74</v>
      </c>
      <c r="F4907" t="s">
        <v>80</v>
      </c>
    </row>
    <row r="4908" spans="1:6" x14ac:dyDescent="0.45">
      <c r="A4908">
        <v>53</v>
      </c>
      <c r="B4908">
        <v>12</v>
      </c>
      <c r="C4908">
        <v>34000</v>
      </c>
      <c r="D4908" t="s">
        <v>71</v>
      </c>
      <c r="E4908" t="s">
        <v>74</v>
      </c>
      <c r="F4908" t="s">
        <v>80</v>
      </c>
    </row>
    <row r="4909" spans="1:6" x14ac:dyDescent="0.45">
      <c r="A4909">
        <v>45</v>
      </c>
      <c r="B4909">
        <v>12</v>
      </c>
      <c r="C4909">
        <v>34000</v>
      </c>
      <c r="D4909" t="s">
        <v>71</v>
      </c>
      <c r="E4909" t="s">
        <v>74</v>
      </c>
      <c r="F4909" t="s">
        <v>80</v>
      </c>
    </row>
    <row r="4910" spans="1:6" x14ac:dyDescent="0.45">
      <c r="A4910">
        <v>40</v>
      </c>
      <c r="B4910">
        <v>12</v>
      </c>
      <c r="C4910">
        <v>34000</v>
      </c>
      <c r="D4910" t="s">
        <v>71</v>
      </c>
      <c r="E4910" t="s">
        <v>74</v>
      </c>
      <c r="F4910" t="s">
        <v>80</v>
      </c>
    </row>
    <row r="4911" spans="1:6" x14ac:dyDescent="0.45">
      <c r="A4911">
        <v>50</v>
      </c>
      <c r="B4911">
        <v>12</v>
      </c>
      <c r="C4911">
        <v>34500</v>
      </c>
      <c r="D4911" t="s">
        <v>71</v>
      </c>
      <c r="E4911" t="s">
        <v>72</v>
      </c>
      <c r="F4911" t="s">
        <v>80</v>
      </c>
    </row>
    <row r="4912" spans="1:6" x14ac:dyDescent="0.45">
      <c r="A4912">
        <v>40</v>
      </c>
      <c r="B4912">
        <v>12</v>
      </c>
      <c r="C4912">
        <v>34892</v>
      </c>
      <c r="D4912" t="s">
        <v>71</v>
      </c>
      <c r="E4912" t="s">
        <v>72</v>
      </c>
      <c r="F4912" t="s">
        <v>80</v>
      </c>
    </row>
    <row r="4913" spans="1:6" x14ac:dyDescent="0.45">
      <c r="A4913">
        <v>0</v>
      </c>
      <c r="B4913">
        <v>12</v>
      </c>
      <c r="C4913">
        <v>34900</v>
      </c>
      <c r="D4913" t="s">
        <v>71</v>
      </c>
      <c r="E4913" t="s">
        <v>74</v>
      </c>
      <c r="F4913" t="s">
        <v>80</v>
      </c>
    </row>
    <row r="4914" spans="1:6" x14ac:dyDescent="0.45">
      <c r="A4914">
        <v>40</v>
      </c>
      <c r="B4914">
        <v>12</v>
      </c>
      <c r="C4914">
        <v>35000</v>
      </c>
      <c r="D4914" t="s">
        <v>71</v>
      </c>
      <c r="E4914" t="s">
        <v>74</v>
      </c>
      <c r="F4914" t="s">
        <v>80</v>
      </c>
    </row>
    <row r="4915" spans="1:6" x14ac:dyDescent="0.45">
      <c r="A4915">
        <v>40</v>
      </c>
      <c r="B4915">
        <v>12</v>
      </c>
      <c r="C4915">
        <v>35000</v>
      </c>
      <c r="D4915" t="s">
        <v>71</v>
      </c>
      <c r="E4915" t="s">
        <v>72</v>
      </c>
      <c r="F4915" t="s">
        <v>80</v>
      </c>
    </row>
    <row r="4916" spans="1:6" x14ac:dyDescent="0.45">
      <c r="A4916">
        <v>64</v>
      </c>
      <c r="B4916">
        <v>12</v>
      </c>
      <c r="C4916">
        <v>35000</v>
      </c>
      <c r="D4916" t="s">
        <v>71</v>
      </c>
      <c r="E4916" t="s">
        <v>72</v>
      </c>
      <c r="F4916" t="s">
        <v>80</v>
      </c>
    </row>
    <row r="4917" spans="1:6" x14ac:dyDescent="0.45">
      <c r="A4917">
        <v>40</v>
      </c>
      <c r="B4917">
        <v>12</v>
      </c>
      <c r="C4917">
        <v>35000</v>
      </c>
      <c r="D4917" t="s">
        <v>71</v>
      </c>
      <c r="E4917" t="s">
        <v>74</v>
      </c>
      <c r="F4917" t="s">
        <v>80</v>
      </c>
    </row>
    <row r="4918" spans="1:6" x14ac:dyDescent="0.45">
      <c r="A4918">
        <v>40</v>
      </c>
      <c r="B4918">
        <v>12</v>
      </c>
      <c r="C4918">
        <v>35000</v>
      </c>
      <c r="D4918" t="s">
        <v>71</v>
      </c>
      <c r="E4918" t="s">
        <v>74</v>
      </c>
      <c r="F4918" t="s">
        <v>80</v>
      </c>
    </row>
    <row r="4919" spans="1:6" x14ac:dyDescent="0.45">
      <c r="A4919">
        <v>40</v>
      </c>
      <c r="B4919">
        <v>12</v>
      </c>
      <c r="C4919">
        <v>35000</v>
      </c>
      <c r="D4919" t="s">
        <v>71</v>
      </c>
      <c r="E4919" t="s">
        <v>72</v>
      </c>
      <c r="F4919" t="s">
        <v>80</v>
      </c>
    </row>
    <row r="4920" spans="1:6" x14ac:dyDescent="0.45">
      <c r="A4920">
        <v>40</v>
      </c>
      <c r="B4920">
        <v>12</v>
      </c>
      <c r="C4920">
        <v>35000</v>
      </c>
      <c r="D4920" t="s">
        <v>71</v>
      </c>
      <c r="E4920" t="s">
        <v>72</v>
      </c>
      <c r="F4920" t="s">
        <v>80</v>
      </c>
    </row>
    <row r="4921" spans="1:6" x14ac:dyDescent="0.45">
      <c r="A4921">
        <v>40</v>
      </c>
      <c r="B4921">
        <v>12</v>
      </c>
      <c r="C4921">
        <v>35000</v>
      </c>
      <c r="D4921" t="s">
        <v>71</v>
      </c>
      <c r="E4921" t="s">
        <v>72</v>
      </c>
      <c r="F4921" t="s">
        <v>80</v>
      </c>
    </row>
    <row r="4922" spans="1:6" x14ac:dyDescent="0.45">
      <c r="A4922">
        <v>50</v>
      </c>
      <c r="B4922">
        <v>12</v>
      </c>
      <c r="C4922">
        <v>35000</v>
      </c>
      <c r="D4922" t="s">
        <v>71</v>
      </c>
      <c r="E4922" t="s">
        <v>72</v>
      </c>
      <c r="F4922" t="s">
        <v>80</v>
      </c>
    </row>
    <row r="4923" spans="1:6" x14ac:dyDescent="0.45">
      <c r="A4923">
        <v>40</v>
      </c>
      <c r="B4923">
        <v>12</v>
      </c>
      <c r="C4923">
        <v>35000</v>
      </c>
      <c r="D4923" t="s">
        <v>71</v>
      </c>
      <c r="E4923" t="s">
        <v>72</v>
      </c>
      <c r="F4923" t="s">
        <v>80</v>
      </c>
    </row>
    <row r="4924" spans="1:6" x14ac:dyDescent="0.45">
      <c r="A4924">
        <v>40</v>
      </c>
      <c r="B4924">
        <v>12</v>
      </c>
      <c r="C4924">
        <v>35000</v>
      </c>
      <c r="D4924" t="s">
        <v>71</v>
      </c>
      <c r="E4924" t="s">
        <v>74</v>
      </c>
      <c r="F4924" t="s">
        <v>80</v>
      </c>
    </row>
    <row r="4925" spans="1:6" x14ac:dyDescent="0.45">
      <c r="A4925">
        <v>40</v>
      </c>
      <c r="B4925">
        <v>12</v>
      </c>
      <c r="C4925">
        <v>35000</v>
      </c>
      <c r="D4925" t="s">
        <v>71</v>
      </c>
      <c r="E4925" t="s">
        <v>74</v>
      </c>
      <c r="F4925" t="s">
        <v>80</v>
      </c>
    </row>
    <row r="4926" spans="1:6" x14ac:dyDescent="0.45">
      <c r="A4926">
        <v>40</v>
      </c>
      <c r="B4926">
        <v>12</v>
      </c>
      <c r="C4926">
        <v>35000</v>
      </c>
      <c r="D4926" t="s">
        <v>71</v>
      </c>
      <c r="E4926" t="s">
        <v>74</v>
      </c>
      <c r="F4926" t="s">
        <v>80</v>
      </c>
    </row>
    <row r="4927" spans="1:6" x14ac:dyDescent="0.45">
      <c r="A4927">
        <v>40</v>
      </c>
      <c r="B4927">
        <v>12</v>
      </c>
      <c r="C4927">
        <v>35000</v>
      </c>
      <c r="D4927" t="s">
        <v>71</v>
      </c>
      <c r="E4927" t="s">
        <v>72</v>
      </c>
      <c r="F4927" t="s">
        <v>80</v>
      </c>
    </row>
    <row r="4928" spans="1:6" x14ac:dyDescent="0.45">
      <c r="A4928">
        <v>50</v>
      </c>
      <c r="B4928">
        <v>12</v>
      </c>
      <c r="C4928">
        <v>35000</v>
      </c>
      <c r="D4928" t="s">
        <v>71</v>
      </c>
      <c r="E4928" t="s">
        <v>72</v>
      </c>
      <c r="F4928" t="s">
        <v>80</v>
      </c>
    </row>
    <row r="4929" spans="1:6" x14ac:dyDescent="0.45">
      <c r="A4929">
        <v>40</v>
      </c>
      <c r="B4929">
        <v>12</v>
      </c>
      <c r="C4929">
        <v>35000</v>
      </c>
      <c r="D4929" t="s">
        <v>71</v>
      </c>
      <c r="E4929" t="s">
        <v>74</v>
      </c>
      <c r="F4929" t="s">
        <v>80</v>
      </c>
    </row>
    <row r="4930" spans="1:6" x14ac:dyDescent="0.45">
      <c r="A4930">
        <v>40</v>
      </c>
      <c r="B4930">
        <v>12</v>
      </c>
      <c r="C4930">
        <v>35000</v>
      </c>
      <c r="D4930" t="s">
        <v>71</v>
      </c>
      <c r="E4930" t="s">
        <v>74</v>
      </c>
      <c r="F4930" t="s">
        <v>80</v>
      </c>
    </row>
    <row r="4931" spans="1:6" x14ac:dyDescent="0.45">
      <c r="A4931">
        <v>65</v>
      </c>
      <c r="B4931">
        <v>12</v>
      </c>
      <c r="C4931">
        <v>35000</v>
      </c>
      <c r="D4931" t="s">
        <v>71</v>
      </c>
      <c r="E4931" t="s">
        <v>74</v>
      </c>
      <c r="F4931" t="s">
        <v>80</v>
      </c>
    </row>
    <row r="4932" spans="1:6" x14ac:dyDescent="0.45">
      <c r="A4932">
        <v>40</v>
      </c>
      <c r="B4932">
        <v>12</v>
      </c>
      <c r="C4932">
        <v>35000</v>
      </c>
      <c r="D4932" t="s">
        <v>71</v>
      </c>
      <c r="E4932" t="s">
        <v>74</v>
      </c>
      <c r="F4932" t="s">
        <v>80</v>
      </c>
    </row>
    <row r="4933" spans="1:6" x14ac:dyDescent="0.45">
      <c r="A4933">
        <v>40</v>
      </c>
      <c r="B4933">
        <v>12</v>
      </c>
      <c r="C4933">
        <v>35000</v>
      </c>
      <c r="D4933" t="s">
        <v>71</v>
      </c>
      <c r="E4933" t="s">
        <v>74</v>
      </c>
      <c r="F4933" t="s">
        <v>80</v>
      </c>
    </row>
    <row r="4934" spans="1:6" x14ac:dyDescent="0.45">
      <c r="A4934">
        <v>40</v>
      </c>
      <c r="B4934">
        <v>12</v>
      </c>
      <c r="C4934">
        <v>35000</v>
      </c>
      <c r="D4934" t="s">
        <v>71</v>
      </c>
      <c r="E4934" t="s">
        <v>74</v>
      </c>
      <c r="F4934" t="s">
        <v>80</v>
      </c>
    </row>
    <row r="4935" spans="1:6" x14ac:dyDescent="0.45">
      <c r="A4935">
        <v>40</v>
      </c>
      <c r="B4935">
        <v>12</v>
      </c>
      <c r="C4935">
        <v>35000</v>
      </c>
      <c r="D4935" t="s">
        <v>71</v>
      </c>
      <c r="E4935" t="s">
        <v>74</v>
      </c>
      <c r="F4935" t="s">
        <v>80</v>
      </c>
    </row>
    <row r="4936" spans="1:6" x14ac:dyDescent="0.45">
      <c r="A4936">
        <v>40</v>
      </c>
      <c r="B4936">
        <v>12</v>
      </c>
      <c r="C4936">
        <v>35000</v>
      </c>
      <c r="D4936" t="s">
        <v>71</v>
      </c>
      <c r="E4936" t="s">
        <v>74</v>
      </c>
      <c r="F4936" t="s">
        <v>80</v>
      </c>
    </row>
    <row r="4937" spans="1:6" x14ac:dyDescent="0.45">
      <c r="A4937">
        <v>60</v>
      </c>
      <c r="B4937">
        <v>12</v>
      </c>
      <c r="C4937">
        <v>35000</v>
      </c>
      <c r="D4937" t="s">
        <v>71</v>
      </c>
      <c r="E4937" t="s">
        <v>72</v>
      </c>
      <c r="F4937" t="s">
        <v>80</v>
      </c>
    </row>
    <row r="4938" spans="1:6" x14ac:dyDescent="0.45">
      <c r="A4938">
        <v>40</v>
      </c>
      <c r="B4938">
        <v>12</v>
      </c>
      <c r="C4938">
        <v>35000</v>
      </c>
      <c r="D4938" t="s">
        <v>71</v>
      </c>
      <c r="E4938" t="s">
        <v>72</v>
      </c>
      <c r="F4938" t="s">
        <v>80</v>
      </c>
    </row>
    <row r="4939" spans="1:6" x14ac:dyDescent="0.45">
      <c r="A4939">
        <v>40</v>
      </c>
      <c r="B4939">
        <v>12</v>
      </c>
      <c r="C4939">
        <v>35000</v>
      </c>
      <c r="D4939" t="s">
        <v>71</v>
      </c>
      <c r="E4939" t="s">
        <v>74</v>
      </c>
      <c r="F4939" t="s">
        <v>80</v>
      </c>
    </row>
    <row r="4940" spans="1:6" x14ac:dyDescent="0.45">
      <c r="A4940">
        <v>40</v>
      </c>
      <c r="B4940">
        <v>12</v>
      </c>
      <c r="C4940">
        <v>35000</v>
      </c>
      <c r="D4940" t="s">
        <v>71</v>
      </c>
      <c r="E4940" t="s">
        <v>74</v>
      </c>
      <c r="F4940" t="s">
        <v>80</v>
      </c>
    </row>
    <row r="4941" spans="1:6" x14ac:dyDescent="0.45">
      <c r="A4941">
        <v>40</v>
      </c>
      <c r="B4941">
        <v>12</v>
      </c>
      <c r="C4941">
        <v>35000</v>
      </c>
      <c r="D4941" t="s">
        <v>71</v>
      </c>
      <c r="E4941" t="s">
        <v>74</v>
      </c>
      <c r="F4941" t="s">
        <v>80</v>
      </c>
    </row>
    <row r="4942" spans="1:6" x14ac:dyDescent="0.45">
      <c r="A4942">
        <v>40</v>
      </c>
      <c r="B4942">
        <v>12</v>
      </c>
      <c r="C4942">
        <v>35000</v>
      </c>
      <c r="D4942" t="s">
        <v>71</v>
      </c>
      <c r="E4942" t="s">
        <v>74</v>
      </c>
      <c r="F4942" t="s">
        <v>80</v>
      </c>
    </row>
    <row r="4943" spans="1:6" x14ac:dyDescent="0.45">
      <c r="A4943">
        <v>40</v>
      </c>
      <c r="B4943">
        <v>12</v>
      </c>
      <c r="C4943">
        <v>35000</v>
      </c>
      <c r="D4943" t="s">
        <v>71</v>
      </c>
      <c r="E4943" t="s">
        <v>72</v>
      </c>
      <c r="F4943" t="s">
        <v>80</v>
      </c>
    </row>
    <row r="4944" spans="1:6" x14ac:dyDescent="0.45">
      <c r="A4944">
        <v>40</v>
      </c>
      <c r="B4944">
        <v>12</v>
      </c>
      <c r="C4944">
        <v>35000</v>
      </c>
      <c r="D4944" t="s">
        <v>71</v>
      </c>
      <c r="E4944" t="s">
        <v>74</v>
      </c>
      <c r="F4944" t="s">
        <v>80</v>
      </c>
    </row>
    <row r="4945" spans="1:6" x14ac:dyDescent="0.45">
      <c r="A4945">
        <v>40</v>
      </c>
      <c r="B4945">
        <v>12</v>
      </c>
      <c r="C4945">
        <v>35000</v>
      </c>
      <c r="D4945" t="s">
        <v>76</v>
      </c>
      <c r="E4945" t="s">
        <v>74</v>
      </c>
      <c r="F4945" t="s">
        <v>80</v>
      </c>
    </row>
    <row r="4946" spans="1:6" x14ac:dyDescent="0.45">
      <c r="A4946">
        <v>0</v>
      </c>
      <c r="B4946">
        <v>12</v>
      </c>
      <c r="C4946">
        <v>35000</v>
      </c>
      <c r="D4946" t="s">
        <v>71</v>
      </c>
      <c r="E4946" t="s">
        <v>74</v>
      </c>
      <c r="F4946" t="s">
        <v>80</v>
      </c>
    </row>
    <row r="4947" spans="1:6" x14ac:dyDescent="0.45">
      <c r="A4947">
        <v>40</v>
      </c>
      <c r="B4947">
        <v>12</v>
      </c>
      <c r="C4947">
        <v>35000</v>
      </c>
      <c r="D4947" t="s">
        <v>71</v>
      </c>
      <c r="E4947" t="s">
        <v>72</v>
      </c>
      <c r="F4947" t="s">
        <v>80</v>
      </c>
    </row>
    <row r="4948" spans="1:6" x14ac:dyDescent="0.45">
      <c r="A4948">
        <v>40</v>
      </c>
      <c r="B4948">
        <v>12</v>
      </c>
      <c r="C4948">
        <v>35000</v>
      </c>
      <c r="D4948" t="s">
        <v>71</v>
      </c>
      <c r="E4948" t="s">
        <v>74</v>
      </c>
      <c r="F4948" t="s">
        <v>80</v>
      </c>
    </row>
    <row r="4949" spans="1:6" x14ac:dyDescent="0.45">
      <c r="A4949">
        <v>46</v>
      </c>
      <c r="B4949">
        <v>12</v>
      </c>
      <c r="C4949">
        <v>35000</v>
      </c>
      <c r="D4949" t="s">
        <v>71</v>
      </c>
      <c r="E4949" t="s">
        <v>74</v>
      </c>
      <c r="F4949" t="s">
        <v>80</v>
      </c>
    </row>
    <row r="4950" spans="1:6" x14ac:dyDescent="0.45">
      <c r="A4950">
        <v>40</v>
      </c>
      <c r="B4950">
        <v>12</v>
      </c>
      <c r="C4950">
        <v>35000</v>
      </c>
      <c r="D4950" t="s">
        <v>71</v>
      </c>
      <c r="E4950" t="s">
        <v>72</v>
      </c>
      <c r="F4950" t="s">
        <v>80</v>
      </c>
    </row>
    <row r="4951" spans="1:6" x14ac:dyDescent="0.45">
      <c r="A4951">
        <v>40</v>
      </c>
      <c r="B4951">
        <v>12</v>
      </c>
      <c r="C4951">
        <v>35000</v>
      </c>
      <c r="D4951" t="s">
        <v>76</v>
      </c>
      <c r="E4951" t="s">
        <v>74</v>
      </c>
      <c r="F4951" t="s">
        <v>80</v>
      </c>
    </row>
    <row r="4952" spans="1:6" x14ac:dyDescent="0.45">
      <c r="A4952">
        <v>40</v>
      </c>
      <c r="B4952">
        <v>12</v>
      </c>
      <c r="C4952">
        <v>35000</v>
      </c>
      <c r="D4952" t="s">
        <v>71</v>
      </c>
      <c r="E4952" t="s">
        <v>72</v>
      </c>
      <c r="F4952" t="s">
        <v>80</v>
      </c>
    </row>
    <row r="4953" spans="1:6" x14ac:dyDescent="0.45">
      <c r="A4953">
        <v>40</v>
      </c>
      <c r="B4953">
        <v>12</v>
      </c>
      <c r="C4953">
        <v>35000</v>
      </c>
      <c r="D4953" t="s">
        <v>71</v>
      </c>
      <c r="E4953" t="s">
        <v>74</v>
      </c>
      <c r="F4953" t="s">
        <v>80</v>
      </c>
    </row>
    <row r="4954" spans="1:6" x14ac:dyDescent="0.45">
      <c r="A4954">
        <v>50</v>
      </c>
      <c r="B4954">
        <v>12</v>
      </c>
      <c r="C4954">
        <v>35000</v>
      </c>
      <c r="D4954" t="s">
        <v>71</v>
      </c>
      <c r="E4954" t="s">
        <v>72</v>
      </c>
      <c r="F4954" t="s">
        <v>80</v>
      </c>
    </row>
    <row r="4955" spans="1:6" x14ac:dyDescent="0.45">
      <c r="A4955">
        <v>40</v>
      </c>
      <c r="B4955">
        <v>12</v>
      </c>
      <c r="C4955">
        <v>35000</v>
      </c>
      <c r="D4955" t="s">
        <v>71</v>
      </c>
      <c r="E4955" t="s">
        <v>74</v>
      </c>
      <c r="F4955" t="s">
        <v>80</v>
      </c>
    </row>
    <row r="4956" spans="1:6" x14ac:dyDescent="0.45">
      <c r="A4956">
        <v>40</v>
      </c>
      <c r="B4956">
        <v>12</v>
      </c>
      <c r="C4956">
        <v>35000</v>
      </c>
      <c r="D4956" t="s">
        <v>76</v>
      </c>
      <c r="E4956" t="s">
        <v>72</v>
      </c>
      <c r="F4956" t="s">
        <v>80</v>
      </c>
    </row>
    <row r="4957" spans="1:6" x14ac:dyDescent="0.45">
      <c r="A4957">
        <v>40</v>
      </c>
      <c r="B4957">
        <v>12</v>
      </c>
      <c r="C4957">
        <v>35000</v>
      </c>
      <c r="D4957" t="s">
        <v>71</v>
      </c>
      <c r="E4957" t="s">
        <v>74</v>
      </c>
      <c r="F4957" t="s">
        <v>80</v>
      </c>
    </row>
    <row r="4958" spans="1:6" x14ac:dyDescent="0.45">
      <c r="A4958">
        <v>40</v>
      </c>
      <c r="B4958">
        <v>12</v>
      </c>
      <c r="C4958">
        <v>35000</v>
      </c>
      <c r="D4958" t="s">
        <v>71</v>
      </c>
      <c r="E4958" t="s">
        <v>74</v>
      </c>
      <c r="F4958" t="s">
        <v>80</v>
      </c>
    </row>
    <row r="4959" spans="1:6" x14ac:dyDescent="0.45">
      <c r="A4959">
        <v>80</v>
      </c>
      <c r="B4959">
        <v>12</v>
      </c>
      <c r="C4959">
        <v>35000</v>
      </c>
      <c r="D4959" t="s">
        <v>71</v>
      </c>
      <c r="E4959" t="s">
        <v>72</v>
      </c>
      <c r="F4959" t="s">
        <v>80</v>
      </c>
    </row>
    <row r="4960" spans="1:6" x14ac:dyDescent="0.45">
      <c r="A4960">
        <v>70</v>
      </c>
      <c r="B4960">
        <v>12</v>
      </c>
      <c r="C4960">
        <v>35000</v>
      </c>
      <c r="D4960" t="s">
        <v>71</v>
      </c>
      <c r="E4960" t="s">
        <v>74</v>
      </c>
      <c r="F4960" t="s">
        <v>80</v>
      </c>
    </row>
    <row r="4961" spans="1:6" x14ac:dyDescent="0.45">
      <c r="A4961">
        <v>40</v>
      </c>
      <c r="B4961">
        <v>12</v>
      </c>
      <c r="C4961">
        <v>35000</v>
      </c>
      <c r="D4961" t="s">
        <v>71</v>
      </c>
      <c r="E4961" t="s">
        <v>72</v>
      </c>
      <c r="F4961" t="s">
        <v>80</v>
      </c>
    </row>
    <row r="4962" spans="1:6" x14ac:dyDescent="0.45">
      <c r="A4962">
        <v>40</v>
      </c>
      <c r="B4962">
        <v>12</v>
      </c>
      <c r="C4962">
        <v>35000</v>
      </c>
      <c r="D4962" t="s">
        <v>71</v>
      </c>
      <c r="E4962" t="s">
        <v>72</v>
      </c>
      <c r="F4962" t="s">
        <v>80</v>
      </c>
    </row>
    <row r="4963" spans="1:6" x14ac:dyDescent="0.45">
      <c r="A4963">
        <v>40</v>
      </c>
      <c r="B4963">
        <v>12</v>
      </c>
      <c r="C4963">
        <v>35000</v>
      </c>
      <c r="D4963" t="s">
        <v>71</v>
      </c>
      <c r="E4963" t="s">
        <v>74</v>
      </c>
      <c r="F4963" t="s">
        <v>80</v>
      </c>
    </row>
    <row r="4964" spans="1:6" x14ac:dyDescent="0.45">
      <c r="A4964">
        <v>40</v>
      </c>
      <c r="B4964">
        <v>12</v>
      </c>
      <c r="C4964">
        <v>35000</v>
      </c>
      <c r="D4964" t="s">
        <v>71</v>
      </c>
      <c r="E4964" t="s">
        <v>74</v>
      </c>
      <c r="F4964" t="s">
        <v>80</v>
      </c>
    </row>
    <row r="4965" spans="1:6" x14ac:dyDescent="0.45">
      <c r="A4965">
        <v>40</v>
      </c>
      <c r="B4965">
        <v>12</v>
      </c>
      <c r="C4965">
        <v>35000</v>
      </c>
      <c r="D4965" t="s">
        <v>71</v>
      </c>
      <c r="E4965" t="s">
        <v>74</v>
      </c>
      <c r="F4965" t="s">
        <v>80</v>
      </c>
    </row>
    <row r="4966" spans="1:6" x14ac:dyDescent="0.45">
      <c r="A4966">
        <v>50</v>
      </c>
      <c r="B4966">
        <v>12</v>
      </c>
      <c r="C4966">
        <v>35000</v>
      </c>
      <c r="D4966" t="s">
        <v>71</v>
      </c>
      <c r="E4966" t="s">
        <v>74</v>
      </c>
      <c r="F4966" t="s">
        <v>80</v>
      </c>
    </row>
    <row r="4967" spans="1:6" x14ac:dyDescent="0.45">
      <c r="A4967">
        <v>40</v>
      </c>
      <c r="B4967">
        <v>12</v>
      </c>
      <c r="C4967">
        <v>35000</v>
      </c>
      <c r="D4967" t="s">
        <v>71</v>
      </c>
      <c r="E4967" t="s">
        <v>74</v>
      </c>
      <c r="F4967" t="s">
        <v>80</v>
      </c>
    </row>
    <row r="4968" spans="1:6" x14ac:dyDescent="0.45">
      <c r="A4968">
        <v>40</v>
      </c>
      <c r="B4968">
        <v>12</v>
      </c>
      <c r="C4968">
        <v>35000</v>
      </c>
      <c r="D4968" t="s">
        <v>76</v>
      </c>
      <c r="E4968" t="s">
        <v>74</v>
      </c>
      <c r="F4968" t="s">
        <v>80</v>
      </c>
    </row>
    <row r="4969" spans="1:6" x14ac:dyDescent="0.45">
      <c r="A4969">
        <v>40</v>
      </c>
      <c r="B4969">
        <v>12</v>
      </c>
      <c r="C4969">
        <v>35000</v>
      </c>
      <c r="D4969" t="s">
        <v>71</v>
      </c>
      <c r="E4969" t="s">
        <v>72</v>
      </c>
      <c r="F4969" t="s">
        <v>80</v>
      </c>
    </row>
    <row r="4970" spans="1:6" x14ac:dyDescent="0.45">
      <c r="A4970">
        <v>65</v>
      </c>
      <c r="B4970">
        <v>12</v>
      </c>
      <c r="C4970">
        <v>35000</v>
      </c>
      <c r="D4970" t="s">
        <v>71</v>
      </c>
      <c r="E4970" t="s">
        <v>74</v>
      </c>
      <c r="F4970" t="s">
        <v>80</v>
      </c>
    </row>
    <row r="4971" spans="1:6" x14ac:dyDescent="0.45">
      <c r="A4971">
        <v>40</v>
      </c>
      <c r="B4971">
        <v>12</v>
      </c>
      <c r="C4971">
        <v>35000</v>
      </c>
      <c r="D4971" t="s">
        <v>76</v>
      </c>
      <c r="E4971" t="s">
        <v>74</v>
      </c>
      <c r="F4971" t="s">
        <v>80</v>
      </c>
    </row>
    <row r="4972" spans="1:6" x14ac:dyDescent="0.45">
      <c r="A4972">
        <v>50</v>
      </c>
      <c r="B4972">
        <v>12</v>
      </c>
      <c r="C4972">
        <v>35000</v>
      </c>
      <c r="D4972" t="s">
        <v>71</v>
      </c>
      <c r="E4972" t="s">
        <v>72</v>
      </c>
      <c r="F4972" t="s">
        <v>80</v>
      </c>
    </row>
    <row r="4973" spans="1:6" x14ac:dyDescent="0.45">
      <c r="A4973">
        <v>40</v>
      </c>
      <c r="B4973">
        <v>12</v>
      </c>
      <c r="C4973">
        <v>35000</v>
      </c>
      <c r="D4973" t="s">
        <v>71</v>
      </c>
      <c r="E4973" t="s">
        <v>74</v>
      </c>
      <c r="F4973" t="s">
        <v>80</v>
      </c>
    </row>
    <row r="4974" spans="1:6" x14ac:dyDescent="0.45">
      <c r="A4974">
        <v>90</v>
      </c>
      <c r="B4974">
        <v>12</v>
      </c>
      <c r="C4974">
        <v>35000</v>
      </c>
      <c r="D4974" t="s">
        <v>71</v>
      </c>
      <c r="E4974" t="s">
        <v>74</v>
      </c>
      <c r="F4974" t="s">
        <v>80</v>
      </c>
    </row>
    <row r="4975" spans="1:6" x14ac:dyDescent="0.45">
      <c r="A4975">
        <v>45</v>
      </c>
      <c r="B4975">
        <v>12</v>
      </c>
      <c r="C4975">
        <v>35000</v>
      </c>
      <c r="D4975" t="s">
        <v>71</v>
      </c>
      <c r="E4975" t="s">
        <v>74</v>
      </c>
      <c r="F4975" t="s">
        <v>80</v>
      </c>
    </row>
    <row r="4976" spans="1:6" x14ac:dyDescent="0.45">
      <c r="A4976">
        <v>45</v>
      </c>
      <c r="B4976">
        <v>12</v>
      </c>
      <c r="C4976">
        <v>35000</v>
      </c>
      <c r="D4976" t="s">
        <v>71</v>
      </c>
      <c r="E4976" t="s">
        <v>74</v>
      </c>
      <c r="F4976" t="s">
        <v>80</v>
      </c>
    </row>
    <row r="4977" spans="1:6" x14ac:dyDescent="0.45">
      <c r="A4977">
        <v>35</v>
      </c>
      <c r="B4977">
        <v>12</v>
      </c>
      <c r="C4977">
        <v>35000</v>
      </c>
      <c r="D4977" t="s">
        <v>76</v>
      </c>
      <c r="E4977" t="s">
        <v>74</v>
      </c>
      <c r="F4977" t="s">
        <v>80</v>
      </c>
    </row>
    <row r="4978" spans="1:6" x14ac:dyDescent="0.45">
      <c r="A4978">
        <v>40</v>
      </c>
      <c r="B4978">
        <v>12</v>
      </c>
      <c r="C4978">
        <v>35000</v>
      </c>
      <c r="D4978" t="s">
        <v>71</v>
      </c>
      <c r="E4978" t="s">
        <v>74</v>
      </c>
      <c r="F4978" t="s">
        <v>80</v>
      </c>
    </row>
    <row r="4979" spans="1:6" x14ac:dyDescent="0.45">
      <c r="A4979">
        <v>60</v>
      </c>
      <c r="B4979">
        <v>12</v>
      </c>
      <c r="C4979">
        <v>35000</v>
      </c>
      <c r="D4979" t="s">
        <v>71</v>
      </c>
      <c r="E4979" t="s">
        <v>74</v>
      </c>
      <c r="F4979" t="s">
        <v>80</v>
      </c>
    </row>
    <row r="4980" spans="1:6" x14ac:dyDescent="0.45">
      <c r="A4980">
        <v>40</v>
      </c>
      <c r="B4980">
        <v>12</v>
      </c>
      <c r="C4980">
        <v>35000</v>
      </c>
      <c r="D4980" t="s">
        <v>71</v>
      </c>
      <c r="E4980" t="s">
        <v>74</v>
      </c>
      <c r="F4980" t="s">
        <v>80</v>
      </c>
    </row>
    <row r="4981" spans="1:6" x14ac:dyDescent="0.45">
      <c r="A4981">
        <v>60</v>
      </c>
      <c r="B4981">
        <v>12</v>
      </c>
      <c r="C4981">
        <v>35000</v>
      </c>
      <c r="D4981" t="s">
        <v>71</v>
      </c>
      <c r="E4981" t="s">
        <v>74</v>
      </c>
      <c r="F4981" t="s">
        <v>80</v>
      </c>
    </row>
    <row r="4982" spans="1:6" x14ac:dyDescent="0.45">
      <c r="A4982">
        <v>40</v>
      </c>
      <c r="B4982">
        <v>12</v>
      </c>
      <c r="C4982">
        <v>35000</v>
      </c>
      <c r="D4982" t="s">
        <v>71</v>
      </c>
      <c r="E4982" t="s">
        <v>74</v>
      </c>
      <c r="F4982" t="s">
        <v>80</v>
      </c>
    </row>
    <row r="4983" spans="1:6" x14ac:dyDescent="0.45">
      <c r="A4983">
        <v>55</v>
      </c>
      <c r="B4983">
        <v>12</v>
      </c>
      <c r="C4983">
        <v>35400</v>
      </c>
      <c r="D4983" t="s">
        <v>71</v>
      </c>
      <c r="E4983" t="s">
        <v>74</v>
      </c>
      <c r="F4983" t="s">
        <v>80</v>
      </c>
    </row>
    <row r="4984" spans="1:6" x14ac:dyDescent="0.45">
      <c r="A4984">
        <v>50</v>
      </c>
      <c r="B4984">
        <v>12</v>
      </c>
      <c r="C4984">
        <v>35400</v>
      </c>
      <c r="D4984" t="s">
        <v>71</v>
      </c>
      <c r="E4984" t="s">
        <v>74</v>
      </c>
      <c r="F4984" t="s">
        <v>80</v>
      </c>
    </row>
    <row r="4985" spans="1:6" x14ac:dyDescent="0.45">
      <c r="A4985">
        <v>55</v>
      </c>
      <c r="B4985">
        <v>12</v>
      </c>
      <c r="C4985">
        <v>35400</v>
      </c>
      <c r="D4985" t="s">
        <v>71</v>
      </c>
      <c r="E4985" t="s">
        <v>74</v>
      </c>
      <c r="F4985" t="s">
        <v>80</v>
      </c>
    </row>
    <row r="4986" spans="1:6" x14ac:dyDescent="0.45">
      <c r="A4986">
        <v>40</v>
      </c>
      <c r="B4986">
        <v>12</v>
      </c>
      <c r="C4986">
        <v>35600</v>
      </c>
      <c r="D4986" t="s">
        <v>71</v>
      </c>
      <c r="E4986" t="s">
        <v>74</v>
      </c>
      <c r="F4986" t="s">
        <v>80</v>
      </c>
    </row>
    <row r="4987" spans="1:6" x14ac:dyDescent="0.45">
      <c r="A4987">
        <v>0</v>
      </c>
      <c r="B4987">
        <v>12</v>
      </c>
      <c r="C4987">
        <v>35700</v>
      </c>
      <c r="D4987" t="s">
        <v>71</v>
      </c>
      <c r="E4987" t="s">
        <v>74</v>
      </c>
      <c r="F4987" t="s">
        <v>80</v>
      </c>
    </row>
    <row r="4988" spans="1:6" x14ac:dyDescent="0.45">
      <c r="A4988">
        <v>40</v>
      </c>
      <c r="B4988">
        <v>12</v>
      </c>
      <c r="C4988">
        <v>35775</v>
      </c>
      <c r="D4988" t="s">
        <v>76</v>
      </c>
      <c r="E4988" t="s">
        <v>74</v>
      </c>
      <c r="F4988" t="s">
        <v>80</v>
      </c>
    </row>
    <row r="4989" spans="1:6" x14ac:dyDescent="0.45">
      <c r="A4989">
        <v>40</v>
      </c>
      <c r="B4989">
        <v>12</v>
      </c>
      <c r="C4989">
        <v>35828</v>
      </c>
      <c r="D4989" t="s">
        <v>71</v>
      </c>
      <c r="E4989" t="s">
        <v>74</v>
      </c>
      <c r="F4989" t="s">
        <v>80</v>
      </c>
    </row>
    <row r="4990" spans="1:6" x14ac:dyDescent="0.45">
      <c r="A4990">
        <v>40</v>
      </c>
      <c r="B4990">
        <v>12</v>
      </c>
      <c r="C4990">
        <v>36000</v>
      </c>
      <c r="D4990" t="s">
        <v>71</v>
      </c>
      <c r="E4990" t="s">
        <v>72</v>
      </c>
      <c r="F4990" t="s">
        <v>80</v>
      </c>
    </row>
    <row r="4991" spans="1:6" x14ac:dyDescent="0.45">
      <c r="A4991">
        <v>48</v>
      </c>
      <c r="B4991">
        <v>12</v>
      </c>
      <c r="C4991">
        <v>36000</v>
      </c>
      <c r="D4991" t="s">
        <v>71</v>
      </c>
      <c r="E4991" t="s">
        <v>72</v>
      </c>
      <c r="F4991" t="s">
        <v>80</v>
      </c>
    </row>
    <row r="4992" spans="1:6" x14ac:dyDescent="0.45">
      <c r="A4992">
        <v>40</v>
      </c>
      <c r="B4992">
        <v>12</v>
      </c>
      <c r="C4992">
        <v>36000</v>
      </c>
      <c r="D4992" t="s">
        <v>71</v>
      </c>
      <c r="E4992" t="s">
        <v>72</v>
      </c>
      <c r="F4992" t="s">
        <v>80</v>
      </c>
    </row>
    <row r="4993" spans="1:6" x14ac:dyDescent="0.45">
      <c r="A4993">
        <v>40</v>
      </c>
      <c r="B4993">
        <v>12</v>
      </c>
      <c r="C4993">
        <v>36000</v>
      </c>
      <c r="D4993" t="s">
        <v>71</v>
      </c>
      <c r="E4993" t="s">
        <v>74</v>
      </c>
      <c r="F4993" t="s">
        <v>80</v>
      </c>
    </row>
    <row r="4994" spans="1:6" x14ac:dyDescent="0.45">
      <c r="A4994">
        <v>40</v>
      </c>
      <c r="B4994">
        <v>12</v>
      </c>
      <c r="C4994">
        <v>36000</v>
      </c>
      <c r="D4994" t="s">
        <v>71</v>
      </c>
      <c r="E4994" t="s">
        <v>74</v>
      </c>
      <c r="F4994" t="s">
        <v>80</v>
      </c>
    </row>
    <row r="4995" spans="1:6" x14ac:dyDescent="0.45">
      <c r="A4995">
        <v>40</v>
      </c>
      <c r="B4995">
        <v>12</v>
      </c>
      <c r="C4995">
        <v>36000</v>
      </c>
      <c r="D4995" t="s">
        <v>71</v>
      </c>
      <c r="E4995" t="s">
        <v>74</v>
      </c>
      <c r="F4995" t="s">
        <v>80</v>
      </c>
    </row>
    <row r="4996" spans="1:6" x14ac:dyDescent="0.45">
      <c r="A4996">
        <v>40</v>
      </c>
      <c r="B4996">
        <v>12</v>
      </c>
      <c r="C4996">
        <v>36000</v>
      </c>
      <c r="D4996" t="s">
        <v>71</v>
      </c>
      <c r="E4996" t="s">
        <v>74</v>
      </c>
      <c r="F4996" t="s">
        <v>80</v>
      </c>
    </row>
    <row r="4997" spans="1:6" x14ac:dyDescent="0.45">
      <c r="A4997">
        <v>40</v>
      </c>
      <c r="B4997">
        <v>12</v>
      </c>
      <c r="C4997">
        <v>36000</v>
      </c>
      <c r="D4997" t="s">
        <v>71</v>
      </c>
      <c r="E4997" t="s">
        <v>74</v>
      </c>
      <c r="F4997" t="s">
        <v>80</v>
      </c>
    </row>
    <row r="4998" spans="1:6" x14ac:dyDescent="0.45">
      <c r="A4998">
        <v>60</v>
      </c>
      <c r="B4998">
        <v>12</v>
      </c>
      <c r="C4998">
        <v>36000</v>
      </c>
      <c r="D4998" t="s">
        <v>71</v>
      </c>
      <c r="E4998" t="s">
        <v>74</v>
      </c>
      <c r="F4998" t="s">
        <v>80</v>
      </c>
    </row>
    <row r="4999" spans="1:6" x14ac:dyDescent="0.45">
      <c r="A4999">
        <v>40</v>
      </c>
      <c r="B4999">
        <v>12</v>
      </c>
      <c r="C4999">
        <v>36000</v>
      </c>
      <c r="D4999" t="s">
        <v>71</v>
      </c>
      <c r="E4999" t="s">
        <v>74</v>
      </c>
      <c r="F4999" t="s">
        <v>80</v>
      </c>
    </row>
    <row r="5000" spans="1:6" x14ac:dyDescent="0.45">
      <c r="A5000">
        <v>40</v>
      </c>
      <c r="B5000">
        <v>12</v>
      </c>
      <c r="C5000">
        <v>36000</v>
      </c>
      <c r="D5000" t="s">
        <v>76</v>
      </c>
      <c r="E5000" t="s">
        <v>74</v>
      </c>
      <c r="F5000" t="s">
        <v>80</v>
      </c>
    </row>
    <row r="5001" spans="1:6" x14ac:dyDescent="0.45">
      <c r="A5001">
        <v>40</v>
      </c>
      <c r="B5001">
        <v>12</v>
      </c>
      <c r="C5001">
        <v>36000</v>
      </c>
      <c r="D5001" t="s">
        <v>71</v>
      </c>
      <c r="E5001" t="s">
        <v>72</v>
      </c>
      <c r="F5001" t="s">
        <v>80</v>
      </c>
    </row>
    <row r="5002" spans="1:6" x14ac:dyDescent="0.45">
      <c r="A5002">
        <v>45</v>
      </c>
      <c r="B5002">
        <v>12</v>
      </c>
      <c r="C5002">
        <v>36000</v>
      </c>
      <c r="D5002" t="s">
        <v>71</v>
      </c>
      <c r="E5002" t="s">
        <v>74</v>
      </c>
      <c r="F5002" t="s">
        <v>80</v>
      </c>
    </row>
    <row r="5003" spans="1:6" x14ac:dyDescent="0.45">
      <c r="A5003">
        <v>45</v>
      </c>
      <c r="B5003">
        <v>12</v>
      </c>
      <c r="C5003">
        <v>36000</v>
      </c>
      <c r="D5003" t="s">
        <v>71</v>
      </c>
      <c r="E5003" t="s">
        <v>74</v>
      </c>
      <c r="F5003" t="s">
        <v>80</v>
      </c>
    </row>
    <row r="5004" spans="1:6" x14ac:dyDescent="0.45">
      <c r="A5004">
        <v>50</v>
      </c>
      <c r="B5004">
        <v>12</v>
      </c>
      <c r="C5004">
        <v>36000</v>
      </c>
      <c r="D5004" t="s">
        <v>71</v>
      </c>
      <c r="E5004" t="s">
        <v>74</v>
      </c>
      <c r="F5004" t="s">
        <v>80</v>
      </c>
    </row>
    <row r="5005" spans="1:6" x14ac:dyDescent="0.45">
      <c r="A5005">
        <v>0</v>
      </c>
      <c r="B5005">
        <v>12</v>
      </c>
      <c r="C5005">
        <v>36000</v>
      </c>
      <c r="D5005" t="s">
        <v>71</v>
      </c>
      <c r="E5005" t="s">
        <v>74</v>
      </c>
      <c r="F5005" t="s">
        <v>80</v>
      </c>
    </row>
    <row r="5006" spans="1:6" x14ac:dyDescent="0.45">
      <c r="A5006">
        <v>45</v>
      </c>
      <c r="B5006">
        <v>12</v>
      </c>
      <c r="C5006">
        <v>36000</v>
      </c>
      <c r="D5006" t="s">
        <v>71</v>
      </c>
      <c r="E5006" t="s">
        <v>74</v>
      </c>
      <c r="F5006" t="s">
        <v>80</v>
      </c>
    </row>
    <row r="5007" spans="1:6" x14ac:dyDescent="0.45">
      <c r="A5007">
        <v>40</v>
      </c>
      <c r="B5007">
        <v>12</v>
      </c>
      <c r="C5007">
        <v>36000</v>
      </c>
      <c r="D5007" t="s">
        <v>71</v>
      </c>
      <c r="E5007" t="s">
        <v>74</v>
      </c>
      <c r="F5007" t="s">
        <v>80</v>
      </c>
    </row>
    <row r="5008" spans="1:6" x14ac:dyDescent="0.45">
      <c r="A5008">
        <v>40</v>
      </c>
      <c r="B5008">
        <v>12</v>
      </c>
      <c r="C5008">
        <v>36000</v>
      </c>
      <c r="D5008" t="s">
        <v>71</v>
      </c>
      <c r="E5008" t="s">
        <v>72</v>
      </c>
      <c r="F5008" t="s">
        <v>80</v>
      </c>
    </row>
    <row r="5009" spans="1:6" x14ac:dyDescent="0.45">
      <c r="A5009">
        <v>40</v>
      </c>
      <c r="B5009">
        <v>12</v>
      </c>
      <c r="C5009">
        <v>36000</v>
      </c>
      <c r="D5009" t="s">
        <v>71</v>
      </c>
      <c r="E5009" t="s">
        <v>72</v>
      </c>
      <c r="F5009" t="s">
        <v>80</v>
      </c>
    </row>
    <row r="5010" spans="1:6" x14ac:dyDescent="0.45">
      <c r="A5010">
        <v>55</v>
      </c>
      <c r="B5010">
        <v>12</v>
      </c>
      <c r="C5010">
        <v>36000</v>
      </c>
      <c r="D5010" t="s">
        <v>71</v>
      </c>
      <c r="E5010" t="s">
        <v>74</v>
      </c>
      <c r="F5010" t="s">
        <v>80</v>
      </c>
    </row>
    <row r="5011" spans="1:6" x14ac:dyDescent="0.45">
      <c r="A5011">
        <v>70</v>
      </c>
      <c r="B5011">
        <v>12</v>
      </c>
      <c r="C5011">
        <v>36000</v>
      </c>
      <c r="D5011" t="s">
        <v>71</v>
      </c>
      <c r="E5011" t="s">
        <v>74</v>
      </c>
      <c r="F5011" t="s">
        <v>80</v>
      </c>
    </row>
    <row r="5012" spans="1:6" x14ac:dyDescent="0.45">
      <c r="A5012">
        <v>48</v>
      </c>
      <c r="B5012">
        <v>12</v>
      </c>
      <c r="C5012">
        <v>36000</v>
      </c>
      <c r="D5012" t="s">
        <v>71</v>
      </c>
      <c r="E5012" t="s">
        <v>74</v>
      </c>
      <c r="F5012" t="s">
        <v>80</v>
      </c>
    </row>
    <row r="5013" spans="1:6" x14ac:dyDescent="0.45">
      <c r="A5013">
        <v>40</v>
      </c>
      <c r="B5013">
        <v>12</v>
      </c>
      <c r="C5013">
        <v>36000</v>
      </c>
      <c r="D5013" t="s">
        <v>71</v>
      </c>
      <c r="E5013" t="s">
        <v>74</v>
      </c>
      <c r="F5013" t="s">
        <v>80</v>
      </c>
    </row>
    <row r="5014" spans="1:6" x14ac:dyDescent="0.45">
      <c r="A5014">
        <v>40</v>
      </c>
      <c r="B5014">
        <v>12</v>
      </c>
      <c r="C5014">
        <v>36200</v>
      </c>
      <c r="D5014" t="s">
        <v>71</v>
      </c>
      <c r="E5014" t="s">
        <v>74</v>
      </c>
      <c r="F5014" t="s">
        <v>80</v>
      </c>
    </row>
    <row r="5015" spans="1:6" x14ac:dyDescent="0.45">
      <c r="A5015">
        <v>40</v>
      </c>
      <c r="B5015">
        <v>12</v>
      </c>
      <c r="C5015">
        <v>36312</v>
      </c>
      <c r="D5015" t="s">
        <v>71</v>
      </c>
      <c r="E5015" t="s">
        <v>74</v>
      </c>
      <c r="F5015" t="s">
        <v>80</v>
      </c>
    </row>
    <row r="5016" spans="1:6" x14ac:dyDescent="0.45">
      <c r="A5016">
        <v>55</v>
      </c>
      <c r="B5016">
        <v>12</v>
      </c>
      <c r="C5016">
        <v>36400</v>
      </c>
      <c r="D5016" t="s">
        <v>71</v>
      </c>
      <c r="E5016" t="s">
        <v>74</v>
      </c>
      <c r="F5016" t="s">
        <v>80</v>
      </c>
    </row>
    <row r="5017" spans="1:6" x14ac:dyDescent="0.45">
      <c r="A5017">
        <v>40</v>
      </c>
      <c r="B5017">
        <v>12</v>
      </c>
      <c r="C5017">
        <v>36400</v>
      </c>
      <c r="D5017" t="s">
        <v>71</v>
      </c>
      <c r="E5017" t="s">
        <v>74</v>
      </c>
      <c r="F5017" t="s">
        <v>80</v>
      </c>
    </row>
    <row r="5018" spans="1:6" x14ac:dyDescent="0.45">
      <c r="A5018">
        <v>50</v>
      </c>
      <c r="B5018">
        <v>12</v>
      </c>
      <c r="C5018">
        <v>36400</v>
      </c>
      <c r="D5018" t="s">
        <v>71</v>
      </c>
      <c r="E5018" t="s">
        <v>74</v>
      </c>
      <c r="F5018" t="s">
        <v>80</v>
      </c>
    </row>
    <row r="5019" spans="1:6" x14ac:dyDescent="0.45">
      <c r="A5019">
        <v>60</v>
      </c>
      <c r="B5019">
        <v>12</v>
      </c>
      <c r="C5019">
        <v>36495</v>
      </c>
      <c r="D5019" t="s">
        <v>71</v>
      </c>
      <c r="E5019" t="s">
        <v>74</v>
      </c>
      <c r="F5019" t="s">
        <v>80</v>
      </c>
    </row>
    <row r="5020" spans="1:6" x14ac:dyDescent="0.45">
      <c r="A5020">
        <v>0</v>
      </c>
      <c r="B5020">
        <v>12</v>
      </c>
      <c r="C5020">
        <v>36500</v>
      </c>
      <c r="D5020" t="s">
        <v>71</v>
      </c>
      <c r="E5020" t="s">
        <v>74</v>
      </c>
      <c r="F5020" t="s">
        <v>80</v>
      </c>
    </row>
    <row r="5021" spans="1:6" x14ac:dyDescent="0.45">
      <c r="A5021">
        <v>40</v>
      </c>
      <c r="B5021">
        <v>12</v>
      </c>
      <c r="C5021">
        <v>36615</v>
      </c>
      <c r="D5021" t="s">
        <v>71</v>
      </c>
      <c r="E5021" t="s">
        <v>74</v>
      </c>
      <c r="F5021" t="s">
        <v>80</v>
      </c>
    </row>
    <row r="5022" spans="1:6" x14ac:dyDescent="0.45">
      <c r="A5022">
        <v>60</v>
      </c>
      <c r="B5022">
        <v>12</v>
      </c>
      <c r="C5022">
        <v>36738</v>
      </c>
      <c r="D5022" t="s">
        <v>71</v>
      </c>
      <c r="E5022" t="s">
        <v>72</v>
      </c>
      <c r="F5022" t="s">
        <v>80</v>
      </c>
    </row>
    <row r="5023" spans="1:6" x14ac:dyDescent="0.45">
      <c r="A5023">
        <v>45</v>
      </c>
      <c r="B5023">
        <v>12</v>
      </c>
      <c r="C5023">
        <v>36800</v>
      </c>
      <c r="D5023" t="s">
        <v>71</v>
      </c>
      <c r="E5023" t="s">
        <v>74</v>
      </c>
      <c r="F5023" t="s">
        <v>80</v>
      </c>
    </row>
    <row r="5024" spans="1:6" x14ac:dyDescent="0.45">
      <c r="A5024">
        <v>45</v>
      </c>
      <c r="B5024">
        <v>12</v>
      </c>
      <c r="C5024">
        <v>36800</v>
      </c>
      <c r="D5024" t="s">
        <v>71</v>
      </c>
      <c r="E5024" t="s">
        <v>74</v>
      </c>
      <c r="F5024" t="s">
        <v>80</v>
      </c>
    </row>
    <row r="5025" spans="1:6" x14ac:dyDescent="0.45">
      <c r="A5025">
        <v>40</v>
      </c>
      <c r="B5025">
        <v>12</v>
      </c>
      <c r="C5025">
        <v>37000</v>
      </c>
      <c r="D5025" t="s">
        <v>71</v>
      </c>
      <c r="E5025" t="s">
        <v>74</v>
      </c>
      <c r="F5025" t="s">
        <v>80</v>
      </c>
    </row>
    <row r="5026" spans="1:6" x14ac:dyDescent="0.45">
      <c r="A5026">
        <v>40</v>
      </c>
      <c r="B5026">
        <v>12</v>
      </c>
      <c r="C5026">
        <v>37000</v>
      </c>
      <c r="D5026" t="s">
        <v>76</v>
      </c>
      <c r="E5026" t="s">
        <v>74</v>
      </c>
      <c r="F5026" t="s">
        <v>80</v>
      </c>
    </row>
    <row r="5027" spans="1:6" x14ac:dyDescent="0.45">
      <c r="A5027">
        <v>40</v>
      </c>
      <c r="B5027">
        <v>12</v>
      </c>
      <c r="C5027">
        <v>37000</v>
      </c>
      <c r="D5027" t="s">
        <v>71</v>
      </c>
      <c r="E5027" t="s">
        <v>72</v>
      </c>
      <c r="F5027" t="s">
        <v>80</v>
      </c>
    </row>
    <row r="5028" spans="1:6" x14ac:dyDescent="0.45">
      <c r="A5028">
        <v>70</v>
      </c>
      <c r="B5028">
        <v>12</v>
      </c>
      <c r="C5028">
        <v>37000</v>
      </c>
      <c r="D5028" t="s">
        <v>71</v>
      </c>
      <c r="E5028" t="s">
        <v>74</v>
      </c>
      <c r="F5028" t="s">
        <v>80</v>
      </c>
    </row>
    <row r="5029" spans="1:6" x14ac:dyDescent="0.45">
      <c r="A5029">
        <v>40</v>
      </c>
      <c r="B5029">
        <v>12</v>
      </c>
      <c r="C5029">
        <v>37000</v>
      </c>
      <c r="D5029" t="s">
        <v>71</v>
      </c>
      <c r="E5029" t="s">
        <v>72</v>
      </c>
      <c r="F5029" t="s">
        <v>80</v>
      </c>
    </row>
    <row r="5030" spans="1:6" x14ac:dyDescent="0.45">
      <c r="A5030">
        <v>40</v>
      </c>
      <c r="B5030">
        <v>12</v>
      </c>
      <c r="C5030">
        <v>37000</v>
      </c>
      <c r="D5030" t="s">
        <v>71</v>
      </c>
      <c r="E5030" t="s">
        <v>74</v>
      </c>
      <c r="F5030" t="s">
        <v>80</v>
      </c>
    </row>
    <row r="5031" spans="1:6" x14ac:dyDescent="0.45">
      <c r="A5031">
        <v>0</v>
      </c>
      <c r="B5031">
        <v>12</v>
      </c>
      <c r="C5031">
        <v>37000</v>
      </c>
      <c r="D5031" t="s">
        <v>71</v>
      </c>
      <c r="E5031" t="s">
        <v>72</v>
      </c>
      <c r="F5031" t="s">
        <v>80</v>
      </c>
    </row>
    <row r="5032" spans="1:6" x14ac:dyDescent="0.45">
      <c r="A5032">
        <v>40</v>
      </c>
      <c r="B5032">
        <v>12</v>
      </c>
      <c r="C5032">
        <v>37000</v>
      </c>
      <c r="D5032" t="s">
        <v>71</v>
      </c>
      <c r="E5032" t="s">
        <v>72</v>
      </c>
      <c r="F5032" t="s">
        <v>80</v>
      </c>
    </row>
    <row r="5033" spans="1:6" x14ac:dyDescent="0.45">
      <c r="A5033">
        <v>40</v>
      </c>
      <c r="B5033">
        <v>12</v>
      </c>
      <c r="C5033">
        <v>37000</v>
      </c>
      <c r="D5033" t="s">
        <v>71</v>
      </c>
      <c r="E5033" t="s">
        <v>74</v>
      </c>
      <c r="F5033" t="s">
        <v>80</v>
      </c>
    </row>
    <row r="5034" spans="1:6" x14ac:dyDescent="0.45">
      <c r="A5034">
        <v>50</v>
      </c>
      <c r="B5034">
        <v>12</v>
      </c>
      <c r="C5034">
        <v>37000</v>
      </c>
      <c r="D5034" t="s">
        <v>77</v>
      </c>
      <c r="E5034" t="s">
        <v>74</v>
      </c>
      <c r="F5034" t="s">
        <v>80</v>
      </c>
    </row>
    <row r="5035" spans="1:6" x14ac:dyDescent="0.45">
      <c r="A5035">
        <v>50</v>
      </c>
      <c r="B5035">
        <v>12</v>
      </c>
      <c r="C5035">
        <v>37000</v>
      </c>
      <c r="D5035" t="s">
        <v>71</v>
      </c>
      <c r="E5035" t="s">
        <v>74</v>
      </c>
      <c r="F5035" t="s">
        <v>80</v>
      </c>
    </row>
    <row r="5036" spans="1:6" x14ac:dyDescent="0.45">
      <c r="A5036">
        <v>48</v>
      </c>
      <c r="B5036">
        <v>12</v>
      </c>
      <c r="C5036">
        <v>37000</v>
      </c>
      <c r="D5036" t="s">
        <v>71</v>
      </c>
      <c r="E5036" t="s">
        <v>72</v>
      </c>
      <c r="F5036" t="s">
        <v>80</v>
      </c>
    </row>
    <row r="5037" spans="1:6" x14ac:dyDescent="0.45">
      <c r="A5037">
        <v>40</v>
      </c>
      <c r="B5037">
        <v>12</v>
      </c>
      <c r="C5037">
        <v>37000</v>
      </c>
      <c r="D5037" t="s">
        <v>71</v>
      </c>
      <c r="E5037" t="s">
        <v>74</v>
      </c>
      <c r="F5037" t="s">
        <v>80</v>
      </c>
    </row>
    <row r="5038" spans="1:6" x14ac:dyDescent="0.45">
      <c r="A5038">
        <v>50</v>
      </c>
      <c r="B5038">
        <v>12</v>
      </c>
      <c r="C5038">
        <v>37000</v>
      </c>
      <c r="D5038" t="s">
        <v>71</v>
      </c>
      <c r="E5038" t="s">
        <v>74</v>
      </c>
      <c r="F5038" t="s">
        <v>80</v>
      </c>
    </row>
    <row r="5039" spans="1:6" x14ac:dyDescent="0.45">
      <c r="A5039">
        <v>40</v>
      </c>
      <c r="B5039">
        <v>12</v>
      </c>
      <c r="C5039">
        <v>37171</v>
      </c>
      <c r="D5039" t="s">
        <v>71</v>
      </c>
      <c r="E5039" t="s">
        <v>74</v>
      </c>
      <c r="F5039" t="s">
        <v>80</v>
      </c>
    </row>
    <row r="5040" spans="1:6" x14ac:dyDescent="0.45">
      <c r="A5040">
        <v>40</v>
      </c>
      <c r="B5040">
        <v>12</v>
      </c>
      <c r="C5040">
        <v>37300</v>
      </c>
      <c r="D5040" t="s">
        <v>71</v>
      </c>
      <c r="E5040" t="s">
        <v>74</v>
      </c>
      <c r="F5040" t="s">
        <v>80</v>
      </c>
    </row>
    <row r="5041" spans="1:6" x14ac:dyDescent="0.45">
      <c r="A5041">
        <v>75</v>
      </c>
      <c r="B5041">
        <v>12</v>
      </c>
      <c r="C5041">
        <v>37400</v>
      </c>
      <c r="D5041" t="s">
        <v>71</v>
      </c>
      <c r="E5041" t="s">
        <v>74</v>
      </c>
      <c r="F5041" t="s">
        <v>80</v>
      </c>
    </row>
    <row r="5042" spans="1:6" x14ac:dyDescent="0.45">
      <c r="A5042">
        <v>40</v>
      </c>
      <c r="B5042">
        <v>12</v>
      </c>
      <c r="C5042">
        <v>37404</v>
      </c>
      <c r="D5042" t="s">
        <v>76</v>
      </c>
      <c r="E5042" t="s">
        <v>72</v>
      </c>
      <c r="F5042" t="s">
        <v>80</v>
      </c>
    </row>
    <row r="5043" spans="1:6" x14ac:dyDescent="0.45">
      <c r="A5043">
        <v>50</v>
      </c>
      <c r="B5043">
        <v>12</v>
      </c>
      <c r="C5043">
        <v>37655</v>
      </c>
      <c r="D5043" t="s">
        <v>71</v>
      </c>
      <c r="E5043" t="s">
        <v>74</v>
      </c>
      <c r="F5043" t="s">
        <v>80</v>
      </c>
    </row>
    <row r="5044" spans="1:6" x14ac:dyDescent="0.45">
      <c r="A5044">
        <v>59</v>
      </c>
      <c r="B5044">
        <v>12</v>
      </c>
      <c r="C5044">
        <v>37889</v>
      </c>
      <c r="D5044" t="s">
        <v>71</v>
      </c>
      <c r="E5044" t="s">
        <v>72</v>
      </c>
      <c r="F5044" t="s">
        <v>80</v>
      </c>
    </row>
    <row r="5045" spans="1:6" x14ac:dyDescent="0.45">
      <c r="A5045">
        <v>44</v>
      </c>
      <c r="B5045">
        <v>12</v>
      </c>
      <c r="C5045">
        <v>38000</v>
      </c>
      <c r="D5045" t="s">
        <v>71</v>
      </c>
      <c r="E5045" t="s">
        <v>72</v>
      </c>
      <c r="F5045" t="s">
        <v>80</v>
      </c>
    </row>
    <row r="5046" spans="1:6" x14ac:dyDescent="0.45">
      <c r="A5046">
        <v>40</v>
      </c>
      <c r="B5046">
        <v>12</v>
      </c>
      <c r="C5046">
        <v>38000</v>
      </c>
      <c r="D5046" t="s">
        <v>71</v>
      </c>
      <c r="E5046" t="s">
        <v>74</v>
      </c>
      <c r="F5046" t="s">
        <v>80</v>
      </c>
    </row>
    <row r="5047" spans="1:6" x14ac:dyDescent="0.45">
      <c r="A5047">
        <v>60</v>
      </c>
      <c r="B5047">
        <v>12</v>
      </c>
      <c r="C5047">
        <v>38000</v>
      </c>
      <c r="D5047" t="s">
        <v>71</v>
      </c>
      <c r="E5047" t="s">
        <v>74</v>
      </c>
      <c r="F5047" t="s">
        <v>80</v>
      </c>
    </row>
    <row r="5048" spans="1:6" x14ac:dyDescent="0.45">
      <c r="A5048">
        <v>40</v>
      </c>
      <c r="B5048">
        <v>12</v>
      </c>
      <c r="C5048">
        <v>38000</v>
      </c>
      <c r="D5048" t="s">
        <v>71</v>
      </c>
      <c r="E5048" t="s">
        <v>74</v>
      </c>
      <c r="F5048" t="s">
        <v>80</v>
      </c>
    </row>
    <row r="5049" spans="1:6" x14ac:dyDescent="0.45">
      <c r="A5049">
        <v>40</v>
      </c>
      <c r="B5049">
        <v>12</v>
      </c>
      <c r="C5049">
        <v>38000</v>
      </c>
      <c r="D5049" t="s">
        <v>71</v>
      </c>
      <c r="E5049" t="s">
        <v>72</v>
      </c>
      <c r="F5049" t="s">
        <v>80</v>
      </c>
    </row>
    <row r="5050" spans="1:6" x14ac:dyDescent="0.45">
      <c r="A5050">
        <v>40</v>
      </c>
      <c r="B5050">
        <v>12</v>
      </c>
      <c r="C5050">
        <v>38000</v>
      </c>
      <c r="D5050" t="s">
        <v>71</v>
      </c>
      <c r="E5050" t="s">
        <v>72</v>
      </c>
      <c r="F5050" t="s">
        <v>80</v>
      </c>
    </row>
    <row r="5051" spans="1:6" x14ac:dyDescent="0.45">
      <c r="A5051">
        <v>50</v>
      </c>
      <c r="B5051">
        <v>12</v>
      </c>
      <c r="C5051">
        <v>38000</v>
      </c>
      <c r="D5051" t="s">
        <v>71</v>
      </c>
      <c r="E5051" t="s">
        <v>72</v>
      </c>
      <c r="F5051" t="s">
        <v>80</v>
      </c>
    </row>
    <row r="5052" spans="1:6" x14ac:dyDescent="0.45">
      <c r="A5052">
        <v>50</v>
      </c>
      <c r="B5052">
        <v>12</v>
      </c>
      <c r="C5052">
        <v>38000</v>
      </c>
      <c r="D5052" t="s">
        <v>71</v>
      </c>
      <c r="E5052" t="s">
        <v>72</v>
      </c>
      <c r="F5052" t="s">
        <v>80</v>
      </c>
    </row>
    <row r="5053" spans="1:6" x14ac:dyDescent="0.45">
      <c r="A5053">
        <v>60</v>
      </c>
      <c r="B5053">
        <v>12</v>
      </c>
      <c r="C5053">
        <v>38000</v>
      </c>
      <c r="D5053" t="s">
        <v>71</v>
      </c>
      <c r="E5053" t="s">
        <v>74</v>
      </c>
      <c r="F5053" t="s">
        <v>80</v>
      </c>
    </row>
    <row r="5054" spans="1:6" x14ac:dyDescent="0.45">
      <c r="A5054">
        <v>102</v>
      </c>
      <c r="B5054">
        <v>12</v>
      </c>
      <c r="C5054">
        <v>38000</v>
      </c>
      <c r="D5054" t="s">
        <v>71</v>
      </c>
      <c r="E5054" t="s">
        <v>74</v>
      </c>
      <c r="F5054" t="s">
        <v>80</v>
      </c>
    </row>
    <row r="5055" spans="1:6" x14ac:dyDescent="0.45">
      <c r="A5055">
        <v>40</v>
      </c>
      <c r="B5055">
        <v>12</v>
      </c>
      <c r="C5055">
        <v>38000</v>
      </c>
      <c r="D5055" t="s">
        <v>76</v>
      </c>
      <c r="E5055" t="s">
        <v>74</v>
      </c>
      <c r="F5055" t="s">
        <v>80</v>
      </c>
    </row>
    <row r="5056" spans="1:6" x14ac:dyDescent="0.45">
      <c r="A5056">
        <v>50</v>
      </c>
      <c r="B5056">
        <v>12</v>
      </c>
      <c r="C5056">
        <v>38000</v>
      </c>
      <c r="D5056" t="s">
        <v>71</v>
      </c>
      <c r="E5056" t="s">
        <v>72</v>
      </c>
      <c r="F5056" t="s">
        <v>80</v>
      </c>
    </row>
    <row r="5057" spans="1:6" x14ac:dyDescent="0.45">
      <c r="A5057">
        <v>40</v>
      </c>
      <c r="B5057">
        <v>12</v>
      </c>
      <c r="C5057">
        <v>38000</v>
      </c>
      <c r="D5057" t="s">
        <v>71</v>
      </c>
      <c r="E5057" t="s">
        <v>72</v>
      </c>
      <c r="F5057" t="s">
        <v>80</v>
      </c>
    </row>
    <row r="5058" spans="1:6" x14ac:dyDescent="0.45">
      <c r="A5058">
        <v>60</v>
      </c>
      <c r="B5058">
        <v>12</v>
      </c>
      <c r="C5058">
        <v>38000</v>
      </c>
      <c r="D5058" t="s">
        <v>71</v>
      </c>
      <c r="E5058" t="s">
        <v>74</v>
      </c>
      <c r="F5058" t="s">
        <v>80</v>
      </c>
    </row>
    <row r="5059" spans="1:6" x14ac:dyDescent="0.45">
      <c r="A5059">
        <v>40</v>
      </c>
      <c r="B5059">
        <v>12</v>
      </c>
      <c r="C5059">
        <v>38000</v>
      </c>
      <c r="D5059" t="s">
        <v>76</v>
      </c>
      <c r="E5059" t="s">
        <v>74</v>
      </c>
      <c r="F5059" t="s">
        <v>80</v>
      </c>
    </row>
    <row r="5060" spans="1:6" x14ac:dyDescent="0.45">
      <c r="A5060">
        <v>40</v>
      </c>
      <c r="B5060">
        <v>12</v>
      </c>
      <c r="C5060">
        <v>38000</v>
      </c>
      <c r="D5060" t="s">
        <v>76</v>
      </c>
      <c r="E5060" t="s">
        <v>72</v>
      </c>
      <c r="F5060" t="s">
        <v>80</v>
      </c>
    </row>
    <row r="5061" spans="1:6" x14ac:dyDescent="0.45">
      <c r="A5061">
        <v>40</v>
      </c>
      <c r="B5061">
        <v>12</v>
      </c>
      <c r="C5061">
        <v>38000</v>
      </c>
      <c r="D5061" t="s">
        <v>71</v>
      </c>
      <c r="E5061" t="s">
        <v>72</v>
      </c>
      <c r="F5061" t="s">
        <v>80</v>
      </c>
    </row>
    <row r="5062" spans="1:6" x14ac:dyDescent="0.45">
      <c r="A5062">
        <v>40</v>
      </c>
      <c r="B5062">
        <v>12</v>
      </c>
      <c r="C5062">
        <v>38000</v>
      </c>
      <c r="D5062" t="s">
        <v>71</v>
      </c>
      <c r="E5062" t="s">
        <v>74</v>
      </c>
      <c r="F5062" t="s">
        <v>80</v>
      </c>
    </row>
    <row r="5063" spans="1:6" x14ac:dyDescent="0.45">
      <c r="A5063">
        <v>40</v>
      </c>
      <c r="B5063">
        <v>12</v>
      </c>
      <c r="C5063">
        <v>38000</v>
      </c>
      <c r="D5063" t="s">
        <v>71</v>
      </c>
      <c r="E5063" t="s">
        <v>74</v>
      </c>
      <c r="F5063" t="s">
        <v>80</v>
      </c>
    </row>
    <row r="5064" spans="1:6" x14ac:dyDescent="0.45">
      <c r="A5064">
        <v>42</v>
      </c>
      <c r="B5064">
        <v>12</v>
      </c>
      <c r="C5064">
        <v>38000</v>
      </c>
      <c r="D5064" t="s">
        <v>71</v>
      </c>
      <c r="E5064" t="s">
        <v>74</v>
      </c>
      <c r="F5064" t="s">
        <v>80</v>
      </c>
    </row>
    <row r="5065" spans="1:6" x14ac:dyDescent="0.45">
      <c r="A5065">
        <v>55</v>
      </c>
      <c r="B5065">
        <v>12</v>
      </c>
      <c r="C5065">
        <v>38000</v>
      </c>
      <c r="D5065" t="s">
        <v>71</v>
      </c>
      <c r="E5065" t="s">
        <v>74</v>
      </c>
      <c r="F5065" t="s">
        <v>80</v>
      </c>
    </row>
    <row r="5066" spans="1:6" x14ac:dyDescent="0.45">
      <c r="A5066">
        <v>50</v>
      </c>
      <c r="B5066">
        <v>12</v>
      </c>
      <c r="C5066">
        <v>38000</v>
      </c>
      <c r="D5066" t="s">
        <v>71</v>
      </c>
      <c r="E5066" t="s">
        <v>74</v>
      </c>
      <c r="F5066" t="s">
        <v>80</v>
      </c>
    </row>
    <row r="5067" spans="1:6" x14ac:dyDescent="0.45">
      <c r="A5067">
        <v>40</v>
      </c>
      <c r="B5067">
        <v>12</v>
      </c>
      <c r="C5067">
        <v>38000</v>
      </c>
      <c r="D5067" t="s">
        <v>71</v>
      </c>
      <c r="E5067" t="s">
        <v>74</v>
      </c>
      <c r="F5067" t="s">
        <v>80</v>
      </c>
    </row>
    <row r="5068" spans="1:6" x14ac:dyDescent="0.45">
      <c r="A5068">
        <v>40</v>
      </c>
      <c r="B5068">
        <v>12</v>
      </c>
      <c r="C5068">
        <v>38000</v>
      </c>
      <c r="D5068" t="s">
        <v>71</v>
      </c>
      <c r="E5068" t="s">
        <v>74</v>
      </c>
      <c r="F5068" t="s">
        <v>80</v>
      </c>
    </row>
    <row r="5069" spans="1:6" x14ac:dyDescent="0.45">
      <c r="A5069">
        <v>40</v>
      </c>
      <c r="B5069">
        <v>12</v>
      </c>
      <c r="C5069">
        <v>38000</v>
      </c>
      <c r="D5069" t="s">
        <v>71</v>
      </c>
      <c r="E5069" t="s">
        <v>74</v>
      </c>
      <c r="F5069" t="s">
        <v>80</v>
      </c>
    </row>
    <row r="5070" spans="1:6" x14ac:dyDescent="0.45">
      <c r="A5070">
        <v>40</v>
      </c>
      <c r="B5070">
        <v>12</v>
      </c>
      <c r="C5070">
        <v>38343</v>
      </c>
      <c r="D5070" t="s">
        <v>71</v>
      </c>
      <c r="E5070" t="s">
        <v>74</v>
      </c>
      <c r="F5070" t="s">
        <v>80</v>
      </c>
    </row>
    <row r="5071" spans="1:6" x14ac:dyDescent="0.45">
      <c r="A5071">
        <v>53</v>
      </c>
      <c r="B5071">
        <v>12</v>
      </c>
      <c r="C5071">
        <v>38684</v>
      </c>
      <c r="D5071" t="s">
        <v>71</v>
      </c>
      <c r="E5071" t="s">
        <v>72</v>
      </c>
      <c r="F5071" t="s">
        <v>80</v>
      </c>
    </row>
    <row r="5072" spans="1:6" x14ac:dyDescent="0.45">
      <c r="A5072">
        <v>40</v>
      </c>
      <c r="B5072">
        <v>12</v>
      </c>
      <c r="C5072">
        <v>38740</v>
      </c>
      <c r="D5072" t="s">
        <v>71</v>
      </c>
      <c r="E5072" t="s">
        <v>74</v>
      </c>
      <c r="F5072" t="s">
        <v>80</v>
      </c>
    </row>
    <row r="5073" spans="1:6" x14ac:dyDescent="0.45">
      <c r="A5073">
        <v>60</v>
      </c>
      <c r="B5073">
        <v>12</v>
      </c>
      <c r="C5073">
        <v>39000</v>
      </c>
      <c r="D5073" t="s">
        <v>71</v>
      </c>
      <c r="E5073" t="s">
        <v>74</v>
      </c>
      <c r="F5073" t="s">
        <v>80</v>
      </c>
    </row>
    <row r="5074" spans="1:6" x14ac:dyDescent="0.45">
      <c r="A5074">
        <v>40</v>
      </c>
      <c r="B5074">
        <v>12</v>
      </c>
      <c r="C5074">
        <v>39000</v>
      </c>
      <c r="D5074" t="s">
        <v>71</v>
      </c>
      <c r="E5074" t="s">
        <v>72</v>
      </c>
      <c r="F5074" t="s">
        <v>80</v>
      </c>
    </row>
    <row r="5075" spans="1:6" x14ac:dyDescent="0.45">
      <c r="A5075">
        <v>60</v>
      </c>
      <c r="B5075">
        <v>12</v>
      </c>
      <c r="C5075">
        <v>39000</v>
      </c>
      <c r="D5075" t="s">
        <v>71</v>
      </c>
      <c r="E5075" t="s">
        <v>74</v>
      </c>
      <c r="F5075" t="s">
        <v>80</v>
      </c>
    </row>
    <row r="5076" spans="1:6" x14ac:dyDescent="0.45">
      <c r="A5076">
        <v>40</v>
      </c>
      <c r="B5076">
        <v>12</v>
      </c>
      <c r="C5076">
        <v>39000</v>
      </c>
      <c r="D5076" t="s">
        <v>71</v>
      </c>
      <c r="E5076" t="s">
        <v>72</v>
      </c>
      <c r="F5076" t="s">
        <v>80</v>
      </c>
    </row>
    <row r="5077" spans="1:6" x14ac:dyDescent="0.45">
      <c r="A5077">
        <v>40</v>
      </c>
      <c r="B5077">
        <v>12</v>
      </c>
      <c r="C5077">
        <v>39350</v>
      </c>
      <c r="D5077" t="s">
        <v>71</v>
      </c>
      <c r="E5077" t="s">
        <v>74</v>
      </c>
      <c r="F5077" t="s">
        <v>80</v>
      </c>
    </row>
    <row r="5078" spans="1:6" x14ac:dyDescent="0.45">
      <c r="A5078">
        <v>40</v>
      </c>
      <c r="B5078">
        <v>12</v>
      </c>
      <c r="C5078">
        <v>39367</v>
      </c>
      <c r="D5078" t="s">
        <v>71</v>
      </c>
      <c r="E5078" t="s">
        <v>74</v>
      </c>
      <c r="F5078" t="s">
        <v>80</v>
      </c>
    </row>
    <row r="5079" spans="1:6" x14ac:dyDescent="0.45">
      <c r="A5079">
        <v>40</v>
      </c>
      <c r="B5079">
        <v>12</v>
      </c>
      <c r="C5079">
        <v>39617</v>
      </c>
      <c r="D5079" t="s">
        <v>71</v>
      </c>
      <c r="E5079" t="s">
        <v>74</v>
      </c>
      <c r="F5079" t="s">
        <v>80</v>
      </c>
    </row>
    <row r="5080" spans="1:6" x14ac:dyDescent="0.45">
      <c r="A5080">
        <v>60</v>
      </c>
      <c r="B5080">
        <v>12</v>
      </c>
      <c r="C5080">
        <v>40000</v>
      </c>
      <c r="D5080" t="s">
        <v>71</v>
      </c>
      <c r="E5080" t="s">
        <v>74</v>
      </c>
      <c r="F5080" t="s">
        <v>80</v>
      </c>
    </row>
    <row r="5081" spans="1:6" x14ac:dyDescent="0.45">
      <c r="A5081">
        <v>45</v>
      </c>
      <c r="B5081">
        <v>12</v>
      </c>
      <c r="C5081">
        <v>40000</v>
      </c>
      <c r="D5081" t="s">
        <v>71</v>
      </c>
      <c r="E5081" t="s">
        <v>74</v>
      </c>
      <c r="F5081" t="s">
        <v>80</v>
      </c>
    </row>
    <row r="5082" spans="1:6" x14ac:dyDescent="0.45">
      <c r="A5082">
        <v>40</v>
      </c>
      <c r="B5082">
        <v>12</v>
      </c>
      <c r="C5082">
        <v>40000</v>
      </c>
      <c r="D5082" t="s">
        <v>71</v>
      </c>
      <c r="E5082" t="s">
        <v>74</v>
      </c>
      <c r="F5082" t="s">
        <v>80</v>
      </c>
    </row>
    <row r="5083" spans="1:6" x14ac:dyDescent="0.45">
      <c r="A5083">
        <v>40</v>
      </c>
      <c r="B5083">
        <v>12</v>
      </c>
      <c r="C5083">
        <v>40000</v>
      </c>
      <c r="D5083" t="s">
        <v>71</v>
      </c>
      <c r="E5083" t="s">
        <v>74</v>
      </c>
      <c r="F5083" t="s">
        <v>80</v>
      </c>
    </row>
    <row r="5084" spans="1:6" x14ac:dyDescent="0.45">
      <c r="A5084">
        <v>50</v>
      </c>
      <c r="B5084">
        <v>12</v>
      </c>
      <c r="C5084">
        <v>40000</v>
      </c>
      <c r="D5084" t="s">
        <v>71</v>
      </c>
      <c r="E5084" t="s">
        <v>74</v>
      </c>
      <c r="F5084" t="s">
        <v>80</v>
      </c>
    </row>
    <row r="5085" spans="1:6" x14ac:dyDescent="0.45">
      <c r="A5085">
        <v>40</v>
      </c>
      <c r="B5085">
        <v>12</v>
      </c>
      <c r="C5085">
        <v>40000</v>
      </c>
      <c r="D5085" t="s">
        <v>71</v>
      </c>
      <c r="E5085" t="s">
        <v>72</v>
      </c>
      <c r="F5085" t="s">
        <v>80</v>
      </c>
    </row>
    <row r="5086" spans="1:6" x14ac:dyDescent="0.45">
      <c r="A5086">
        <v>60</v>
      </c>
      <c r="B5086">
        <v>12</v>
      </c>
      <c r="C5086">
        <v>40000</v>
      </c>
      <c r="D5086" t="s">
        <v>71</v>
      </c>
      <c r="E5086" t="s">
        <v>74</v>
      </c>
      <c r="F5086" t="s">
        <v>80</v>
      </c>
    </row>
    <row r="5087" spans="1:6" x14ac:dyDescent="0.45">
      <c r="A5087">
        <v>40</v>
      </c>
      <c r="B5087">
        <v>12</v>
      </c>
      <c r="C5087">
        <v>40000</v>
      </c>
      <c r="D5087" t="s">
        <v>71</v>
      </c>
      <c r="E5087" t="s">
        <v>74</v>
      </c>
      <c r="F5087" t="s">
        <v>80</v>
      </c>
    </row>
    <row r="5088" spans="1:6" x14ac:dyDescent="0.45">
      <c r="A5088">
        <v>40</v>
      </c>
      <c r="B5088">
        <v>12</v>
      </c>
      <c r="C5088">
        <v>40000</v>
      </c>
      <c r="D5088" t="s">
        <v>71</v>
      </c>
      <c r="E5088" t="s">
        <v>74</v>
      </c>
      <c r="F5088" t="s">
        <v>80</v>
      </c>
    </row>
    <row r="5089" spans="1:6" x14ac:dyDescent="0.45">
      <c r="A5089">
        <v>40</v>
      </c>
      <c r="B5089">
        <v>12</v>
      </c>
      <c r="C5089">
        <v>40000</v>
      </c>
      <c r="D5089" t="s">
        <v>71</v>
      </c>
      <c r="E5089" t="s">
        <v>74</v>
      </c>
      <c r="F5089" t="s">
        <v>80</v>
      </c>
    </row>
    <row r="5090" spans="1:6" x14ac:dyDescent="0.45">
      <c r="A5090">
        <v>40</v>
      </c>
      <c r="B5090">
        <v>12</v>
      </c>
      <c r="C5090">
        <v>40000</v>
      </c>
      <c r="D5090" t="s">
        <v>71</v>
      </c>
      <c r="E5090" t="s">
        <v>74</v>
      </c>
      <c r="F5090" t="s">
        <v>80</v>
      </c>
    </row>
    <row r="5091" spans="1:6" x14ac:dyDescent="0.45">
      <c r="A5091">
        <v>70</v>
      </c>
      <c r="B5091">
        <v>12</v>
      </c>
      <c r="C5091">
        <v>40000</v>
      </c>
      <c r="D5091" t="s">
        <v>71</v>
      </c>
      <c r="E5091" t="s">
        <v>72</v>
      </c>
      <c r="F5091" t="s">
        <v>80</v>
      </c>
    </row>
    <row r="5092" spans="1:6" x14ac:dyDescent="0.45">
      <c r="A5092">
        <v>54</v>
      </c>
      <c r="B5092">
        <v>12</v>
      </c>
      <c r="C5092">
        <v>40000</v>
      </c>
      <c r="D5092" t="s">
        <v>71</v>
      </c>
      <c r="E5092" t="s">
        <v>74</v>
      </c>
      <c r="F5092" t="s">
        <v>80</v>
      </c>
    </row>
    <row r="5093" spans="1:6" x14ac:dyDescent="0.45">
      <c r="A5093">
        <v>40</v>
      </c>
      <c r="B5093">
        <v>12</v>
      </c>
      <c r="C5093">
        <v>40000</v>
      </c>
      <c r="D5093" t="s">
        <v>71</v>
      </c>
      <c r="E5093" t="s">
        <v>74</v>
      </c>
      <c r="F5093" t="s">
        <v>80</v>
      </c>
    </row>
    <row r="5094" spans="1:6" x14ac:dyDescent="0.45">
      <c r="A5094">
        <v>48</v>
      </c>
      <c r="B5094">
        <v>12</v>
      </c>
      <c r="C5094">
        <v>40000</v>
      </c>
      <c r="D5094" t="s">
        <v>71</v>
      </c>
      <c r="E5094" t="s">
        <v>74</v>
      </c>
      <c r="F5094" t="s">
        <v>80</v>
      </c>
    </row>
    <row r="5095" spans="1:6" x14ac:dyDescent="0.45">
      <c r="A5095">
        <v>40</v>
      </c>
      <c r="B5095">
        <v>12</v>
      </c>
      <c r="C5095">
        <v>40000</v>
      </c>
      <c r="D5095" t="s">
        <v>76</v>
      </c>
      <c r="E5095" t="s">
        <v>74</v>
      </c>
      <c r="F5095" t="s">
        <v>80</v>
      </c>
    </row>
    <row r="5096" spans="1:6" x14ac:dyDescent="0.45">
      <c r="A5096">
        <v>40</v>
      </c>
      <c r="B5096">
        <v>12</v>
      </c>
      <c r="C5096">
        <v>40000</v>
      </c>
      <c r="D5096" t="s">
        <v>71</v>
      </c>
      <c r="E5096" t="s">
        <v>74</v>
      </c>
      <c r="F5096" t="s">
        <v>80</v>
      </c>
    </row>
    <row r="5097" spans="1:6" x14ac:dyDescent="0.45">
      <c r="A5097">
        <v>0</v>
      </c>
      <c r="B5097">
        <v>12</v>
      </c>
      <c r="C5097">
        <v>40000</v>
      </c>
      <c r="D5097" t="s">
        <v>71</v>
      </c>
      <c r="E5097" t="s">
        <v>74</v>
      </c>
      <c r="F5097" t="s">
        <v>80</v>
      </c>
    </row>
    <row r="5098" spans="1:6" x14ac:dyDescent="0.45">
      <c r="A5098">
        <v>40</v>
      </c>
      <c r="B5098">
        <v>12</v>
      </c>
      <c r="C5098">
        <v>40000</v>
      </c>
      <c r="D5098" t="s">
        <v>71</v>
      </c>
      <c r="E5098" t="s">
        <v>72</v>
      </c>
      <c r="F5098" t="s">
        <v>80</v>
      </c>
    </row>
    <row r="5099" spans="1:6" x14ac:dyDescent="0.45">
      <c r="A5099">
        <v>50</v>
      </c>
      <c r="B5099">
        <v>12</v>
      </c>
      <c r="C5099">
        <v>40000</v>
      </c>
      <c r="D5099" t="s">
        <v>71</v>
      </c>
      <c r="E5099" t="s">
        <v>74</v>
      </c>
      <c r="F5099" t="s">
        <v>80</v>
      </c>
    </row>
    <row r="5100" spans="1:6" x14ac:dyDescent="0.45">
      <c r="A5100">
        <v>0</v>
      </c>
      <c r="B5100">
        <v>12</v>
      </c>
      <c r="C5100">
        <v>40000</v>
      </c>
      <c r="D5100" t="s">
        <v>71</v>
      </c>
      <c r="E5100" t="s">
        <v>74</v>
      </c>
      <c r="F5100" t="s">
        <v>80</v>
      </c>
    </row>
    <row r="5101" spans="1:6" x14ac:dyDescent="0.45">
      <c r="A5101">
        <v>49</v>
      </c>
      <c r="B5101">
        <v>12</v>
      </c>
      <c r="C5101">
        <v>40000</v>
      </c>
      <c r="D5101" t="s">
        <v>71</v>
      </c>
      <c r="E5101" t="s">
        <v>74</v>
      </c>
      <c r="F5101" t="s">
        <v>80</v>
      </c>
    </row>
    <row r="5102" spans="1:6" x14ac:dyDescent="0.45">
      <c r="A5102">
        <v>40</v>
      </c>
      <c r="B5102">
        <v>12</v>
      </c>
      <c r="C5102">
        <v>40000</v>
      </c>
      <c r="D5102" t="s">
        <v>71</v>
      </c>
      <c r="E5102" t="s">
        <v>74</v>
      </c>
      <c r="F5102" t="s">
        <v>80</v>
      </c>
    </row>
    <row r="5103" spans="1:6" x14ac:dyDescent="0.45">
      <c r="A5103">
        <v>0</v>
      </c>
      <c r="B5103">
        <v>12</v>
      </c>
      <c r="C5103">
        <v>40000</v>
      </c>
      <c r="D5103" t="s">
        <v>77</v>
      </c>
      <c r="E5103" t="s">
        <v>74</v>
      </c>
      <c r="F5103" t="s">
        <v>80</v>
      </c>
    </row>
    <row r="5104" spans="1:6" x14ac:dyDescent="0.45">
      <c r="A5104">
        <v>0</v>
      </c>
      <c r="B5104">
        <v>12</v>
      </c>
      <c r="C5104">
        <v>40000</v>
      </c>
      <c r="D5104" t="s">
        <v>71</v>
      </c>
      <c r="E5104" t="s">
        <v>74</v>
      </c>
      <c r="F5104" t="s">
        <v>80</v>
      </c>
    </row>
    <row r="5105" spans="1:6" x14ac:dyDescent="0.45">
      <c r="A5105">
        <v>40</v>
      </c>
      <c r="B5105">
        <v>12</v>
      </c>
      <c r="C5105">
        <v>40000</v>
      </c>
      <c r="D5105" t="s">
        <v>76</v>
      </c>
      <c r="E5105" t="s">
        <v>74</v>
      </c>
      <c r="F5105" t="s">
        <v>80</v>
      </c>
    </row>
    <row r="5106" spans="1:6" x14ac:dyDescent="0.45">
      <c r="A5106">
        <v>55</v>
      </c>
      <c r="B5106">
        <v>12</v>
      </c>
      <c r="C5106">
        <v>40000</v>
      </c>
      <c r="D5106" t="s">
        <v>71</v>
      </c>
      <c r="E5106" t="s">
        <v>74</v>
      </c>
      <c r="F5106" t="s">
        <v>80</v>
      </c>
    </row>
    <row r="5107" spans="1:6" x14ac:dyDescent="0.45">
      <c r="A5107">
        <v>40</v>
      </c>
      <c r="B5107">
        <v>12</v>
      </c>
      <c r="C5107">
        <v>40000</v>
      </c>
      <c r="D5107" t="s">
        <v>71</v>
      </c>
      <c r="E5107" t="s">
        <v>74</v>
      </c>
      <c r="F5107" t="s">
        <v>80</v>
      </c>
    </row>
    <row r="5108" spans="1:6" x14ac:dyDescent="0.45">
      <c r="A5108">
        <v>60</v>
      </c>
      <c r="B5108">
        <v>12</v>
      </c>
      <c r="C5108">
        <v>40000</v>
      </c>
      <c r="D5108" t="s">
        <v>71</v>
      </c>
      <c r="E5108" t="s">
        <v>72</v>
      </c>
      <c r="F5108" t="s">
        <v>80</v>
      </c>
    </row>
    <row r="5109" spans="1:6" x14ac:dyDescent="0.45">
      <c r="A5109">
        <v>50</v>
      </c>
      <c r="B5109">
        <v>12</v>
      </c>
      <c r="C5109">
        <v>40000</v>
      </c>
      <c r="D5109" t="s">
        <v>71</v>
      </c>
      <c r="E5109" t="s">
        <v>74</v>
      </c>
      <c r="F5109" t="s">
        <v>80</v>
      </c>
    </row>
    <row r="5110" spans="1:6" x14ac:dyDescent="0.45">
      <c r="A5110">
        <v>40</v>
      </c>
      <c r="B5110">
        <v>12</v>
      </c>
      <c r="C5110">
        <v>40000</v>
      </c>
      <c r="D5110" t="s">
        <v>71</v>
      </c>
      <c r="E5110" t="s">
        <v>74</v>
      </c>
      <c r="F5110" t="s">
        <v>80</v>
      </c>
    </row>
    <row r="5111" spans="1:6" x14ac:dyDescent="0.45">
      <c r="A5111">
        <v>40</v>
      </c>
      <c r="B5111">
        <v>12</v>
      </c>
      <c r="C5111">
        <v>40000</v>
      </c>
      <c r="D5111" t="s">
        <v>71</v>
      </c>
      <c r="E5111" t="s">
        <v>72</v>
      </c>
      <c r="F5111" t="s">
        <v>80</v>
      </c>
    </row>
    <row r="5112" spans="1:6" x14ac:dyDescent="0.45">
      <c r="A5112">
        <v>40</v>
      </c>
      <c r="B5112">
        <v>12</v>
      </c>
      <c r="C5112">
        <v>40000</v>
      </c>
      <c r="D5112" t="s">
        <v>71</v>
      </c>
      <c r="E5112" t="s">
        <v>74</v>
      </c>
      <c r="F5112" t="s">
        <v>80</v>
      </c>
    </row>
    <row r="5113" spans="1:6" x14ac:dyDescent="0.45">
      <c r="A5113">
        <v>40</v>
      </c>
      <c r="B5113">
        <v>12</v>
      </c>
      <c r="C5113">
        <v>40000</v>
      </c>
      <c r="D5113" t="s">
        <v>71</v>
      </c>
      <c r="E5113" t="s">
        <v>74</v>
      </c>
      <c r="F5113" t="s">
        <v>80</v>
      </c>
    </row>
    <row r="5114" spans="1:6" x14ac:dyDescent="0.45">
      <c r="A5114">
        <v>40</v>
      </c>
      <c r="B5114">
        <v>12</v>
      </c>
      <c r="C5114">
        <v>40000</v>
      </c>
      <c r="D5114" t="s">
        <v>71</v>
      </c>
      <c r="E5114" t="s">
        <v>74</v>
      </c>
      <c r="F5114" t="s">
        <v>80</v>
      </c>
    </row>
    <row r="5115" spans="1:6" x14ac:dyDescent="0.45">
      <c r="A5115">
        <v>40</v>
      </c>
      <c r="B5115">
        <v>12</v>
      </c>
      <c r="C5115">
        <v>40000</v>
      </c>
      <c r="D5115" t="s">
        <v>71</v>
      </c>
      <c r="E5115" t="s">
        <v>74</v>
      </c>
      <c r="F5115" t="s">
        <v>80</v>
      </c>
    </row>
    <row r="5116" spans="1:6" x14ac:dyDescent="0.45">
      <c r="A5116">
        <v>40</v>
      </c>
      <c r="B5116">
        <v>12</v>
      </c>
      <c r="C5116">
        <v>40000</v>
      </c>
      <c r="D5116" t="s">
        <v>71</v>
      </c>
      <c r="E5116" t="s">
        <v>74</v>
      </c>
      <c r="F5116" t="s">
        <v>80</v>
      </c>
    </row>
    <row r="5117" spans="1:6" x14ac:dyDescent="0.45">
      <c r="A5117">
        <v>40</v>
      </c>
      <c r="B5117">
        <v>12</v>
      </c>
      <c r="C5117">
        <v>40000</v>
      </c>
      <c r="D5117" t="s">
        <v>71</v>
      </c>
      <c r="E5117" t="s">
        <v>74</v>
      </c>
      <c r="F5117" t="s">
        <v>80</v>
      </c>
    </row>
    <row r="5118" spans="1:6" x14ac:dyDescent="0.45">
      <c r="A5118">
        <v>50</v>
      </c>
      <c r="B5118">
        <v>12</v>
      </c>
      <c r="C5118">
        <v>40000</v>
      </c>
      <c r="D5118" t="s">
        <v>71</v>
      </c>
      <c r="E5118" t="s">
        <v>72</v>
      </c>
      <c r="F5118" t="s">
        <v>80</v>
      </c>
    </row>
    <row r="5119" spans="1:6" x14ac:dyDescent="0.45">
      <c r="A5119">
        <v>55</v>
      </c>
      <c r="B5119">
        <v>12</v>
      </c>
      <c r="C5119">
        <v>40000</v>
      </c>
      <c r="D5119" t="s">
        <v>71</v>
      </c>
      <c r="E5119" t="s">
        <v>72</v>
      </c>
      <c r="F5119" t="s">
        <v>80</v>
      </c>
    </row>
    <row r="5120" spans="1:6" x14ac:dyDescent="0.45">
      <c r="A5120">
        <v>40</v>
      </c>
      <c r="B5120">
        <v>12</v>
      </c>
      <c r="C5120">
        <v>40000</v>
      </c>
      <c r="D5120" t="s">
        <v>71</v>
      </c>
      <c r="E5120" t="s">
        <v>72</v>
      </c>
      <c r="F5120" t="s">
        <v>80</v>
      </c>
    </row>
    <row r="5121" spans="1:6" x14ac:dyDescent="0.45">
      <c r="A5121">
        <v>99</v>
      </c>
      <c r="B5121">
        <v>12</v>
      </c>
      <c r="C5121">
        <v>40000</v>
      </c>
      <c r="D5121" t="s">
        <v>71</v>
      </c>
      <c r="E5121" t="s">
        <v>74</v>
      </c>
      <c r="F5121" t="s">
        <v>80</v>
      </c>
    </row>
    <row r="5122" spans="1:6" x14ac:dyDescent="0.45">
      <c r="A5122">
        <v>40</v>
      </c>
      <c r="B5122">
        <v>12</v>
      </c>
      <c r="C5122">
        <v>40000</v>
      </c>
      <c r="D5122" t="s">
        <v>71</v>
      </c>
      <c r="E5122" t="s">
        <v>74</v>
      </c>
      <c r="F5122" t="s">
        <v>80</v>
      </c>
    </row>
    <row r="5123" spans="1:6" x14ac:dyDescent="0.45">
      <c r="A5123">
        <v>45</v>
      </c>
      <c r="B5123">
        <v>12</v>
      </c>
      <c r="C5123">
        <v>40000</v>
      </c>
      <c r="D5123" t="s">
        <v>71</v>
      </c>
      <c r="E5123" t="s">
        <v>74</v>
      </c>
      <c r="F5123" t="s">
        <v>80</v>
      </c>
    </row>
    <row r="5124" spans="1:6" x14ac:dyDescent="0.45">
      <c r="A5124">
        <v>40</v>
      </c>
      <c r="B5124">
        <v>12</v>
      </c>
      <c r="C5124">
        <v>40000</v>
      </c>
      <c r="D5124" t="s">
        <v>71</v>
      </c>
      <c r="E5124" t="s">
        <v>74</v>
      </c>
      <c r="F5124" t="s">
        <v>80</v>
      </c>
    </row>
    <row r="5125" spans="1:6" x14ac:dyDescent="0.45">
      <c r="A5125">
        <v>55</v>
      </c>
      <c r="B5125">
        <v>12</v>
      </c>
      <c r="C5125">
        <v>40000</v>
      </c>
      <c r="D5125" t="s">
        <v>71</v>
      </c>
      <c r="E5125" t="s">
        <v>74</v>
      </c>
      <c r="F5125" t="s">
        <v>80</v>
      </c>
    </row>
    <row r="5126" spans="1:6" x14ac:dyDescent="0.45">
      <c r="A5126">
        <v>40</v>
      </c>
      <c r="B5126">
        <v>12</v>
      </c>
      <c r="C5126">
        <v>40000</v>
      </c>
      <c r="D5126" t="s">
        <v>71</v>
      </c>
      <c r="E5126" t="s">
        <v>74</v>
      </c>
      <c r="F5126" t="s">
        <v>80</v>
      </c>
    </row>
    <row r="5127" spans="1:6" x14ac:dyDescent="0.45">
      <c r="A5127">
        <v>50</v>
      </c>
      <c r="B5127">
        <v>12</v>
      </c>
      <c r="C5127">
        <v>40000</v>
      </c>
      <c r="D5127" t="s">
        <v>71</v>
      </c>
      <c r="E5127" t="s">
        <v>74</v>
      </c>
      <c r="F5127" t="s">
        <v>80</v>
      </c>
    </row>
    <row r="5128" spans="1:6" x14ac:dyDescent="0.45">
      <c r="A5128">
        <v>0</v>
      </c>
      <c r="B5128">
        <v>12</v>
      </c>
      <c r="C5128">
        <v>40000</v>
      </c>
      <c r="D5128" t="s">
        <v>71</v>
      </c>
      <c r="E5128" t="s">
        <v>74</v>
      </c>
      <c r="F5128" t="s">
        <v>80</v>
      </c>
    </row>
    <row r="5129" spans="1:6" x14ac:dyDescent="0.45">
      <c r="A5129">
        <v>45</v>
      </c>
      <c r="B5129">
        <v>12</v>
      </c>
      <c r="C5129">
        <v>40000</v>
      </c>
      <c r="D5129" t="s">
        <v>71</v>
      </c>
      <c r="E5129" t="s">
        <v>74</v>
      </c>
      <c r="F5129" t="s">
        <v>80</v>
      </c>
    </row>
    <row r="5130" spans="1:6" x14ac:dyDescent="0.45">
      <c r="A5130">
        <v>50</v>
      </c>
      <c r="B5130">
        <v>12</v>
      </c>
      <c r="C5130">
        <v>40300</v>
      </c>
      <c r="D5130" t="s">
        <v>71</v>
      </c>
      <c r="E5130" t="s">
        <v>72</v>
      </c>
      <c r="F5130" t="s">
        <v>80</v>
      </c>
    </row>
    <row r="5131" spans="1:6" x14ac:dyDescent="0.45">
      <c r="A5131">
        <v>50</v>
      </c>
      <c r="B5131">
        <v>12</v>
      </c>
      <c r="C5131">
        <v>40372</v>
      </c>
      <c r="D5131" t="s">
        <v>71</v>
      </c>
      <c r="E5131" t="s">
        <v>74</v>
      </c>
      <c r="F5131" t="s">
        <v>80</v>
      </c>
    </row>
    <row r="5132" spans="1:6" x14ac:dyDescent="0.45">
      <c r="A5132">
        <v>40</v>
      </c>
      <c r="B5132">
        <v>12</v>
      </c>
      <c r="C5132">
        <v>40997</v>
      </c>
      <c r="D5132" t="s">
        <v>71</v>
      </c>
      <c r="E5132" t="s">
        <v>74</v>
      </c>
      <c r="F5132" t="s">
        <v>80</v>
      </c>
    </row>
    <row r="5133" spans="1:6" x14ac:dyDescent="0.45">
      <c r="A5133">
        <v>45</v>
      </c>
      <c r="B5133">
        <v>12</v>
      </c>
      <c r="C5133">
        <v>41000</v>
      </c>
      <c r="D5133" t="s">
        <v>71</v>
      </c>
      <c r="E5133" t="s">
        <v>74</v>
      </c>
      <c r="F5133" t="s">
        <v>80</v>
      </c>
    </row>
    <row r="5134" spans="1:6" x14ac:dyDescent="0.45">
      <c r="A5134">
        <v>52</v>
      </c>
      <c r="B5134">
        <v>12</v>
      </c>
      <c r="C5134">
        <v>41000</v>
      </c>
      <c r="D5134" t="s">
        <v>71</v>
      </c>
      <c r="E5134" t="s">
        <v>74</v>
      </c>
      <c r="F5134" t="s">
        <v>80</v>
      </c>
    </row>
    <row r="5135" spans="1:6" x14ac:dyDescent="0.45">
      <c r="A5135">
        <v>57</v>
      </c>
      <c r="B5135">
        <v>12</v>
      </c>
      <c r="C5135">
        <v>41000</v>
      </c>
      <c r="D5135" t="s">
        <v>71</v>
      </c>
      <c r="E5135" t="s">
        <v>74</v>
      </c>
      <c r="F5135" t="s">
        <v>80</v>
      </c>
    </row>
    <row r="5136" spans="1:6" x14ac:dyDescent="0.45">
      <c r="A5136">
        <v>48</v>
      </c>
      <c r="B5136">
        <v>12</v>
      </c>
      <c r="C5136">
        <v>41000</v>
      </c>
      <c r="D5136" t="s">
        <v>71</v>
      </c>
      <c r="E5136" t="s">
        <v>74</v>
      </c>
      <c r="F5136" t="s">
        <v>80</v>
      </c>
    </row>
    <row r="5137" spans="1:6" x14ac:dyDescent="0.45">
      <c r="A5137">
        <v>35</v>
      </c>
      <c r="B5137">
        <v>12</v>
      </c>
      <c r="C5137">
        <v>41000</v>
      </c>
      <c r="D5137" t="s">
        <v>71</v>
      </c>
      <c r="E5137" t="s">
        <v>72</v>
      </c>
      <c r="F5137" t="s">
        <v>80</v>
      </c>
    </row>
    <row r="5138" spans="1:6" x14ac:dyDescent="0.45">
      <c r="A5138">
        <v>40</v>
      </c>
      <c r="B5138">
        <v>12</v>
      </c>
      <c r="C5138">
        <v>41000</v>
      </c>
      <c r="D5138" t="s">
        <v>76</v>
      </c>
      <c r="E5138" t="s">
        <v>74</v>
      </c>
      <c r="F5138" t="s">
        <v>80</v>
      </c>
    </row>
    <row r="5139" spans="1:6" x14ac:dyDescent="0.45">
      <c r="A5139">
        <v>50</v>
      </c>
      <c r="B5139">
        <v>12</v>
      </c>
      <c r="C5139">
        <v>41000</v>
      </c>
      <c r="D5139" t="s">
        <v>71</v>
      </c>
      <c r="E5139" t="s">
        <v>74</v>
      </c>
      <c r="F5139" t="s">
        <v>80</v>
      </c>
    </row>
    <row r="5140" spans="1:6" x14ac:dyDescent="0.45">
      <c r="A5140">
        <v>40</v>
      </c>
      <c r="B5140">
        <v>12</v>
      </c>
      <c r="C5140">
        <v>41000</v>
      </c>
      <c r="D5140" t="s">
        <v>71</v>
      </c>
      <c r="E5140" t="s">
        <v>74</v>
      </c>
      <c r="F5140" t="s">
        <v>80</v>
      </c>
    </row>
    <row r="5141" spans="1:6" x14ac:dyDescent="0.45">
      <c r="A5141">
        <v>60</v>
      </c>
      <c r="B5141">
        <v>12</v>
      </c>
      <c r="C5141">
        <v>41000</v>
      </c>
      <c r="D5141" t="s">
        <v>71</v>
      </c>
      <c r="E5141" t="s">
        <v>74</v>
      </c>
      <c r="F5141" t="s">
        <v>80</v>
      </c>
    </row>
    <row r="5142" spans="1:6" x14ac:dyDescent="0.45">
      <c r="A5142">
        <v>40</v>
      </c>
      <c r="B5142">
        <v>12</v>
      </c>
      <c r="C5142">
        <v>41064</v>
      </c>
      <c r="D5142" t="s">
        <v>71</v>
      </c>
      <c r="E5142" t="s">
        <v>74</v>
      </c>
      <c r="F5142" t="s">
        <v>80</v>
      </c>
    </row>
    <row r="5143" spans="1:6" x14ac:dyDescent="0.45">
      <c r="A5143">
        <v>40</v>
      </c>
      <c r="B5143">
        <v>12</v>
      </c>
      <c r="C5143">
        <v>41510</v>
      </c>
      <c r="D5143" t="s">
        <v>76</v>
      </c>
      <c r="E5143" t="s">
        <v>72</v>
      </c>
      <c r="F5143" t="s">
        <v>80</v>
      </c>
    </row>
    <row r="5144" spans="1:6" x14ac:dyDescent="0.45">
      <c r="A5144">
        <v>40</v>
      </c>
      <c r="B5144">
        <v>12</v>
      </c>
      <c r="C5144">
        <v>41600</v>
      </c>
      <c r="D5144" t="s">
        <v>71</v>
      </c>
      <c r="E5144" t="s">
        <v>74</v>
      </c>
      <c r="F5144" t="s">
        <v>80</v>
      </c>
    </row>
    <row r="5145" spans="1:6" x14ac:dyDescent="0.45">
      <c r="A5145">
        <v>40</v>
      </c>
      <c r="B5145">
        <v>12</v>
      </c>
      <c r="C5145">
        <v>41600</v>
      </c>
      <c r="D5145" t="s">
        <v>76</v>
      </c>
      <c r="E5145" t="s">
        <v>74</v>
      </c>
      <c r="F5145" t="s">
        <v>80</v>
      </c>
    </row>
    <row r="5146" spans="1:6" x14ac:dyDescent="0.45">
      <c r="A5146">
        <v>50</v>
      </c>
      <c r="B5146">
        <v>12</v>
      </c>
      <c r="C5146">
        <v>41600</v>
      </c>
      <c r="D5146" t="s">
        <v>71</v>
      </c>
      <c r="E5146" t="s">
        <v>74</v>
      </c>
      <c r="F5146" t="s">
        <v>80</v>
      </c>
    </row>
    <row r="5147" spans="1:6" x14ac:dyDescent="0.45">
      <c r="A5147">
        <v>40</v>
      </c>
      <c r="B5147">
        <v>12</v>
      </c>
      <c r="C5147">
        <v>41602</v>
      </c>
      <c r="D5147" t="s">
        <v>71</v>
      </c>
      <c r="E5147" t="s">
        <v>74</v>
      </c>
      <c r="F5147" t="s">
        <v>80</v>
      </c>
    </row>
    <row r="5148" spans="1:6" x14ac:dyDescent="0.45">
      <c r="A5148">
        <v>40</v>
      </c>
      <c r="B5148">
        <v>12</v>
      </c>
      <c r="C5148">
        <v>42000</v>
      </c>
      <c r="D5148" t="s">
        <v>71</v>
      </c>
      <c r="E5148" t="s">
        <v>74</v>
      </c>
      <c r="F5148" t="s">
        <v>80</v>
      </c>
    </row>
    <row r="5149" spans="1:6" x14ac:dyDescent="0.45">
      <c r="A5149">
        <v>40</v>
      </c>
      <c r="B5149">
        <v>12</v>
      </c>
      <c r="C5149">
        <v>42000</v>
      </c>
      <c r="D5149" t="s">
        <v>71</v>
      </c>
      <c r="E5149" t="s">
        <v>72</v>
      </c>
      <c r="F5149" t="s">
        <v>80</v>
      </c>
    </row>
    <row r="5150" spans="1:6" x14ac:dyDescent="0.45">
      <c r="A5150">
        <v>50</v>
      </c>
      <c r="B5150">
        <v>12</v>
      </c>
      <c r="C5150">
        <v>42000</v>
      </c>
      <c r="D5150" t="s">
        <v>71</v>
      </c>
      <c r="E5150" t="s">
        <v>74</v>
      </c>
      <c r="F5150" t="s">
        <v>80</v>
      </c>
    </row>
    <row r="5151" spans="1:6" x14ac:dyDescent="0.45">
      <c r="A5151">
        <v>40</v>
      </c>
      <c r="B5151">
        <v>12</v>
      </c>
      <c r="C5151">
        <v>42000</v>
      </c>
      <c r="D5151" t="s">
        <v>71</v>
      </c>
      <c r="E5151" t="s">
        <v>74</v>
      </c>
      <c r="F5151" t="s">
        <v>80</v>
      </c>
    </row>
    <row r="5152" spans="1:6" x14ac:dyDescent="0.45">
      <c r="A5152">
        <v>40</v>
      </c>
      <c r="B5152">
        <v>12</v>
      </c>
      <c r="C5152">
        <v>42000</v>
      </c>
      <c r="D5152" t="s">
        <v>71</v>
      </c>
      <c r="E5152" t="s">
        <v>74</v>
      </c>
      <c r="F5152" t="s">
        <v>80</v>
      </c>
    </row>
    <row r="5153" spans="1:6" x14ac:dyDescent="0.45">
      <c r="A5153">
        <v>40</v>
      </c>
      <c r="B5153">
        <v>12</v>
      </c>
      <c r="C5153">
        <v>42000</v>
      </c>
      <c r="D5153" t="s">
        <v>76</v>
      </c>
      <c r="E5153" t="s">
        <v>72</v>
      </c>
      <c r="F5153" t="s">
        <v>80</v>
      </c>
    </row>
    <row r="5154" spans="1:6" x14ac:dyDescent="0.45">
      <c r="A5154">
        <v>48</v>
      </c>
      <c r="B5154">
        <v>12</v>
      </c>
      <c r="C5154">
        <v>42000</v>
      </c>
      <c r="D5154" t="s">
        <v>71</v>
      </c>
      <c r="E5154" t="s">
        <v>74</v>
      </c>
      <c r="F5154" t="s">
        <v>80</v>
      </c>
    </row>
    <row r="5155" spans="1:6" x14ac:dyDescent="0.45">
      <c r="A5155">
        <v>40</v>
      </c>
      <c r="B5155">
        <v>12</v>
      </c>
      <c r="C5155">
        <v>42000</v>
      </c>
      <c r="D5155" t="s">
        <v>71</v>
      </c>
      <c r="E5155" t="s">
        <v>74</v>
      </c>
      <c r="F5155" t="s">
        <v>80</v>
      </c>
    </row>
    <row r="5156" spans="1:6" x14ac:dyDescent="0.45">
      <c r="A5156">
        <v>48</v>
      </c>
      <c r="B5156">
        <v>12</v>
      </c>
      <c r="C5156">
        <v>42000</v>
      </c>
      <c r="D5156" t="s">
        <v>71</v>
      </c>
      <c r="E5156" t="s">
        <v>74</v>
      </c>
      <c r="F5156" t="s">
        <v>80</v>
      </c>
    </row>
    <row r="5157" spans="1:6" x14ac:dyDescent="0.45">
      <c r="A5157">
        <v>40</v>
      </c>
      <c r="B5157">
        <v>12</v>
      </c>
      <c r="C5157">
        <v>42000</v>
      </c>
      <c r="D5157" t="s">
        <v>71</v>
      </c>
      <c r="E5157" t="s">
        <v>74</v>
      </c>
      <c r="F5157" t="s">
        <v>80</v>
      </c>
    </row>
    <row r="5158" spans="1:6" x14ac:dyDescent="0.45">
      <c r="A5158">
        <v>40</v>
      </c>
      <c r="B5158">
        <v>12</v>
      </c>
      <c r="C5158">
        <v>42000</v>
      </c>
      <c r="D5158" t="s">
        <v>71</v>
      </c>
      <c r="E5158" t="s">
        <v>74</v>
      </c>
      <c r="F5158" t="s">
        <v>80</v>
      </c>
    </row>
    <row r="5159" spans="1:6" x14ac:dyDescent="0.45">
      <c r="A5159">
        <v>40</v>
      </c>
      <c r="B5159">
        <v>12</v>
      </c>
      <c r="C5159">
        <v>42000</v>
      </c>
      <c r="D5159" t="s">
        <v>71</v>
      </c>
      <c r="E5159" t="s">
        <v>74</v>
      </c>
      <c r="F5159" t="s">
        <v>80</v>
      </c>
    </row>
    <row r="5160" spans="1:6" x14ac:dyDescent="0.45">
      <c r="A5160">
        <v>40</v>
      </c>
      <c r="B5160">
        <v>12</v>
      </c>
      <c r="C5160">
        <v>42000</v>
      </c>
      <c r="D5160" t="s">
        <v>71</v>
      </c>
      <c r="E5160" t="s">
        <v>74</v>
      </c>
      <c r="F5160" t="s">
        <v>80</v>
      </c>
    </row>
    <row r="5161" spans="1:6" x14ac:dyDescent="0.45">
      <c r="A5161">
        <v>45</v>
      </c>
      <c r="B5161">
        <v>12</v>
      </c>
      <c r="C5161">
        <v>42000</v>
      </c>
      <c r="D5161" t="s">
        <v>71</v>
      </c>
      <c r="E5161" t="s">
        <v>74</v>
      </c>
      <c r="F5161" t="s">
        <v>80</v>
      </c>
    </row>
    <row r="5162" spans="1:6" x14ac:dyDescent="0.45">
      <c r="A5162">
        <v>45</v>
      </c>
      <c r="B5162">
        <v>12</v>
      </c>
      <c r="C5162">
        <v>42000</v>
      </c>
      <c r="D5162" t="s">
        <v>71</v>
      </c>
      <c r="E5162" t="s">
        <v>72</v>
      </c>
      <c r="F5162" t="s">
        <v>80</v>
      </c>
    </row>
    <row r="5163" spans="1:6" x14ac:dyDescent="0.45">
      <c r="A5163">
        <v>40</v>
      </c>
      <c r="B5163">
        <v>12</v>
      </c>
      <c r="C5163">
        <v>42000</v>
      </c>
      <c r="D5163" t="s">
        <v>71</v>
      </c>
      <c r="E5163" t="s">
        <v>72</v>
      </c>
      <c r="F5163" t="s">
        <v>80</v>
      </c>
    </row>
    <row r="5164" spans="1:6" x14ac:dyDescent="0.45">
      <c r="A5164">
        <v>40</v>
      </c>
      <c r="B5164">
        <v>12</v>
      </c>
      <c r="C5164">
        <v>42000</v>
      </c>
      <c r="D5164" t="s">
        <v>71</v>
      </c>
      <c r="E5164" t="s">
        <v>74</v>
      </c>
      <c r="F5164" t="s">
        <v>80</v>
      </c>
    </row>
    <row r="5165" spans="1:6" x14ac:dyDescent="0.45">
      <c r="A5165">
        <v>40</v>
      </c>
      <c r="B5165">
        <v>12</v>
      </c>
      <c r="C5165">
        <v>42000</v>
      </c>
      <c r="D5165" t="s">
        <v>71</v>
      </c>
      <c r="E5165" t="s">
        <v>72</v>
      </c>
      <c r="F5165" t="s">
        <v>80</v>
      </c>
    </row>
    <row r="5166" spans="1:6" x14ac:dyDescent="0.45">
      <c r="A5166">
        <v>45</v>
      </c>
      <c r="B5166">
        <v>12</v>
      </c>
      <c r="C5166">
        <v>42000</v>
      </c>
      <c r="D5166" t="s">
        <v>71</v>
      </c>
      <c r="E5166" t="s">
        <v>74</v>
      </c>
      <c r="F5166" t="s">
        <v>80</v>
      </c>
    </row>
    <row r="5167" spans="1:6" x14ac:dyDescent="0.45">
      <c r="A5167">
        <v>40</v>
      </c>
      <c r="B5167">
        <v>12</v>
      </c>
      <c r="C5167">
        <v>42000</v>
      </c>
      <c r="D5167" t="s">
        <v>71</v>
      </c>
      <c r="E5167" t="s">
        <v>74</v>
      </c>
      <c r="F5167" t="s">
        <v>80</v>
      </c>
    </row>
    <row r="5168" spans="1:6" x14ac:dyDescent="0.45">
      <c r="A5168">
        <v>40</v>
      </c>
      <c r="B5168">
        <v>12</v>
      </c>
      <c r="C5168">
        <v>42000</v>
      </c>
      <c r="D5168" t="s">
        <v>71</v>
      </c>
      <c r="E5168" t="s">
        <v>74</v>
      </c>
      <c r="F5168" t="s">
        <v>80</v>
      </c>
    </row>
    <row r="5169" spans="1:6" x14ac:dyDescent="0.45">
      <c r="A5169">
        <v>40</v>
      </c>
      <c r="B5169">
        <v>12</v>
      </c>
      <c r="C5169">
        <v>42000</v>
      </c>
      <c r="D5169" t="s">
        <v>71</v>
      </c>
      <c r="E5169" t="s">
        <v>74</v>
      </c>
      <c r="F5169" t="s">
        <v>80</v>
      </c>
    </row>
    <row r="5170" spans="1:6" x14ac:dyDescent="0.45">
      <c r="A5170">
        <v>45</v>
      </c>
      <c r="B5170">
        <v>12</v>
      </c>
      <c r="C5170">
        <v>42000</v>
      </c>
      <c r="D5170" t="s">
        <v>71</v>
      </c>
      <c r="E5170" t="s">
        <v>74</v>
      </c>
      <c r="F5170" t="s">
        <v>80</v>
      </c>
    </row>
    <row r="5171" spans="1:6" x14ac:dyDescent="0.45">
      <c r="A5171">
        <v>48</v>
      </c>
      <c r="B5171">
        <v>12</v>
      </c>
      <c r="C5171">
        <v>42000</v>
      </c>
      <c r="D5171" t="s">
        <v>71</v>
      </c>
      <c r="E5171" t="s">
        <v>74</v>
      </c>
      <c r="F5171" t="s">
        <v>80</v>
      </c>
    </row>
    <row r="5172" spans="1:6" x14ac:dyDescent="0.45">
      <c r="A5172">
        <v>46</v>
      </c>
      <c r="B5172">
        <v>12</v>
      </c>
      <c r="C5172">
        <v>42000</v>
      </c>
      <c r="D5172" t="s">
        <v>71</v>
      </c>
      <c r="E5172" t="s">
        <v>74</v>
      </c>
      <c r="F5172" t="s">
        <v>80</v>
      </c>
    </row>
    <row r="5173" spans="1:6" x14ac:dyDescent="0.45">
      <c r="A5173">
        <v>40</v>
      </c>
      <c r="B5173">
        <v>12</v>
      </c>
      <c r="C5173">
        <v>42000</v>
      </c>
      <c r="D5173" t="s">
        <v>71</v>
      </c>
      <c r="E5173" t="s">
        <v>72</v>
      </c>
      <c r="F5173" t="s">
        <v>80</v>
      </c>
    </row>
    <row r="5174" spans="1:6" x14ac:dyDescent="0.45">
      <c r="A5174">
        <v>40</v>
      </c>
      <c r="B5174">
        <v>12</v>
      </c>
      <c r="C5174">
        <v>42000</v>
      </c>
      <c r="D5174" t="s">
        <v>71</v>
      </c>
      <c r="E5174" t="s">
        <v>74</v>
      </c>
      <c r="F5174" t="s">
        <v>80</v>
      </c>
    </row>
    <row r="5175" spans="1:6" x14ac:dyDescent="0.45">
      <c r="A5175">
        <v>45</v>
      </c>
      <c r="B5175">
        <v>12</v>
      </c>
      <c r="C5175">
        <v>42000</v>
      </c>
      <c r="D5175" t="s">
        <v>71</v>
      </c>
      <c r="E5175" t="s">
        <v>72</v>
      </c>
      <c r="F5175" t="s">
        <v>80</v>
      </c>
    </row>
    <row r="5176" spans="1:6" x14ac:dyDescent="0.45">
      <c r="A5176">
        <v>35</v>
      </c>
      <c r="B5176">
        <v>12</v>
      </c>
      <c r="C5176">
        <v>42000</v>
      </c>
      <c r="D5176" t="s">
        <v>71</v>
      </c>
      <c r="E5176" t="s">
        <v>72</v>
      </c>
      <c r="F5176" t="s">
        <v>80</v>
      </c>
    </row>
    <row r="5177" spans="1:6" x14ac:dyDescent="0.45">
      <c r="A5177">
        <v>40</v>
      </c>
      <c r="B5177">
        <v>12</v>
      </c>
      <c r="C5177">
        <v>42000</v>
      </c>
      <c r="D5177" t="s">
        <v>71</v>
      </c>
      <c r="E5177" t="s">
        <v>74</v>
      </c>
      <c r="F5177" t="s">
        <v>80</v>
      </c>
    </row>
    <row r="5178" spans="1:6" x14ac:dyDescent="0.45">
      <c r="A5178">
        <v>80</v>
      </c>
      <c r="B5178">
        <v>12</v>
      </c>
      <c r="C5178">
        <v>42000</v>
      </c>
      <c r="D5178" t="s">
        <v>75</v>
      </c>
      <c r="E5178" t="s">
        <v>74</v>
      </c>
      <c r="F5178" t="s">
        <v>80</v>
      </c>
    </row>
    <row r="5179" spans="1:6" x14ac:dyDescent="0.45">
      <c r="A5179">
        <v>40</v>
      </c>
      <c r="B5179">
        <v>12</v>
      </c>
      <c r="C5179">
        <v>42000</v>
      </c>
      <c r="D5179" t="s">
        <v>71</v>
      </c>
      <c r="E5179" t="s">
        <v>74</v>
      </c>
      <c r="F5179" t="s">
        <v>80</v>
      </c>
    </row>
    <row r="5180" spans="1:6" x14ac:dyDescent="0.45">
      <c r="A5180">
        <v>55</v>
      </c>
      <c r="B5180">
        <v>12</v>
      </c>
      <c r="C5180">
        <v>42099</v>
      </c>
      <c r="D5180" t="s">
        <v>71</v>
      </c>
      <c r="E5180" t="s">
        <v>74</v>
      </c>
      <c r="F5180" t="s">
        <v>80</v>
      </c>
    </row>
    <row r="5181" spans="1:6" x14ac:dyDescent="0.45">
      <c r="A5181">
        <v>40</v>
      </c>
      <c r="B5181">
        <v>12</v>
      </c>
      <c r="C5181">
        <v>42500</v>
      </c>
      <c r="D5181" t="s">
        <v>71</v>
      </c>
      <c r="E5181" t="s">
        <v>74</v>
      </c>
      <c r="F5181" t="s">
        <v>80</v>
      </c>
    </row>
    <row r="5182" spans="1:6" x14ac:dyDescent="0.45">
      <c r="A5182">
        <v>40</v>
      </c>
      <c r="B5182">
        <v>12</v>
      </c>
      <c r="C5182">
        <v>43000</v>
      </c>
      <c r="D5182" t="s">
        <v>71</v>
      </c>
      <c r="E5182" t="s">
        <v>74</v>
      </c>
      <c r="F5182" t="s">
        <v>80</v>
      </c>
    </row>
    <row r="5183" spans="1:6" x14ac:dyDescent="0.45">
      <c r="A5183">
        <v>55</v>
      </c>
      <c r="B5183">
        <v>12</v>
      </c>
      <c r="C5183">
        <v>43000</v>
      </c>
      <c r="D5183" t="s">
        <v>71</v>
      </c>
      <c r="E5183" t="s">
        <v>74</v>
      </c>
      <c r="F5183" t="s">
        <v>80</v>
      </c>
    </row>
    <row r="5184" spans="1:6" x14ac:dyDescent="0.45">
      <c r="A5184">
        <v>40</v>
      </c>
      <c r="B5184">
        <v>12</v>
      </c>
      <c r="C5184">
        <v>43000</v>
      </c>
      <c r="D5184" t="s">
        <v>76</v>
      </c>
      <c r="E5184" t="s">
        <v>72</v>
      </c>
      <c r="F5184" t="s">
        <v>80</v>
      </c>
    </row>
    <row r="5185" spans="1:6" x14ac:dyDescent="0.45">
      <c r="A5185">
        <v>50</v>
      </c>
      <c r="B5185">
        <v>12</v>
      </c>
      <c r="C5185">
        <v>43000</v>
      </c>
      <c r="D5185" t="s">
        <v>71</v>
      </c>
      <c r="E5185" t="s">
        <v>72</v>
      </c>
      <c r="F5185" t="s">
        <v>80</v>
      </c>
    </row>
    <row r="5186" spans="1:6" x14ac:dyDescent="0.45">
      <c r="A5186">
        <v>0</v>
      </c>
      <c r="B5186">
        <v>12</v>
      </c>
      <c r="C5186">
        <v>43000</v>
      </c>
      <c r="D5186" t="s">
        <v>76</v>
      </c>
      <c r="E5186" t="s">
        <v>72</v>
      </c>
      <c r="F5186" t="s">
        <v>80</v>
      </c>
    </row>
    <row r="5187" spans="1:6" x14ac:dyDescent="0.45">
      <c r="A5187">
        <v>40</v>
      </c>
      <c r="B5187">
        <v>12</v>
      </c>
      <c r="C5187">
        <v>43000</v>
      </c>
      <c r="D5187" t="s">
        <v>71</v>
      </c>
      <c r="E5187" t="s">
        <v>72</v>
      </c>
      <c r="F5187" t="s">
        <v>80</v>
      </c>
    </row>
    <row r="5188" spans="1:6" x14ac:dyDescent="0.45">
      <c r="A5188">
        <v>38</v>
      </c>
      <c r="B5188">
        <v>12</v>
      </c>
      <c r="C5188">
        <v>43000</v>
      </c>
      <c r="D5188" t="s">
        <v>71</v>
      </c>
      <c r="E5188" t="s">
        <v>72</v>
      </c>
      <c r="F5188" t="s">
        <v>80</v>
      </c>
    </row>
    <row r="5189" spans="1:6" x14ac:dyDescent="0.45">
      <c r="A5189">
        <v>0</v>
      </c>
      <c r="B5189">
        <v>12</v>
      </c>
      <c r="C5189">
        <v>43000</v>
      </c>
      <c r="D5189" t="s">
        <v>71</v>
      </c>
      <c r="E5189" t="s">
        <v>74</v>
      </c>
      <c r="F5189" t="s">
        <v>80</v>
      </c>
    </row>
    <row r="5190" spans="1:6" x14ac:dyDescent="0.45">
      <c r="A5190">
        <v>40</v>
      </c>
      <c r="B5190">
        <v>12</v>
      </c>
      <c r="C5190">
        <v>43000</v>
      </c>
      <c r="D5190" t="s">
        <v>76</v>
      </c>
      <c r="E5190" t="s">
        <v>72</v>
      </c>
      <c r="F5190" t="s">
        <v>80</v>
      </c>
    </row>
    <row r="5191" spans="1:6" x14ac:dyDescent="0.45">
      <c r="A5191">
        <v>40</v>
      </c>
      <c r="B5191">
        <v>12</v>
      </c>
      <c r="C5191">
        <v>43000</v>
      </c>
      <c r="D5191" t="s">
        <v>71</v>
      </c>
      <c r="E5191" t="s">
        <v>74</v>
      </c>
      <c r="F5191" t="s">
        <v>80</v>
      </c>
    </row>
    <row r="5192" spans="1:6" x14ac:dyDescent="0.45">
      <c r="A5192">
        <v>40</v>
      </c>
      <c r="B5192">
        <v>12</v>
      </c>
      <c r="C5192">
        <v>43000</v>
      </c>
      <c r="D5192" t="s">
        <v>71</v>
      </c>
      <c r="E5192" t="s">
        <v>74</v>
      </c>
      <c r="F5192" t="s">
        <v>80</v>
      </c>
    </row>
    <row r="5193" spans="1:6" x14ac:dyDescent="0.45">
      <c r="A5193">
        <v>40</v>
      </c>
      <c r="B5193">
        <v>12</v>
      </c>
      <c r="C5193">
        <v>43000</v>
      </c>
      <c r="D5193" t="s">
        <v>71</v>
      </c>
      <c r="E5193" t="s">
        <v>74</v>
      </c>
      <c r="F5193" t="s">
        <v>80</v>
      </c>
    </row>
    <row r="5194" spans="1:6" x14ac:dyDescent="0.45">
      <c r="A5194">
        <v>0</v>
      </c>
      <c r="B5194">
        <v>12</v>
      </c>
      <c r="C5194">
        <v>43000</v>
      </c>
      <c r="D5194" t="s">
        <v>71</v>
      </c>
      <c r="E5194" t="s">
        <v>74</v>
      </c>
      <c r="F5194" t="s">
        <v>80</v>
      </c>
    </row>
    <row r="5195" spans="1:6" x14ac:dyDescent="0.45">
      <c r="A5195">
        <v>40</v>
      </c>
      <c r="B5195">
        <v>12</v>
      </c>
      <c r="C5195">
        <v>43200</v>
      </c>
      <c r="D5195" t="s">
        <v>71</v>
      </c>
      <c r="E5195" t="s">
        <v>72</v>
      </c>
      <c r="F5195" t="s">
        <v>80</v>
      </c>
    </row>
    <row r="5196" spans="1:6" x14ac:dyDescent="0.45">
      <c r="A5196">
        <v>45</v>
      </c>
      <c r="B5196">
        <v>12</v>
      </c>
      <c r="C5196">
        <v>43208</v>
      </c>
      <c r="D5196" t="s">
        <v>71</v>
      </c>
      <c r="E5196" t="s">
        <v>74</v>
      </c>
      <c r="F5196" t="s">
        <v>80</v>
      </c>
    </row>
    <row r="5197" spans="1:6" x14ac:dyDescent="0.45">
      <c r="A5197">
        <v>40</v>
      </c>
      <c r="B5197">
        <v>12</v>
      </c>
      <c r="C5197">
        <v>43680</v>
      </c>
      <c r="D5197" t="s">
        <v>71</v>
      </c>
      <c r="E5197" t="s">
        <v>74</v>
      </c>
      <c r="F5197" t="s">
        <v>80</v>
      </c>
    </row>
    <row r="5198" spans="1:6" x14ac:dyDescent="0.45">
      <c r="A5198">
        <v>40</v>
      </c>
      <c r="B5198">
        <v>12</v>
      </c>
      <c r="C5198">
        <v>43851</v>
      </c>
      <c r="D5198" t="s">
        <v>71</v>
      </c>
      <c r="E5198" t="s">
        <v>74</v>
      </c>
      <c r="F5198" t="s">
        <v>80</v>
      </c>
    </row>
    <row r="5199" spans="1:6" x14ac:dyDescent="0.45">
      <c r="A5199">
        <v>50</v>
      </c>
      <c r="B5199">
        <v>12</v>
      </c>
      <c r="C5199">
        <v>44000</v>
      </c>
      <c r="D5199" t="s">
        <v>71</v>
      </c>
      <c r="E5199" t="s">
        <v>72</v>
      </c>
      <c r="F5199" t="s">
        <v>80</v>
      </c>
    </row>
    <row r="5200" spans="1:6" x14ac:dyDescent="0.45">
      <c r="A5200">
        <v>37</v>
      </c>
      <c r="B5200">
        <v>12</v>
      </c>
      <c r="C5200">
        <v>44000</v>
      </c>
      <c r="D5200" t="s">
        <v>71</v>
      </c>
      <c r="E5200" t="s">
        <v>72</v>
      </c>
      <c r="F5200" t="s">
        <v>80</v>
      </c>
    </row>
    <row r="5201" spans="1:6" x14ac:dyDescent="0.45">
      <c r="A5201">
        <v>40</v>
      </c>
      <c r="B5201">
        <v>12</v>
      </c>
      <c r="C5201">
        <v>44000</v>
      </c>
      <c r="D5201" t="s">
        <v>71</v>
      </c>
      <c r="E5201" t="s">
        <v>74</v>
      </c>
      <c r="F5201" t="s">
        <v>80</v>
      </c>
    </row>
    <row r="5202" spans="1:6" x14ac:dyDescent="0.45">
      <c r="A5202">
        <v>40</v>
      </c>
      <c r="B5202">
        <v>12</v>
      </c>
      <c r="C5202">
        <v>44000</v>
      </c>
      <c r="D5202" t="s">
        <v>71</v>
      </c>
      <c r="E5202" t="s">
        <v>74</v>
      </c>
      <c r="F5202" t="s">
        <v>80</v>
      </c>
    </row>
    <row r="5203" spans="1:6" x14ac:dyDescent="0.45">
      <c r="A5203">
        <v>45</v>
      </c>
      <c r="B5203">
        <v>12</v>
      </c>
      <c r="C5203">
        <v>44000</v>
      </c>
      <c r="D5203" t="s">
        <v>71</v>
      </c>
      <c r="E5203" t="s">
        <v>74</v>
      </c>
      <c r="F5203" t="s">
        <v>80</v>
      </c>
    </row>
    <row r="5204" spans="1:6" x14ac:dyDescent="0.45">
      <c r="A5204">
        <v>40</v>
      </c>
      <c r="B5204">
        <v>12</v>
      </c>
      <c r="C5204">
        <v>44000</v>
      </c>
      <c r="D5204" t="s">
        <v>71</v>
      </c>
      <c r="E5204" t="s">
        <v>74</v>
      </c>
      <c r="F5204" t="s">
        <v>80</v>
      </c>
    </row>
    <row r="5205" spans="1:6" x14ac:dyDescent="0.45">
      <c r="A5205">
        <v>55</v>
      </c>
      <c r="B5205">
        <v>12</v>
      </c>
      <c r="C5205">
        <v>44000</v>
      </c>
      <c r="D5205" t="s">
        <v>71</v>
      </c>
      <c r="E5205" t="s">
        <v>74</v>
      </c>
      <c r="F5205" t="s">
        <v>80</v>
      </c>
    </row>
    <row r="5206" spans="1:6" x14ac:dyDescent="0.45">
      <c r="A5206">
        <v>40</v>
      </c>
      <c r="B5206">
        <v>12</v>
      </c>
      <c r="C5206">
        <v>44196</v>
      </c>
      <c r="D5206" t="s">
        <v>71</v>
      </c>
      <c r="E5206" t="s">
        <v>74</v>
      </c>
      <c r="F5206" t="s">
        <v>80</v>
      </c>
    </row>
    <row r="5207" spans="1:6" x14ac:dyDescent="0.45">
      <c r="A5207">
        <v>0</v>
      </c>
      <c r="B5207">
        <v>12</v>
      </c>
      <c r="C5207">
        <v>44900</v>
      </c>
      <c r="D5207" t="s">
        <v>71</v>
      </c>
      <c r="E5207" t="s">
        <v>74</v>
      </c>
      <c r="F5207" t="s">
        <v>80</v>
      </c>
    </row>
    <row r="5208" spans="1:6" x14ac:dyDescent="0.45">
      <c r="A5208">
        <v>40</v>
      </c>
      <c r="B5208">
        <v>12</v>
      </c>
      <c r="C5208">
        <v>45000</v>
      </c>
      <c r="D5208" t="s">
        <v>71</v>
      </c>
      <c r="E5208" t="s">
        <v>74</v>
      </c>
      <c r="F5208" t="s">
        <v>80</v>
      </c>
    </row>
    <row r="5209" spans="1:6" x14ac:dyDescent="0.45">
      <c r="A5209">
        <v>40</v>
      </c>
      <c r="B5209">
        <v>12</v>
      </c>
      <c r="C5209">
        <v>45000</v>
      </c>
      <c r="D5209" t="s">
        <v>71</v>
      </c>
      <c r="E5209" t="s">
        <v>74</v>
      </c>
      <c r="F5209" t="s">
        <v>80</v>
      </c>
    </row>
    <row r="5210" spans="1:6" x14ac:dyDescent="0.45">
      <c r="A5210">
        <v>44</v>
      </c>
      <c r="B5210">
        <v>12</v>
      </c>
      <c r="C5210">
        <v>45000</v>
      </c>
      <c r="D5210" t="s">
        <v>71</v>
      </c>
      <c r="E5210" t="s">
        <v>74</v>
      </c>
      <c r="F5210" t="s">
        <v>80</v>
      </c>
    </row>
    <row r="5211" spans="1:6" x14ac:dyDescent="0.45">
      <c r="A5211">
        <v>40</v>
      </c>
      <c r="B5211">
        <v>12</v>
      </c>
      <c r="C5211">
        <v>45000</v>
      </c>
      <c r="D5211" t="s">
        <v>71</v>
      </c>
      <c r="E5211" t="s">
        <v>74</v>
      </c>
      <c r="F5211" t="s">
        <v>80</v>
      </c>
    </row>
    <row r="5212" spans="1:6" x14ac:dyDescent="0.45">
      <c r="A5212">
        <v>0</v>
      </c>
      <c r="B5212">
        <v>12</v>
      </c>
      <c r="C5212">
        <v>45000</v>
      </c>
      <c r="D5212" t="s">
        <v>76</v>
      </c>
      <c r="E5212" t="s">
        <v>74</v>
      </c>
      <c r="F5212" t="s">
        <v>80</v>
      </c>
    </row>
    <row r="5213" spans="1:6" x14ac:dyDescent="0.45">
      <c r="A5213">
        <v>40</v>
      </c>
      <c r="B5213">
        <v>12</v>
      </c>
      <c r="C5213">
        <v>45000</v>
      </c>
      <c r="D5213" t="s">
        <v>76</v>
      </c>
      <c r="E5213" t="s">
        <v>74</v>
      </c>
      <c r="F5213" t="s">
        <v>80</v>
      </c>
    </row>
    <row r="5214" spans="1:6" x14ac:dyDescent="0.45">
      <c r="A5214">
        <v>0</v>
      </c>
      <c r="B5214">
        <v>12</v>
      </c>
      <c r="C5214">
        <v>45000</v>
      </c>
      <c r="D5214" t="s">
        <v>71</v>
      </c>
      <c r="E5214" t="s">
        <v>74</v>
      </c>
      <c r="F5214" t="s">
        <v>80</v>
      </c>
    </row>
    <row r="5215" spans="1:6" x14ac:dyDescent="0.45">
      <c r="A5215">
        <v>55</v>
      </c>
      <c r="B5215">
        <v>12</v>
      </c>
      <c r="C5215">
        <v>45000</v>
      </c>
      <c r="D5215" t="s">
        <v>71</v>
      </c>
      <c r="E5215" t="s">
        <v>74</v>
      </c>
      <c r="F5215" t="s">
        <v>80</v>
      </c>
    </row>
    <row r="5216" spans="1:6" x14ac:dyDescent="0.45">
      <c r="A5216">
        <v>40</v>
      </c>
      <c r="B5216">
        <v>12</v>
      </c>
      <c r="C5216">
        <v>45000</v>
      </c>
      <c r="D5216" t="s">
        <v>71</v>
      </c>
      <c r="E5216" t="s">
        <v>74</v>
      </c>
      <c r="F5216" t="s">
        <v>80</v>
      </c>
    </row>
    <row r="5217" spans="1:6" x14ac:dyDescent="0.45">
      <c r="A5217">
        <v>40</v>
      </c>
      <c r="B5217">
        <v>12</v>
      </c>
      <c r="C5217">
        <v>45000</v>
      </c>
      <c r="D5217" t="s">
        <v>71</v>
      </c>
      <c r="E5217" t="s">
        <v>74</v>
      </c>
      <c r="F5217" t="s">
        <v>80</v>
      </c>
    </row>
    <row r="5218" spans="1:6" x14ac:dyDescent="0.45">
      <c r="A5218">
        <v>50</v>
      </c>
      <c r="B5218">
        <v>12</v>
      </c>
      <c r="C5218">
        <v>45000</v>
      </c>
      <c r="D5218" t="s">
        <v>71</v>
      </c>
      <c r="E5218" t="s">
        <v>74</v>
      </c>
      <c r="F5218" t="s">
        <v>80</v>
      </c>
    </row>
    <row r="5219" spans="1:6" x14ac:dyDescent="0.45">
      <c r="A5219">
        <v>40</v>
      </c>
      <c r="B5219">
        <v>12</v>
      </c>
      <c r="C5219">
        <v>45000</v>
      </c>
      <c r="D5219" t="s">
        <v>71</v>
      </c>
      <c r="E5219" t="s">
        <v>74</v>
      </c>
      <c r="F5219" t="s">
        <v>80</v>
      </c>
    </row>
    <row r="5220" spans="1:6" x14ac:dyDescent="0.45">
      <c r="A5220">
        <v>50</v>
      </c>
      <c r="B5220">
        <v>12</v>
      </c>
      <c r="C5220">
        <v>45000</v>
      </c>
      <c r="D5220" t="s">
        <v>71</v>
      </c>
      <c r="E5220" t="s">
        <v>74</v>
      </c>
      <c r="F5220" t="s">
        <v>80</v>
      </c>
    </row>
    <row r="5221" spans="1:6" x14ac:dyDescent="0.45">
      <c r="A5221">
        <v>47</v>
      </c>
      <c r="B5221">
        <v>12</v>
      </c>
      <c r="C5221">
        <v>45000</v>
      </c>
      <c r="D5221" t="s">
        <v>71</v>
      </c>
      <c r="E5221" t="s">
        <v>74</v>
      </c>
      <c r="F5221" t="s">
        <v>80</v>
      </c>
    </row>
    <row r="5222" spans="1:6" x14ac:dyDescent="0.45">
      <c r="A5222">
        <v>55</v>
      </c>
      <c r="B5222">
        <v>12</v>
      </c>
      <c r="C5222">
        <v>45000</v>
      </c>
      <c r="D5222" t="s">
        <v>71</v>
      </c>
      <c r="E5222" t="s">
        <v>74</v>
      </c>
      <c r="F5222" t="s">
        <v>80</v>
      </c>
    </row>
    <row r="5223" spans="1:6" x14ac:dyDescent="0.45">
      <c r="A5223">
        <v>40</v>
      </c>
      <c r="B5223">
        <v>12</v>
      </c>
      <c r="C5223">
        <v>45000</v>
      </c>
      <c r="D5223" t="s">
        <v>71</v>
      </c>
      <c r="E5223" t="s">
        <v>74</v>
      </c>
      <c r="F5223" t="s">
        <v>80</v>
      </c>
    </row>
    <row r="5224" spans="1:6" x14ac:dyDescent="0.45">
      <c r="A5224">
        <v>50</v>
      </c>
      <c r="B5224">
        <v>12</v>
      </c>
      <c r="C5224">
        <v>45000</v>
      </c>
      <c r="D5224" t="s">
        <v>71</v>
      </c>
      <c r="E5224" t="s">
        <v>74</v>
      </c>
      <c r="F5224" t="s">
        <v>80</v>
      </c>
    </row>
    <row r="5225" spans="1:6" x14ac:dyDescent="0.45">
      <c r="A5225">
        <v>40</v>
      </c>
      <c r="B5225">
        <v>12</v>
      </c>
      <c r="C5225">
        <v>45000</v>
      </c>
      <c r="D5225" t="s">
        <v>71</v>
      </c>
      <c r="E5225" t="s">
        <v>74</v>
      </c>
      <c r="F5225" t="s">
        <v>80</v>
      </c>
    </row>
    <row r="5226" spans="1:6" x14ac:dyDescent="0.45">
      <c r="A5226">
        <v>40</v>
      </c>
      <c r="B5226">
        <v>12</v>
      </c>
      <c r="C5226">
        <v>45000</v>
      </c>
      <c r="D5226" t="s">
        <v>71</v>
      </c>
      <c r="E5226" t="s">
        <v>74</v>
      </c>
      <c r="F5226" t="s">
        <v>80</v>
      </c>
    </row>
    <row r="5227" spans="1:6" x14ac:dyDescent="0.45">
      <c r="A5227">
        <v>45</v>
      </c>
      <c r="B5227">
        <v>12</v>
      </c>
      <c r="C5227">
        <v>45000</v>
      </c>
      <c r="D5227" t="s">
        <v>76</v>
      </c>
      <c r="E5227" t="s">
        <v>74</v>
      </c>
      <c r="F5227" t="s">
        <v>80</v>
      </c>
    </row>
    <row r="5228" spans="1:6" x14ac:dyDescent="0.45">
      <c r="A5228">
        <v>40</v>
      </c>
      <c r="B5228">
        <v>12</v>
      </c>
      <c r="C5228">
        <v>45000</v>
      </c>
      <c r="D5228" t="s">
        <v>71</v>
      </c>
      <c r="E5228" t="s">
        <v>72</v>
      </c>
      <c r="F5228" t="s">
        <v>80</v>
      </c>
    </row>
    <row r="5229" spans="1:6" x14ac:dyDescent="0.45">
      <c r="A5229">
        <v>60</v>
      </c>
      <c r="B5229">
        <v>12</v>
      </c>
      <c r="C5229">
        <v>45000</v>
      </c>
      <c r="D5229" t="s">
        <v>71</v>
      </c>
      <c r="E5229" t="s">
        <v>74</v>
      </c>
      <c r="F5229" t="s">
        <v>80</v>
      </c>
    </row>
    <row r="5230" spans="1:6" x14ac:dyDescent="0.45">
      <c r="A5230">
        <v>40</v>
      </c>
      <c r="B5230">
        <v>12</v>
      </c>
      <c r="C5230">
        <v>45000</v>
      </c>
      <c r="D5230" t="s">
        <v>71</v>
      </c>
      <c r="E5230" t="s">
        <v>72</v>
      </c>
      <c r="F5230" t="s">
        <v>80</v>
      </c>
    </row>
    <row r="5231" spans="1:6" x14ac:dyDescent="0.45">
      <c r="A5231">
        <v>60</v>
      </c>
      <c r="B5231">
        <v>12</v>
      </c>
      <c r="C5231">
        <v>45000</v>
      </c>
      <c r="D5231" t="s">
        <v>71</v>
      </c>
      <c r="E5231" t="s">
        <v>74</v>
      </c>
      <c r="F5231" t="s">
        <v>80</v>
      </c>
    </row>
    <row r="5232" spans="1:6" x14ac:dyDescent="0.45">
      <c r="A5232">
        <v>40</v>
      </c>
      <c r="B5232">
        <v>12</v>
      </c>
      <c r="C5232">
        <v>45000</v>
      </c>
      <c r="D5232" t="s">
        <v>71</v>
      </c>
      <c r="E5232" t="s">
        <v>74</v>
      </c>
      <c r="F5232" t="s">
        <v>80</v>
      </c>
    </row>
    <row r="5233" spans="1:6" x14ac:dyDescent="0.45">
      <c r="A5233">
        <v>40</v>
      </c>
      <c r="B5233">
        <v>12</v>
      </c>
      <c r="C5233">
        <v>45000</v>
      </c>
      <c r="D5233" t="s">
        <v>71</v>
      </c>
      <c r="E5233" t="s">
        <v>74</v>
      </c>
      <c r="F5233" t="s">
        <v>80</v>
      </c>
    </row>
    <row r="5234" spans="1:6" x14ac:dyDescent="0.45">
      <c r="A5234">
        <v>40</v>
      </c>
      <c r="B5234">
        <v>12</v>
      </c>
      <c r="C5234">
        <v>45000</v>
      </c>
      <c r="D5234" t="s">
        <v>71</v>
      </c>
      <c r="E5234" t="s">
        <v>74</v>
      </c>
      <c r="F5234" t="s">
        <v>80</v>
      </c>
    </row>
    <row r="5235" spans="1:6" x14ac:dyDescent="0.45">
      <c r="A5235">
        <v>40</v>
      </c>
      <c r="B5235">
        <v>12</v>
      </c>
      <c r="C5235">
        <v>45000</v>
      </c>
      <c r="D5235" t="s">
        <v>71</v>
      </c>
      <c r="E5235" t="s">
        <v>74</v>
      </c>
      <c r="F5235" t="s">
        <v>80</v>
      </c>
    </row>
    <row r="5236" spans="1:6" x14ac:dyDescent="0.45">
      <c r="A5236">
        <v>40</v>
      </c>
      <c r="B5236">
        <v>12</v>
      </c>
      <c r="C5236">
        <v>45000</v>
      </c>
      <c r="D5236" t="s">
        <v>71</v>
      </c>
      <c r="E5236" t="s">
        <v>72</v>
      </c>
      <c r="F5236" t="s">
        <v>80</v>
      </c>
    </row>
    <row r="5237" spans="1:6" x14ac:dyDescent="0.45">
      <c r="A5237">
        <v>50</v>
      </c>
      <c r="B5237">
        <v>12</v>
      </c>
      <c r="C5237">
        <v>45000</v>
      </c>
      <c r="D5237" t="s">
        <v>71</v>
      </c>
      <c r="E5237" t="s">
        <v>74</v>
      </c>
      <c r="F5237" t="s">
        <v>80</v>
      </c>
    </row>
    <row r="5238" spans="1:6" x14ac:dyDescent="0.45">
      <c r="A5238">
        <v>40</v>
      </c>
      <c r="B5238">
        <v>12</v>
      </c>
      <c r="C5238">
        <v>45000</v>
      </c>
      <c r="D5238" t="s">
        <v>71</v>
      </c>
      <c r="E5238" t="s">
        <v>74</v>
      </c>
      <c r="F5238" t="s">
        <v>80</v>
      </c>
    </row>
    <row r="5239" spans="1:6" x14ac:dyDescent="0.45">
      <c r="A5239">
        <v>40</v>
      </c>
      <c r="B5239">
        <v>12</v>
      </c>
      <c r="C5239">
        <v>45000</v>
      </c>
      <c r="D5239" t="s">
        <v>71</v>
      </c>
      <c r="E5239" t="s">
        <v>72</v>
      </c>
      <c r="F5239" t="s">
        <v>80</v>
      </c>
    </row>
    <row r="5240" spans="1:6" x14ac:dyDescent="0.45">
      <c r="A5240">
        <v>40</v>
      </c>
      <c r="B5240">
        <v>12</v>
      </c>
      <c r="C5240">
        <v>45000</v>
      </c>
      <c r="D5240" t="s">
        <v>76</v>
      </c>
      <c r="E5240" t="s">
        <v>74</v>
      </c>
      <c r="F5240" t="s">
        <v>80</v>
      </c>
    </row>
    <row r="5241" spans="1:6" x14ac:dyDescent="0.45">
      <c r="A5241">
        <v>80</v>
      </c>
      <c r="B5241">
        <v>12</v>
      </c>
      <c r="C5241">
        <v>45000</v>
      </c>
      <c r="D5241" t="s">
        <v>71</v>
      </c>
      <c r="E5241" t="s">
        <v>74</v>
      </c>
      <c r="F5241" t="s">
        <v>80</v>
      </c>
    </row>
    <row r="5242" spans="1:6" x14ac:dyDescent="0.45">
      <c r="A5242">
        <v>40</v>
      </c>
      <c r="B5242">
        <v>12</v>
      </c>
      <c r="C5242">
        <v>45000</v>
      </c>
      <c r="D5242" t="s">
        <v>71</v>
      </c>
      <c r="E5242" t="s">
        <v>74</v>
      </c>
      <c r="F5242" t="s">
        <v>80</v>
      </c>
    </row>
    <row r="5243" spans="1:6" x14ac:dyDescent="0.45">
      <c r="A5243">
        <v>50</v>
      </c>
      <c r="B5243">
        <v>12</v>
      </c>
      <c r="C5243">
        <v>45000</v>
      </c>
      <c r="D5243" t="s">
        <v>71</v>
      </c>
      <c r="E5243" t="s">
        <v>74</v>
      </c>
      <c r="F5243" t="s">
        <v>80</v>
      </c>
    </row>
    <row r="5244" spans="1:6" x14ac:dyDescent="0.45">
      <c r="A5244">
        <v>40</v>
      </c>
      <c r="B5244">
        <v>12</v>
      </c>
      <c r="C5244">
        <v>45000</v>
      </c>
      <c r="D5244" t="s">
        <v>71</v>
      </c>
      <c r="E5244" t="s">
        <v>74</v>
      </c>
      <c r="F5244" t="s">
        <v>80</v>
      </c>
    </row>
    <row r="5245" spans="1:6" x14ac:dyDescent="0.45">
      <c r="A5245">
        <v>50</v>
      </c>
      <c r="B5245">
        <v>12</v>
      </c>
      <c r="C5245">
        <v>45000</v>
      </c>
      <c r="D5245" t="s">
        <v>71</v>
      </c>
      <c r="E5245" t="s">
        <v>74</v>
      </c>
      <c r="F5245" t="s">
        <v>80</v>
      </c>
    </row>
    <row r="5246" spans="1:6" x14ac:dyDescent="0.45">
      <c r="A5246">
        <v>40</v>
      </c>
      <c r="B5246">
        <v>12</v>
      </c>
      <c r="C5246">
        <v>45000</v>
      </c>
      <c r="D5246" t="s">
        <v>71</v>
      </c>
      <c r="E5246" t="s">
        <v>74</v>
      </c>
      <c r="F5246" t="s">
        <v>80</v>
      </c>
    </row>
    <row r="5247" spans="1:6" x14ac:dyDescent="0.45">
      <c r="A5247">
        <v>40</v>
      </c>
      <c r="B5247">
        <v>12</v>
      </c>
      <c r="C5247">
        <v>45000</v>
      </c>
      <c r="D5247" t="s">
        <v>71</v>
      </c>
      <c r="E5247" t="s">
        <v>74</v>
      </c>
      <c r="F5247" t="s">
        <v>80</v>
      </c>
    </row>
    <row r="5248" spans="1:6" x14ac:dyDescent="0.45">
      <c r="A5248">
        <v>45</v>
      </c>
      <c r="B5248">
        <v>12</v>
      </c>
      <c r="C5248">
        <v>45000</v>
      </c>
      <c r="D5248" t="s">
        <v>71</v>
      </c>
      <c r="E5248" t="s">
        <v>74</v>
      </c>
      <c r="F5248" t="s">
        <v>80</v>
      </c>
    </row>
    <row r="5249" spans="1:6" x14ac:dyDescent="0.45">
      <c r="A5249">
        <v>40</v>
      </c>
      <c r="B5249">
        <v>12</v>
      </c>
      <c r="C5249">
        <v>45298</v>
      </c>
      <c r="D5249" t="s">
        <v>71</v>
      </c>
      <c r="E5249" t="s">
        <v>74</v>
      </c>
      <c r="F5249" t="s">
        <v>80</v>
      </c>
    </row>
    <row r="5250" spans="1:6" x14ac:dyDescent="0.45">
      <c r="A5250">
        <v>40</v>
      </c>
      <c r="B5250">
        <v>12</v>
      </c>
      <c r="C5250">
        <v>46000</v>
      </c>
      <c r="D5250" t="s">
        <v>71</v>
      </c>
      <c r="E5250" t="s">
        <v>74</v>
      </c>
      <c r="F5250" t="s">
        <v>80</v>
      </c>
    </row>
    <row r="5251" spans="1:6" x14ac:dyDescent="0.45">
      <c r="A5251">
        <v>50</v>
      </c>
      <c r="B5251">
        <v>12</v>
      </c>
      <c r="C5251">
        <v>46000</v>
      </c>
      <c r="D5251" t="s">
        <v>71</v>
      </c>
      <c r="E5251" t="s">
        <v>74</v>
      </c>
      <c r="F5251" t="s">
        <v>80</v>
      </c>
    </row>
    <row r="5252" spans="1:6" x14ac:dyDescent="0.45">
      <c r="A5252">
        <v>50</v>
      </c>
      <c r="B5252">
        <v>12</v>
      </c>
      <c r="C5252">
        <v>46000</v>
      </c>
      <c r="D5252" t="s">
        <v>71</v>
      </c>
      <c r="E5252" t="s">
        <v>74</v>
      </c>
      <c r="F5252" t="s">
        <v>80</v>
      </c>
    </row>
    <row r="5253" spans="1:6" x14ac:dyDescent="0.45">
      <c r="A5253">
        <v>40</v>
      </c>
      <c r="B5253">
        <v>12</v>
      </c>
      <c r="C5253">
        <v>46000</v>
      </c>
      <c r="D5253" t="s">
        <v>71</v>
      </c>
      <c r="E5253" t="s">
        <v>74</v>
      </c>
      <c r="F5253" t="s">
        <v>80</v>
      </c>
    </row>
    <row r="5254" spans="1:6" x14ac:dyDescent="0.45">
      <c r="A5254">
        <v>40</v>
      </c>
      <c r="B5254">
        <v>12</v>
      </c>
      <c r="C5254">
        <v>46000</v>
      </c>
      <c r="D5254" t="s">
        <v>71</v>
      </c>
      <c r="E5254" t="s">
        <v>74</v>
      </c>
      <c r="F5254" t="s">
        <v>80</v>
      </c>
    </row>
    <row r="5255" spans="1:6" x14ac:dyDescent="0.45">
      <c r="A5255">
        <v>45</v>
      </c>
      <c r="B5255">
        <v>12</v>
      </c>
      <c r="C5255">
        <v>46000</v>
      </c>
      <c r="D5255" t="s">
        <v>71</v>
      </c>
      <c r="E5255" t="s">
        <v>74</v>
      </c>
      <c r="F5255" t="s">
        <v>80</v>
      </c>
    </row>
    <row r="5256" spans="1:6" x14ac:dyDescent="0.45">
      <c r="A5256">
        <v>40</v>
      </c>
      <c r="B5256">
        <v>12</v>
      </c>
      <c r="C5256">
        <v>46000</v>
      </c>
      <c r="D5256" t="s">
        <v>71</v>
      </c>
      <c r="E5256" t="s">
        <v>74</v>
      </c>
      <c r="F5256" t="s">
        <v>80</v>
      </c>
    </row>
    <row r="5257" spans="1:6" x14ac:dyDescent="0.45">
      <c r="A5257">
        <v>70</v>
      </c>
      <c r="B5257">
        <v>12</v>
      </c>
      <c r="C5257">
        <v>46000</v>
      </c>
      <c r="D5257" t="s">
        <v>71</v>
      </c>
      <c r="E5257" t="s">
        <v>74</v>
      </c>
      <c r="F5257" t="s">
        <v>80</v>
      </c>
    </row>
    <row r="5258" spans="1:6" x14ac:dyDescent="0.45">
      <c r="A5258">
        <v>50</v>
      </c>
      <c r="B5258">
        <v>12</v>
      </c>
      <c r="C5258">
        <v>46400</v>
      </c>
      <c r="D5258" t="s">
        <v>71</v>
      </c>
      <c r="E5258" t="s">
        <v>74</v>
      </c>
      <c r="F5258" t="s">
        <v>80</v>
      </c>
    </row>
    <row r="5259" spans="1:6" x14ac:dyDescent="0.45">
      <c r="A5259">
        <v>40</v>
      </c>
      <c r="B5259">
        <v>12</v>
      </c>
      <c r="C5259">
        <v>46800</v>
      </c>
      <c r="D5259" t="s">
        <v>71</v>
      </c>
      <c r="E5259" t="s">
        <v>74</v>
      </c>
      <c r="F5259" t="s">
        <v>80</v>
      </c>
    </row>
    <row r="5260" spans="1:6" x14ac:dyDescent="0.45">
      <c r="A5260">
        <v>50</v>
      </c>
      <c r="B5260">
        <v>12</v>
      </c>
      <c r="C5260">
        <v>46800</v>
      </c>
      <c r="D5260" t="s">
        <v>71</v>
      </c>
      <c r="E5260" t="s">
        <v>74</v>
      </c>
      <c r="F5260" t="s">
        <v>80</v>
      </c>
    </row>
    <row r="5261" spans="1:6" x14ac:dyDescent="0.45">
      <c r="A5261">
        <v>50</v>
      </c>
      <c r="B5261">
        <v>12</v>
      </c>
      <c r="C5261">
        <v>47000</v>
      </c>
      <c r="D5261" t="s">
        <v>71</v>
      </c>
      <c r="E5261" t="s">
        <v>74</v>
      </c>
      <c r="F5261" t="s">
        <v>80</v>
      </c>
    </row>
    <row r="5262" spans="1:6" x14ac:dyDescent="0.45">
      <c r="A5262">
        <v>55</v>
      </c>
      <c r="B5262">
        <v>12</v>
      </c>
      <c r="C5262">
        <v>47000</v>
      </c>
      <c r="D5262" t="s">
        <v>77</v>
      </c>
      <c r="E5262" t="s">
        <v>74</v>
      </c>
      <c r="F5262" t="s">
        <v>80</v>
      </c>
    </row>
    <row r="5263" spans="1:6" x14ac:dyDescent="0.45">
      <c r="A5263">
        <v>40</v>
      </c>
      <c r="B5263">
        <v>12</v>
      </c>
      <c r="C5263">
        <v>47000</v>
      </c>
      <c r="D5263" t="s">
        <v>71</v>
      </c>
      <c r="E5263" t="s">
        <v>74</v>
      </c>
      <c r="F5263" t="s">
        <v>80</v>
      </c>
    </row>
    <row r="5264" spans="1:6" x14ac:dyDescent="0.45">
      <c r="A5264">
        <v>50</v>
      </c>
      <c r="B5264">
        <v>12</v>
      </c>
      <c r="C5264">
        <v>47000</v>
      </c>
      <c r="D5264" t="s">
        <v>71</v>
      </c>
      <c r="E5264" t="s">
        <v>74</v>
      </c>
      <c r="F5264" t="s">
        <v>80</v>
      </c>
    </row>
    <row r="5265" spans="1:6" x14ac:dyDescent="0.45">
      <c r="A5265">
        <v>40</v>
      </c>
      <c r="B5265">
        <v>12</v>
      </c>
      <c r="C5265">
        <v>47000</v>
      </c>
      <c r="D5265" t="s">
        <v>71</v>
      </c>
      <c r="E5265" t="s">
        <v>74</v>
      </c>
      <c r="F5265" t="s">
        <v>80</v>
      </c>
    </row>
    <row r="5266" spans="1:6" x14ac:dyDescent="0.45">
      <c r="A5266">
        <v>48</v>
      </c>
      <c r="B5266">
        <v>12</v>
      </c>
      <c r="C5266">
        <v>47000</v>
      </c>
      <c r="D5266" t="s">
        <v>71</v>
      </c>
      <c r="E5266" t="s">
        <v>74</v>
      </c>
      <c r="F5266" t="s">
        <v>80</v>
      </c>
    </row>
    <row r="5267" spans="1:6" x14ac:dyDescent="0.45">
      <c r="A5267">
        <v>45</v>
      </c>
      <c r="B5267">
        <v>12</v>
      </c>
      <c r="C5267">
        <v>47000</v>
      </c>
      <c r="D5267" t="s">
        <v>71</v>
      </c>
      <c r="E5267" t="s">
        <v>74</v>
      </c>
      <c r="F5267" t="s">
        <v>80</v>
      </c>
    </row>
    <row r="5268" spans="1:6" x14ac:dyDescent="0.45">
      <c r="A5268">
        <v>40</v>
      </c>
      <c r="B5268">
        <v>12</v>
      </c>
      <c r="C5268">
        <v>47000</v>
      </c>
      <c r="D5268" t="s">
        <v>71</v>
      </c>
      <c r="E5268" t="s">
        <v>74</v>
      </c>
      <c r="F5268" t="s">
        <v>80</v>
      </c>
    </row>
    <row r="5269" spans="1:6" x14ac:dyDescent="0.45">
      <c r="A5269">
        <v>65</v>
      </c>
      <c r="B5269">
        <v>12</v>
      </c>
      <c r="C5269">
        <v>47025</v>
      </c>
      <c r="D5269" t="s">
        <v>71</v>
      </c>
      <c r="E5269" t="s">
        <v>74</v>
      </c>
      <c r="F5269" t="s">
        <v>80</v>
      </c>
    </row>
    <row r="5270" spans="1:6" x14ac:dyDescent="0.45">
      <c r="A5270">
        <v>40</v>
      </c>
      <c r="B5270">
        <v>12</v>
      </c>
      <c r="C5270">
        <v>47025</v>
      </c>
      <c r="D5270" t="s">
        <v>71</v>
      </c>
      <c r="E5270" t="s">
        <v>74</v>
      </c>
      <c r="F5270" t="s">
        <v>80</v>
      </c>
    </row>
    <row r="5271" spans="1:6" x14ac:dyDescent="0.45">
      <c r="A5271">
        <v>40</v>
      </c>
      <c r="B5271">
        <v>12</v>
      </c>
      <c r="C5271">
        <v>47717</v>
      </c>
      <c r="D5271" t="s">
        <v>71</v>
      </c>
      <c r="E5271" t="s">
        <v>74</v>
      </c>
      <c r="F5271" t="s">
        <v>80</v>
      </c>
    </row>
    <row r="5272" spans="1:6" x14ac:dyDescent="0.45">
      <c r="A5272">
        <v>0</v>
      </c>
      <c r="B5272">
        <v>12</v>
      </c>
      <c r="C5272">
        <v>47800</v>
      </c>
      <c r="D5272" t="s">
        <v>71</v>
      </c>
      <c r="E5272" t="s">
        <v>74</v>
      </c>
      <c r="F5272" t="s">
        <v>80</v>
      </c>
    </row>
    <row r="5273" spans="1:6" x14ac:dyDescent="0.45">
      <c r="A5273">
        <v>40</v>
      </c>
      <c r="B5273">
        <v>12</v>
      </c>
      <c r="C5273">
        <v>48000</v>
      </c>
      <c r="D5273" t="s">
        <v>71</v>
      </c>
      <c r="E5273" t="s">
        <v>72</v>
      </c>
      <c r="F5273" t="s">
        <v>80</v>
      </c>
    </row>
    <row r="5274" spans="1:6" x14ac:dyDescent="0.45">
      <c r="A5274">
        <v>50</v>
      </c>
      <c r="B5274">
        <v>12</v>
      </c>
      <c r="C5274">
        <v>48000</v>
      </c>
      <c r="D5274" t="s">
        <v>71</v>
      </c>
      <c r="E5274" t="s">
        <v>74</v>
      </c>
      <c r="F5274" t="s">
        <v>80</v>
      </c>
    </row>
    <row r="5275" spans="1:6" x14ac:dyDescent="0.45">
      <c r="A5275">
        <v>40</v>
      </c>
      <c r="B5275">
        <v>12</v>
      </c>
      <c r="C5275">
        <v>48000</v>
      </c>
      <c r="D5275" t="s">
        <v>71</v>
      </c>
      <c r="E5275" t="s">
        <v>74</v>
      </c>
      <c r="F5275" t="s">
        <v>80</v>
      </c>
    </row>
    <row r="5276" spans="1:6" x14ac:dyDescent="0.45">
      <c r="A5276">
        <v>40</v>
      </c>
      <c r="B5276">
        <v>12</v>
      </c>
      <c r="C5276">
        <v>48000</v>
      </c>
      <c r="D5276" t="s">
        <v>71</v>
      </c>
      <c r="E5276" t="s">
        <v>74</v>
      </c>
      <c r="F5276" t="s">
        <v>80</v>
      </c>
    </row>
    <row r="5277" spans="1:6" x14ac:dyDescent="0.45">
      <c r="A5277">
        <v>48</v>
      </c>
      <c r="B5277">
        <v>12</v>
      </c>
      <c r="C5277">
        <v>48000</v>
      </c>
      <c r="D5277" t="s">
        <v>71</v>
      </c>
      <c r="E5277" t="s">
        <v>74</v>
      </c>
      <c r="F5277" t="s">
        <v>80</v>
      </c>
    </row>
    <row r="5278" spans="1:6" x14ac:dyDescent="0.45">
      <c r="A5278">
        <v>40</v>
      </c>
      <c r="B5278">
        <v>12</v>
      </c>
      <c r="C5278">
        <v>48000</v>
      </c>
      <c r="D5278" t="s">
        <v>71</v>
      </c>
      <c r="E5278" t="s">
        <v>74</v>
      </c>
      <c r="F5278" t="s">
        <v>80</v>
      </c>
    </row>
    <row r="5279" spans="1:6" x14ac:dyDescent="0.45">
      <c r="A5279">
        <v>40</v>
      </c>
      <c r="B5279">
        <v>12</v>
      </c>
      <c r="C5279">
        <v>48000</v>
      </c>
      <c r="D5279" t="s">
        <v>71</v>
      </c>
      <c r="E5279" t="s">
        <v>74</v>
      </c>
      <c r="F5279" t="s">
        <v>80</v>
      </c>
    </row>
    <row r="5280" spans="1:6" x14ac:dyDescent="0.45">
      <c r="A5280">
        <v>40</v>
      </c>
      <c r="B5280">
        <v>12</v>
      </c>
      <c r="C5280">
        <v>48000</v>
      </c>
      <c r="D5280" t="s">
        <v>71</v>
      </c>
      <c r="E5280" t="s">
        <v>74</v>
      </c>
      <c r="F5280" t="s">
        <v>80</v>
      </c>
    </row>
    <row r="5281" spans="1:6" x14ac:dyDescent="0.45">
      <c r="A5281">
        <v>40</v>
      </c>
      <c r="B5281">
        <v>12</v>
      </c>
      <c r="C5281">
        <v>48000</v>
      </c>
      <c r="D5281" t="s">
        <v>71</v>
      </c>
      <c r="E5281" t="s">
        <v>74</v>
      </c>
      <c r="F5281" t="s">
        <v>80</v>
      </c>
    </row>
    <row r="5282" spans="1:6" x14ac:dyDescent="0.45">
      <c r="A5282">
        <v>50</v>
      </c>
      <c r="B5282">
        <v>12</v>
      </c>
      <c r="C5282">
        <v>48000</v>
      </c>
      <c r="D5282" t="s">
        <v>71</v>
      </c>
      <c r="E5282" t="s">
        <v>74</v>
      </c>
      <c r="F5282" t="s">
        <v>80</v>
      </c>
    </row>
    <row r="5283" spans="1:6" x14ac:dyDescent="0.45">
      <c r="A5283">
        <v>40</v>
      </c>
      <c r="B5283">
        <v>12</v>
      </c>
      <c r="C5283">
        <v>48000</v>
      </c>
      <c r="D5283" t="s">
        <v>71</v>
      </c>
      <c r="E5283" t="s">
        <v>74</v>
      </c>
      <c r="F5283" t="s">
        <v>80</v>
      </c>
    </row>
    <row r="5284" spans="1:6" x14ac:dyDescent="0.45">
      <c r="A5284">
        <v>40</v>
      </c>
      <c r="B5284">
        <v>12</v>
      </c>
      <c r="C5284">
        <v>48000</v>
      </c>
      <c r="D5284" t="s">
        <v>71</v>
      </c>
      <c r="E5284" t="s">
        <v>74</v>
      </c>
      <c r="F5284" t="s">
        <v>80</v>
      </c>
    </row>
    <row r="5285" spans="1:6" x14ac:dyDescent="0.45">
      <c r="A5285">
        <v>40</v>
      </c>
      <c r="B5285">
        <v>12</v>
      </c>
      <c r="C5285">
        <v>48000</v>
      </c>
      <c r="D5285" t="s">
        <v>71</v>
      </c>
      <c r="E5285" t="s">
        <v>74</v>
      </c>
      <c r="F5285" t="s">
        <v>80</v>
      </c>
    </row>
    <row r="5286" spans="1:6" x14ac:dyDescent="0.45">
      <c r="A5286">
        <v>52</v>
      </c>
      <c r="B5286">
        <v>12</v>
      </c>
      <c r="C5286">
        <v>48000</v>
      </c>
      <c r="D5286" t="s">
        <v>71</v>
      </c>
      <c r="E5286" t="s">
        <v>74</v>
      </c>
      <c r="F5286" t="s">
        <v>80</v>
      </c>
    </row>
    <row r="5287" spans="1:6" x14ac:dyDescent="0.45">
      <c r="A5287">
        <v>45</v>
      </c>
      <c r="B5287">
        <v>12</v>
      </c>
      <c r="C5287">
        <v>48000</v>
      </c>
      <c r="D5287" t="s">
        <v>71</v>
      </c>
      <c r="E5287" t="s">
        <v>74</v>
      </c>
      <c r="F5287" t="s">
        <v>80</v>
      </c>
    </row>
    <row r="5288" spans="1:6" x14ac:dyDescent="0.45">
      <c r="A5288">
        <v>40</v>
      </c>
      <c r="B5288">
        <v>12</v>
      </c>
      <c r="C5288">
        <v>48000</v>
      </c>
      <c r="D5288" t="s">
        <v>71</v>
      </c>
      <c r="E5288" t="s">
        <v>74</v>
      </c>
      <c r="F5288" t="s">
        <v>80</v>
      </c>
    </row>
    <row r="5289" spans="1:6" x14ac:dyDescent="0.45">
      <c r="A5289">
        <v>50</v>
      </c>
      <c r="B5289">
        <v>12</v>
      </c>
      <c r="C5289">
        <v>48000</v>
      </c>
      <c r="D5289" t="s">
        <v>71</v>
      </c>
      <c r="E5289" t="s">
        <v>72</v>
      </c>
      <c r="F5289" t="s">
        <v>80</v>
      </c>
    </row>
    <row r="5290" spans="1:6" x14ac:dyDescent="0.45">
      <c r="A5290">
        <v>50</v>
      </c>
      <c r="B5290">
        <v>12</v>
      </c>
      <c r="C5290">
        <v>48000</v>
      </c>
      <c r="D5290" t="s">
        <v>71</v>
      </c>
      <c r="E5290" t="s">
        <v>74</v>
      </c>
      <c r="F5290" t="s">
        <v>80</v>
      </c>
    </row>
    <row r="5291" spans="1:6" x14ac:dyDescent="0.45">
      <c r="A5291">
        <v>40</v>
      </c>
      <c r="B5291">
        <v>12</v>
      </c>
      <c r="C5291">
        <v>48048</v>
      </c>
      <c r="D5291" t="s">
        <v>71</v>
      </c>
      <c r="E5291" t="s">
        <v>74</v>
      </c>
      <c r="F5291" t="s">
        <v>80</v>
      </c>
    </row>
    <row r="5292" spans="1:6" x14ac:dyDescent="0.45">
      <c r="A5292">
        <v>50</v>
      </c>
      <c r="B5292">
        <v>12</v>
      </c>
      <c r="C5292">
        <v>48800</v>
      </c>
      <c r="D5292" t="s">
        <v>71</v>
      </c>
      <c r="E5292" t="s">
        <v>74</v>
      </c>
      <c r="F5292" t="s">
        <v>80</v>
      </c>
    </row>
    <row r="5293" spans="1:6" x14ac:dyDescent="0.45">
      <c r="A5293">
        <v>40</v>
      </c>
      <c r="B5293">
        <v>12</v>
      </c>
      <c r="C5293">
        <v>48818</v>
      </c>
      <c r="D5293" t="s">
        <v>71</v>
      </c>
      <c r="E5293" t="s">
        <v>74</v>
      </c>
      <c r="F5293" t="s">
        <v>80</v>
      </c>
    </row>
    <row r="5294" spans="1:6" x14ac:dyDescent="0.45">
      <c r="A5294">
        <v>40</v>
      </c>
      <c r="B5294">
        <v>12</v>
      </c>
      <c r="C5294">
        <v>48818</v>
      </c>
      <c r="D5294" t="s">
        <v>71</v>
      </c>
      <c r="E5294" t="s">
        <v>74</v>
      </c>
      <c r="F5294" t="s">
        <v>80</v>
      </c>
    </row>
    <row r="5295" spans="1:6" x14ac:dyDescent="0.45">
      <c r="A5295">
        <v>40</v>
      </c>
      <c r="B5295">
        <v>12</v>
      </c>
      <c r="C5295">
        <v>48900</v>
      </c>
      <c r="D5295" t="s">
        <v>71</v>
      </c>
      <c r="E5295" t="s">
        <v>74</v>
      </c>
      <c r="F5295" t="s">
        <v>80</v>
      </c>
    </row>
    <row r="5296" spans="1:6" x14ac:dyDescent="0.45">
      <c r="A5296">
        <v>40</v>
      </c>
      <c r="B5296">
        <v>12</v>
      </c>
      <c r="C5296">
        <v>49000</v>
      </c>
      <c r="D5296" t="s">
        <v>71</v>
      </c>
      <c r="E5296" t="s">
        <v>74</v>
      </c>
      <c r="F5296" t="s">
        <v>80</v>
      </c>
    </row>
    <row r="5297" spans="1:6" x14ac:dyDescent="0.45">
      <c r="A5297">
        <v>40</v>
      </c>
      <c r="B5297">
        <v>12</v>
      </c>
      <c r="C5297">
        <v>49000</v>
      </c>
      <c r="D5297" t="s">
        <v>71</v>
      </c>
      <c r="E5297" t="s">
        <v>72</v>
      </c>
      <c r="F5297" t="s">
        <v>80</v>
      </c>
    </row>
    <row r="5298" spans="1:6" x14ac:dyDescent="0.45">
      <c r="A5298">
        <v>50</v>
      </c>
      <c r="B5298">
        <v>12</v>
      </c>
      <c r="C5298">
        <v>49000</v>
      </c>
      <c r="D5298" t="s">
        <v>71</v>
      </c>
      <c r="E5298" t="s">
        <v>74</v>
      </c>
      <c r="F5298" t="s">
        <v>80</v>
      </c>
    </row>
    <row r="5299" spans="1:6" x14ac:dyDescent="0.45">
      <c r="A5299">
        <v>40</v>
      </c>
      <c r="B5299">
        <v>12</v>
      </c>
      <c r="C5299">
        <v>49000</v>
      </c>
      <c r="D5299" t="s">
        <v>71</v>
      </c>
      <c r="E5299" t="s">
        <v>74</v>
      </c>
      <c r="F5299" t="s">
        <v>80</v>
      </c>
    </row>
    <row r="5300" spans="1:6" x14ac:dyDescent="0.45">
      <c r="A5300">
        <v>40</v>
      </c>
      <c r="B5300">
        <v>12</v>
      </c>
      <c r="C5300">
        <v>49000</v>
      </c>
      <c r="D5300" t="s">
        <v>71</v>
      </c>
      <c r="E5300" t="s">
        <v>74</v>
      </c>
      <c r="F5300" t="s">
        <v>80</v>
      </c>
    </row>
    <row r="5301" spans="1:6" x14ac:dyDescent="0.45">
      <c r="A5301">
        <v>40</v>
      </c>
      <c r="B5301">
        <v>12</v>
      </c>
      <c r="C5301">
        <v>49000</v>
      </c>
      <c r="D5301" t="s">
        <v>71</v>
      </c>
      <c r="E5301" t="s">
        <v>74</v>
      </c>
      <c r="F5301" t="s">
        <v>80</v>
      </c>
    </row>
    <row r="5302" spans="1:6" x14ac:dyDescent="0.45">
      <c r="A5302">
        <v>40</v>
      </c>
      <c r="B5302">
        <v>12</v>
      </c>
      <c r="C5302">
        <v>49000</v>
      </c>
      <c r="D5302" t="s">
        <v>71</v>
      </c>
      <c r="E5302" t="s">
        <v>74</v>
      </c>
      <c r="F5302" t="s">
        <v>80</v>
      </c>
    </row>
    <row r="5303" spans="1:6" x14ac:dyDescent="0.45">
      <c r="A5303">
        <v>40</v>
      </c>
      <c r="B5303">
        <v>12</v>
      </c>
      <c r="C5303">
        <v>49000</v>
      </c>
      <c r="D5303" t="s">
        <v>71</v>
      </c>
      <c r="E5303" t="s">
        <v>74</v>
      </c>
      <c r="F5303" t="s">
        <v>80</v>
      </c>
    </row>
    <row r="5304" spans="1:6" x14ac:dyDescent="0.45">
      <c r="A5304">
        <v>65</v>
      </c>
      <c r="B5304">
        <v>12</v>
      </c>
      <c r="C5304">
        <v>49000</v>
      </c>
      <c r="D5304" t="s">
        <v>71</v>
      </c>
      <c r="E5304" t="s">
        <v>74</v>
      </c>
      <c r="F5304" t="s">
        <v>80</v>
      </c>
    </row>
    <row r="5305" spans="1:6" x14ac:dyDescent="0.45">
      <c r="A5305">
        <v>66</v>
      </c>
      <c r="B5305">
        <v>12</v>
      </c>
      <c r="C5305">
        <v>49000</v>
      </c>
      <c r="D5305" t="s">
        <v>71</v>
      </c>
      <c r="E5305" t="s">
        <v>72</v>
      </c>
      <c r="F5305" t="s">
        <v>80</v>
      </c>
    </row>
    <row r="5306" spans="1:6" x14ac:dyDescent="0.45">
      <c r="A5306">
        <v>40</v>
      </c>
      <c r="B5306">
        <v>12</v>
      </c>
      <c r="C5306">
        <v>49200</v>
      </c>
      <c r="D5306" t="s">
        <v>71</v>
      </c>
      <c r="E5306" t="s">
        <v>74</v>
      </c>
      <c r="F5306" t="s">
        <v>80</v>
      </c>
    </row>
    <row r="5307" spans="1:6" x14ac:dyDescent="0.45">
      <c r="A5307">
        <v>40</v>
      </c>
      <c r="B5307">
        <v>12</v>
      </c>
      <c r="C5307">
        <v>49400</v>
      </c>
      <c r="D5307" t="s">
        <v>71</v>
      </c>
      <c r="E5307" t="s">
        <v>74</v>
      </c>
      <c r="F5307" t="s">
        <v>80</v>
      </c>
    </row>
    <row r="5308" spans="1:6" x14ac:dyDescent="0.45">
      <c r="A5308">
        <v>50</v>
      </c>
      <c r="B5308">
        <v>12</v>
      </c>
      <c r="C5308">
        <v>49800</v>
      </c>
      <c r="D5308" t="s">
        <v>71</v>
      </c>
      <c r="E5308" t="s">
        <v>74</v>
      </c>
      <c r="F5308" t="s">
        <v>80</v>
      </c>
    </row>
    <row r="5309" spans="1:6" x14ac:dyDescent="0.45">
      <c r="A5309">
        <v>40</v>
      </c>
      <c r="B5309">
        <v>12</v>
      </c>
      <c r="C5309">
        <v>50000</v>
      </c>
      <c r="D5309" t="s">
        <v>71</v>
      </c>
      <c r="E5309" t="s">
        <v>74</v>
      </c>
      <c r="F5309" t="s">
        <v>80</v>
      </c>
    </row>
    <row r="5310" spans="1:6" x14ac:dyDescent="0.45">
      <c r="A5310">
        <v>50</v>
      </c>
      <c r="B5310">
        <v>12</v>
      </c>
      <c r="C5310">
        <v>50000</v>
      </c>
      <c r="D5310" t="s">
        <v>71</v>
      </c>
      <c r="E5310" t="s">
        <v>74</v>
      </c>
      <c r="F5310" t="s">
        <v>80</v>
      </c>
    </row>
    <row r="5311" spans="1:6" x14ac:dyDescent="0.45">
      <c r="A5311">
        <v>50</v>
      </c>
      <c r="B5311">
        <v>12</v>
      </c>
      <c r="C5311">
        <v>50000</v>
      </c>
      <c r="D5311" t="s">
        <v>71</v>
      </c>
      <c r="E5311" t="s">
        <v>74</v>
      </c>
      <c r="F5311" t="s">
        <v>80</v>
      </c>
    </row>
    <row r="5312" spans="1:6" x14ac:dyDescent="0.45">
      <c r="A5312">
        <v>40</v>
      </c>
      <c r="B5312">
        <v>12</v>
      </c>
      <c r="C5312">
        <v>50000</v>
      </c>
      <c r="D5312" t="s">
        <v>76</v>
      </c>
      <c r="E5312" t="s">
        <v>74</v>
      </c>
      <c r="F5312" t="s">
        <v>80</v>
      </c>
    </row>
    <row r="5313" spans="1:6" x14ac:dyDescent="0.45">
      <c r="A5313">
        <v>40</v>
      </c>
      <c r="B5313">
        <v>12</v>
      </c>
      <c r="C5313">
        <v>50000</v>
      </c>
      <c r="D5313" t="s">
        <v>71</v>
      </c>
      <c r="E5313" t="s">
        <v>72</v>
      </c>
      <c r="F5313" t="s">
        <v>80</v>
      </c>
    </row>
    <row r="5314" spans="1:6" x14ac:dyDescent="0.45">
      <c r="A5314">
        <v>40</v>
      </c>
      <c r="B5314">
        <v>12</v>
      </c>
      <c r="C5314">
        <v>50000</v>
      </c>
      <c r="D5314" t="s">
        <v>71</v>
      </c>
      <c r="E5314" t="s">
        <v>74</v>
      </c>
      <c r="F5314" t="s">
        <v>80</v>
      </c>
    </row>
    <row r="5315" spans="1:6" x14ac:dyDescent="0.45">
      <c r="A5315">
        <v>40</v>
      </c>
      <c r="B5315">
        <v>12</v>
      </c>
      <c r="C5315">
        <v>50000</v>
      </c>
      <c r="D5315" t="s">
        <v>71</v>
      </c>
      <c r="E5315" t="s">
        <v>74</v>
      </c>
      <c r="F5315" t="s">
        <v>80</v>
      </c>
    </row>
    <row r="5316" spans="1:6" x14ac:dyDescent="0.45">
      <c r="A5316">
        <v>40</v>
      </c>
      <c r="B5316">
        <v>12</v>
      </c>
      <c r="C5316">
        <v>50000</v>
      </c>
      <c r="D5316" t="s">
        <v>71</v>
      </c>
      <c r="E5316" t="s">
        <v>74</v>
      </c>
      <c r="F5316" t="s">
        <v>80</v>
      </c>
    </row>
    <row r="5317" spans="1:6" x14ac:dyDescent="0.45">
      <c r="A5317">
        <v>40</v>
      </c>
      <c r="B5317">
        <v>12</v>
      </c>
      <c r="C5317">
        <v>50000</v>
      </c>
      <c r="D5317" t="s">
        <v>71</v>
      </c>
      <c r="E5317" t="s">
        <v>74</v>
      </c>
      <c r="F5317" t="s">
        <v>80</v>
      </c>
    </row>
    <row r="5318" spans="1:6" x14ac:dyDescent="0.45">
      <c r="A5318">
        <v>40</v>
      </c>
      <c r="B5318">
        <v>12</v>
      </c>
      <c r="C5318">
        <v>50000</v>
      </c>
      <c r="D5318" t="s">
        <v>71</v>
      </c>
      <c r="E5318" t="s">
        <v>74</v>
      </c>
      <c r="F5318" t="s">
        <v>80</v>
      </c>
    </row>
    <row r="5319" spans="1:6" x14ac:dyDescent="0.45">
      <c r="A5319">
        <v>56</v>
      </c>
      <c r="B5319">
        <v>12</v>
      </c>
      <c r="C5319">
        <v>50000</v>
      </c>
      <c r="D5319" t="s">
        <v>71</v>
      </c>
      <c r="E5319" t="s">
        <v>74</v>
      </c>
      <c r="F5319" t="s">
        <v>80</v>
      </c>
    </row>
    <row r="5320" spans="1:6" x14ac:dyDescent="0.45">
      <c r="A5320">
        <v>40</v>
      </c>
      <c r="B5320">
        <v>12</v>
      </c>
      <c r="C5320">
        <v>50000</v>
      </c>
      <c r="D5320" t="s">
        <v>71</v>
      </c>
      <c r="E5320" t="s">
        <v>74</v>
      </c>
      <c r="F5320" t="s">
        <v>80</v>
      </c>
    </row>
    <row r="5321" spans="1:6" x14ac:dyDescent="0.45">
      <c r="A5321">
        <v>0</v>
      </c>
      <c r="B5321">
        <v>12</v>
      </c>
      <c r="C5321">
        <v>50000</v>
      </c>
      <c r="D5321" t="s">
        <v>71</v>
      </c>
      <c r="E5321" t="s">
        <v>74</v>
      </c>
      <c r="F5321" t="s">
        <v>80</v>
      </c>
    </row>
    <row r="5322" spans="1:6" x14ac:dyDescent="0.45">
      <c r="A5322">
        <v>40</v>
      </c>
      <c r="B5322">
        <v>12</v>
      </c>
      <c r="C5322">
        <v>50000</v>
      </c>
      <c r="D5322" t="s">
        <v>71</v>
      </c>
      <c r="E5322" t="s">
        <v>74</v>
      </c>
      <c r="F5322" t="s">
        <v>80</v>
      </c>
    </row>
    <row r="5323" spans="1:6" x14ac:dyDescent="0.45">
      <c r="A5323">
        <v>40</v>
      </c>
      <c r="B5323">
        <v>12</v>
      </c>
      <c r="C5323">
        <v>50000</v>
      </c>
      <c r="D5323" t="s">
        <v>71</v>
      </c>
      <c r="E5323" t="s">
        <v>74</v>
      </c>
      <c r="F5323" t="s">
        <v>80</v>
      </c>
    </row>
    <row r="5324" spans="1:6" x14ac:dyDescent="0.45">
      <c r="A5324">
        <v>50</v>
      </c>
      <c r="B5324">
        <v>12</v>
      </c>
      <c r="C5324">
        <v>50000</v>
      </c>
      <c r="D5324" t="s">
        <v>71</v>
      </c>
      <c r="E5324" t="s">
        <v>74</v>
      </c>
      <c r="F5324" t="s">
        <v>80</v>
      </c>
    </row>
    <row r="5325" spans="1:6" x14ac:dyDescent="0.45">
      <c r="A5325">
        <v>40</v>
      </c>
      <c r="B5325">
        <v>12</v>
      </c>
      <c r="C5325">
        <v>50000</v>
      </c>
      <c r="D5325" t="s">
        <v>71</v>
      </c>
      <c r="E5325" t="s">
        <v>72</v>
      </c>
      <c r="F5325" t="s">
        <v>80</v>
      </c>
    </row>
    <row r="5326" spans="1:6" x14ac:dyDescent="0.45">
      <c r="A5326">
        <v>0</v>
      </c>
      <c r="B5326">
        <v>12</v>
      </c>
      <c r="C5326">
        <v>50000</v>
      </c>
      <c r="D5326" t="s">
        <v>71</v>
      </c>
      <c r="E5326" t="s">
        <v>72</v>
      </c>
      <c r="F5326" t="s">
        <v>80</v>
      </c>
    </row>
    <row r="5327" spans="1:6" x14ac:dyDescent="0.45">
      <c r="A5327">
        <v>50</v>
      </c>
      <c r="B5327">
        <v>12</v>
      </c>
      <c r="C5327">
        <v>50000</v>
      </c>
      <c r="D5327" t="s">
        <v>71</v>
      </c>
      <c r="E5327" t="s">
        <v>74</v>
      </c>
      <c r="F5327" t="s">
        <v>80</v>
      </c>
    </row>
    <row r="5328" spans="1:6" x14ac:dyDescent="0.45">
      <c r="A5328">
        <v>40</v>
      </c>
      <c r="B5328">
        <v>12</v>
      </c>
      <c r="C5328">
        <v>50000</v>
      </c>
      <c r="D5328" t="s">
        <v>71</v>
      </c>
      <c r="E5328" t="s">
        <v>74</v>
      </c>
      <c r="F5328" t="s">
        <v>80</v>
      </c>
    </row>
    <row r="5329" spans="1:6" x14ac:dyDescent="0.45">
      <c r="A5329">
        <v>40</v>
      </c>
      <c r="B5329">
        <v>12</v>
      </c>
      <c r="C5329">
        <v>50000</v>
      </c>
      <c r="D5329" t="s">
        <v>71</v>
      </c>
      <c r="E5329" t="s">
        <v>74</v>
      </c>
      <c r="F5329" t="s">
        <v>80</v>
      </c>
    </row>
    <row r="5330" spans="1:6" x14ac:dyDescent="0.45">
      <c r="A5330">
        <v>40</v>
      </c>
      <c r="B5330">
        <v>12</v>
      </c>
      <c r="C5330">
        <v>50000</v>
      </c>
      <c r="D5330" t="s">
        <v>71</v>
      </c>
      <c r="E5330" t="s">
        <v>74</v>
      </c>
      <c r="F5330" t="s">
        <v>80</v>
      </c>
    </row>
    <row r="5331" spans="1:6" x14ac:dyDescent="0.45">
      <c r="A5331">
        <v>42</v>
      </c>
      <c r="B5331">
        <v>12</v>
      </c>
      <c r="C5331">
        <v>50000</v>
      </c>
      <c r="D5331" t="s">
        <v>71</v>
      </c>
      <c r="E5331" t="s">
        <v>72</v>
      </c>
      <c r="F5331" t="s">
        <v>80</v>
      </c>
    </row>
    <row r="5332" spans="1:6" x14ac:dyDescent="0.45">
      <c r="A5332">
        <v>40</v>
      </c>
      <c r="B5332">
        <v>12</v>
      </c>
      <c r="C5332">
        <v>50000</v>
      </c>
      <c r="D5332" t="s">
        <v>71</v>
      </c>
      <c r="E5332" t="s">
        <v>74</v>
      </c>
      <c r="F5332" t="s">
        <v>80</v>
      </c>
    </row>
    <row r="5333" spans="1:6" x14ac:dyDescent="0.45">
      <c r="A5333">
        <v>40</v>
      </c>
      <c r="B5333">
        <v>12</v>
      </c>
      <c r="C5333">
        <v>50000</v>
      </c>
      <c r="D5333" t="s">
        <v>71</v>
      </c>
      <c r="E5333" t="s">
        <v>74</v>
      </c>
      <c r="F5333" t="s">
        <v>80</v>
      </c>
    </row>
    <row r="5334" spans="1:6" x14ac:dyDescent="0.45">
      <c r="A5334">
        <v>40</v>
      </c>
      <c r="B5334">
        <v>12</v>
      </c>
      <c r="C5334">
        <v>50000</v>
      </c>
      <c r="D5334" t="s">
        <v>71</v>
      </c>
      <c r="E5334" t="s">
        <v>74</v>
      </c>
      <c r="F5334" t="s">
        <v>80</v>
      </c>
    </row>
    <row r="5335" spans="1:6" x14ac:dyDescent="0.45">
      <c r="A5335">
        <v>40</v>
      </c>
      <c r="B5335">
        <v>12</v>
      </c>
      <c r="C5335">
        <v>50000</v>
      </c>
      <c r="D5335" t="s">
        <v>71</v>
      </c>
      <c r="E5335" t="s">
        <v>74</v>
      </c>
      <c r="F5335" t="s">
        <v>80</v>
      </c>
    </row>
    <row r="5336" spans="1:6" x14ac:dyDescent="0.45">
      <c r="A5336">
        <v>48</v>
      </c>
      <c r="B5336">
        <v>12</v>
      </c>
      <c r="C5336">
        <v>50000</v>
      </c>
      <c r="D5336" t="s">
        <v>71</v>
      </c>
      <c r="E5336" t="s">
        <v>74</v>
      </c>
      <c r="F5336" t="s">
        <v>80</v>
      </c>
    </row>
    <row r="5337" spans="1:6" x14ac:dyDescent="0.45">
      <c r="A5337">
        <v>40</v>
      </c>
      <c r="B5337">
        <v>12</v>
      </c>
      <c r="C5337">
        <v>50000</v>
      </c>
      <c r="D5337" t="s">
        <v>76</v>
      </c>
      <c r="E5337" t="s">
        <v>74</v>
      </c>
      <c r="F5337" t="s">
        <v>80</v>
      </c>
    </row>
    <row r="5338" spans="1:6" x14ac:dyDescent="0.45">
      <c r="A5338">
        <v>40</v>
      </c>
      <c r="B5338">
        <v>12</v>
      </c>
      <c r="C5338">
        <v>50000</v>
      </c>
      <c r="D5338" t="s">
        <v>71</v>
      </c>
      <c r="E5338" t="s">
        <v>74</v>
      </c>
      <c r="F5338" t="s">
        <v>80</v>
      </c>
    </row>
    <row r="5339" spans="1:6" x14ac:dyDescent="0.45">
      <c r="A5339">
        <v>40</v>
      </c>
      <c r="B5339">
        <v>12</v>
      </c>
      <c r="C5339">
        <v>50000</v>
      </c>
      <c r="D5339" t="s">
        <v>71</v>
      </c>
      <c r="E5339" t="s">
        <v>74</v>
      </c>
      <c r="F5339" t="s">
        <v>80</v>
      </c>
    </row>
    <row r="5340" spans="1:6" x14ac:dyDescent="0.45">
      <c r="A5340">
        <v>48</v>
      </c>
      <c r="B5340">
        <v>12</v>
      </c>
      <c r="C5340">
        <v>50000</v>
      </c>
      <c r="D5340" t="s">
        <v>71</v>
      </c>
      <c r="E5340" t="s">
        <v>74</v>
      </c>
      <c r="F5340" t="s">
        <v>80</v>
      </c>
    </row>
    <row r="5341" spans="1:6" x14ac:dyDescent="0.45">
      <c r="A5341">
        <v>50</v>
      </c>
      <c r="B5341">
        <v>12</v>
      </c>
      <c r="C5341">
        <v>50000</v>
      </c>
      <c r="D5341" t="s">
        <v>71</v>
      </c>
      <c r="E5341" t="s">
        <v>74</v>
      </c>
      <c r="F5341" t="s">
        <v>80</v>
      </c>
    </row>
    <row r="5342" spans="1:6" x14ac:dyDescent="0.45">
      <c r="A5342">
        <v>40</v>
      </c>
      <c r="B5342">
        <v>12</v>
      </c>
      <c r="C5342">
        <v>50000</v>
      </c>
      <c r="D5342" t="s">
        <v>71</v>
      </c>
      <c r="E5342" t="s">
        <v>74</v>
      </c>
      <c r="F5342" t="s">
        <v>80</v>
      </c>
    </row>
    <row r="5343" spans="1:6" x14ac:dyDescent="0.45">
      <c r="A5343">
        <v>52</v>
      </c>
      <c r="B5343">
        <v>12</v>
      </c>
      <c r="C5343">
        <v>50000</v>
      </c>
      <c r="D5343" t="s">
        <v>71</v>
      </c>
      <c r="E5343" t="s">
        <v>74</v>
      </c>
      <c r="F5343" t="s">
        <v>80</v>
      </c>
    </row>
    <row r="5344" spans="1:6" x14ac:dyDescent="0.45">
      <c r="A5344">
        <v>40</v>
      </c>
      <c r="B5344">
        <v>12</v>
      </c>
      <c r="C5344">
        <v>50000</v>
      </c>
      <c r="D5344" t="s">
        <v>76</v>
      </c>
      <c r="E5344" t="s">
        <v>74</v>
      </c>
      <c r="F5344" t="s">
        <v>80</v>
      </c>
    </row>
    <row r="5345" spans="1:6" x14ac:dyDescent="0.45">
      <c r="A5345">
        <v>50</v>
      </c>
      <c r="B5345">
        <v>12</v>
      </c>
      <c r="C5345">
        <v>50000</v>
      </c>
      <c r="D5345" t="s">
        <v>71</v>
      </c>
      <c r="E5345" t="s">
        <v>74</v>
      </c>
      <c r="F5345" t="s">
        <v>80</v>
      </c>
    </row>
    <row r="5346" spans="1:6" x14ac:dyDescent="0.45">
      <c r="A5346">
        <v>40</v>
      </c>
      <c r="B5346">
        <v>12</v>
      </c>
      <c r="C5346">
        <v>50000</v>
      </c>
      <c r="D5346" t="s">
        <v>71</v>
      </c>
      <c r="E5346" t="s">
        <v>72</v>
      </c>
      <c r="F5346" t="s">
        <v>80</v>
      </c>
    </row>
    <row r="5347" spans="1:6" x14ac:dyDescent="0.45">
      <c r="A5347">
        <v>40</v>
      </c>
      <c r="B5347">
        <v>12</v>
      </c>
      <c r="C5347">
        <v>50000</v>
      </c>
      <c r="D5347" t="s">
        <v>71</v>
      </c>
      <c r="E5347" t="s">
        <v>74</v>
      </c>
      <c r="F5347" t="s">
        <v>80</v>
      </c>
    </row>
    <row r="5348" spans="1:6" x14ac:dyDescent="0.45">
      <c r="A5348">
        <v>50</v>
      </c>
      <c r="B5348">
        <v>12</v>
      </c>
      <c r="C5348">
        <v>50000</v>
      </c>
      <c r="D5348" t="s">
        <v>71</v>
      </c>
      <c r="E5348" t="s">
        <v>74</v>
      </c>
      <c r="F5348" t="s">
        <v>80</v>
      </c>
    </row>
    <row r="5349" spans="1:6" x14ac:dyDescent="0.45">
      <c r="A5349">
        <v>40</v>
      </c>
      <c r="B5349">
        <v>12</v>
      </c>
      <c r="C5349">
        <v>50000</v>
      </c>
      <c r="D5349" t="s">
        <v>71</v>
      </c>
      <c r="E5349" t="s">
        <v>72</v>
      </c>
      <c r="F5349" t="s">
        <v>80</v>
      </c>
    </row>
    <row r="5350" spans="1:6" x14ac:dyDescent="0.45">
      <c r="A5350">
        <v>40</v>
      </c>
      <c r="B5350">
        <v>12</v>
      </c>
      <c r="C5350">
        <v>50000</v>
      </c>
      <c r="D5350" t="s">
        <v>71</v>
      </c>
      <c r="E5350" t="s">
        <v>74</v>
      </c>
      <c r="F5350" t="s">
        <v>80</v>
      </c>
    </row>
    <row r="5351" spans="1:6" x14ac:dyDescent="0.45">
      <c r="A5351">
        <v>40</v>
      </c>
      <c r="B5351">
        <v>12</v>
      </c>
      <c r="C5351">
        <v>50000</v>
      </c>
      <c r="D5351" t="s">
        <v>71</v>
      </c>
      <c r="E5351" t="s">
        <v>74</v>
      </c>
      <c r="F5351" t="s">
        <v>80</v>
      </c>
    </row>
    <row r="5352" spans="1:6" x14ac:dyDescent="0.45">
      <c r="A5352">
        <v>40</v>
      </c>
      <c r="B5352">
        <v>12</v>
      </c>
      <c r="C5352">
        <v>50000</v>
      </c>
      <c r="D5352" t="s">
        <v>71</v>
      </c>
      <c r="E5352" t="s">
        <v>74</v>
      </c>
      <c r="F5352" t="s">
        <v>80</v>
      </c>
    </row>
    <row r="5353" spans="1:6" x14ac:dyDescent="0.45">
      <c r="A5353">
        <v>50</v>
      </c>
      <c r="B5353">
        <v>12</v>
      </c>
      <c r="C5353">
        <v>50000</v>
      </c>
      <c r="D5353" t="s">
        <v>71</v>
      </c>
      <c r="E5353" t="s">
        <v>72</v>
      </c>
      <c r="F5353" t="s">
        <v>80</v>
      </c>
    </row>
    <row r="5354" spans="1:6" x14ac:dyDescent="0.45">
      <c r="A5354">
        <v>50</v>
      </c>
      <c r="B5354">
        <v>12</v>
      </c>
      <c r="C5354">
        <v>50000</v>
      </c>
      <c r="D5354" t="s">
        <v>71</v>
      </c>
      <c r="E5354" t="s">
        <v>74</v>
      </c>
      <c r="F5354" t="s">
        <v>80</v>
      </c>
    </row>
    <row r="5355" spans="1:6" x14ac:dyDescent="0.45">
      <c r="A5355">
        <v>40</v>
      </c>
      <c r="B5355">
        <v>12</v>
      </c>
      <c r="C5355">
        <v>50000</v>
      </c>
      <c r="D5355" t="s">
        <v>71</v>
      </c>
      <c r="E5355" t="s">
        <v>74</v>
      </c>
      <c r="F5355" t="s">
        <v>80</v>
      </c>
    </row>
    <row r="5356" spans="1:6" x14ac:dyDescent="0.45">
      <c r="A5356">
        <v>55</v>
      </c>
      <c r="B5356">
        <v>12</v>
      </c>
      <c r="C5356">
        <v>50200</v>
      </c>
      <c r="D5356" t="s">
        <v>71</v>
      </c>
      <c r="E5356" t="s">
        <v>74</v>
      </c>
      <c r="F5356" t="s">
        <v>80</v>
      </c>
    </row>
    <row r="5357" spans="1:6" x14ac:dyDescent="0.45">
      <c r="A5357">
        <v>40</v>
      </c>
      <c r="B5357">
        <v>12</v>
      </c>
      <c r="C5357">
        <v>50350</v>
      </c>
      <c r="D5357" t="s">
        <v>71</v>
      </c>
      <c r="E5357" t="s">
        <v>74</v>
      </c>
      <c r="F5357" t="s">
        <v>80</v>
      </c>
    </row>
    <row r="5358" spans="1:6" x14ac:dyDescent="0.45">
      <c r="A5358">
        <v>40</v>
      </c>
      <c r="B5358">
        <v>12</v>
      </c>
      <c r="C5358">
        <v>50350</v>
      </c>
      <c r="D5358" t="s">
        <v>71</v>
      </c>
      <c r="E5358" t="s">
        <v>74</v>
      </c>
      <c r="F5358" t="s">
        <v>80</v>
      </c>
    </row>
    <row r="5359" spans="1:6" x14ac:dyDescent="0.45">
      <c r="A5359">
        <v>40</v>
      </c>
      <c r="B5359">
        <v>12</v>
      </c>
      <c r="C5359">
        <v>50831</v>
      </c>
      <c r="D5359" t="s">
        <v>71</v>
      </c>
      <c r="E5359" t="s">
        <v>74</v>
      </c>
      <c r="F5359" t="s">
        <v>80</v>
      </c>
    </row>
    <row r="5360" spans="1:6" x14ac:dyDescent="0.45">
      <c r="A5360">
        <v>50</v>
      </c>
      <c r="B5360">
        <v>12</v>
      </c>
      <c r="C5360">
        <v>50871</v>
      </c>
      <c r="D5360" t="s">
        <v>71</v>
      </c>
      <c r="E5360" t="s">
        <v>74</v>
      </c>
      <c r="F5360" t="s">
        <v>80</v>
      </c>
    </row>
    <row r="5361" spans="1:6" x14ac:dyDescent="0.45">
      <c r="A5361">
        <v>40</v>
      </c>
      <c r="B5361">
        <v>12</v>
      </c>
      <c r="C5361">
        <v>50900</v>
      </c>
      <c r="D5361" t="s">
        <v>76</v>
      </c>
      <c r="E5361" t="s">
        <v>72</v>
      </c>
      <c r="F5361" t="s">
        <v>80</v>
      </c>
    </row>
    <row r="5362" spans="1:6" x14ac:dyDescent="0.45">
      <c r="A5362">
        <v>48</v>
      </c>
      <c r="B5362">
        <v>12</v>
      </c>
      <c r="C5362">
        <v>50913</v>
      </c>
      <c r="D5362" t="s">
        <v>71</v>
      </c>
      <c r="E5362" t="s">
        <v>74</v>
      </c>
      <c r="F5362" t="s">
        <v>80</v>
      </c>
    </row>
    <row r="5363" spans="1:6" x14ac:dyDescent="0.45">
      <c r="A5363">
        <v>40</v>
      </c>
      <c r="B5363">
        <v>12</v>
      </c>
      <c r="C5363">
        <v>50913</v>
      </c>
      <c r="D5363" t="s">
        <v>71</v>
      </c>
      <c r="E5363" t="s">
        <v>74</v>
      </c>
      <c r="F5363" t="s">
        <v>80</v>
      </c>
    </row>
    <row r="5364" spans="1:6" x14ac:dyDescent="0.45">
      <c r="A5364">
        <v>0</v>
      </c>
      <c r="B5364">
        <v>12</v>
      </c>
      <c r="C5364">
        <v>51000</v>
      </c>
      <c r="D5364" t="s">
        <v>71</v>
      </c>
      <c r="E5364" t="s">
        <v>74</v>
      </c>
      <c r="F5364" t="s">
        <v>80</v>
      </c>
    </row>
    <row r="5365" spans="1:6" x14ac:dyDescent="0.45">
      <c r="A5365">
        <v>60</v>
      </c>
      <c r="B5365">
        <v>12</v>
      </c>
      <c r="C5365">
        <v>51000</v>
      </c>
      <c r="D5365" t="s">
        <v>71</v>
      </c>
      <c r="E5365" t="s">
        <v>74</v>
      </c>
      <c r="F5365" t="s">
        <v>80</v>
      </c>
    </row>
    <row r="5366" spans="1:6" x14ac:dyDescent="0.45">
      <c r="A5366">
        <v>40</v>
      </c>
      <c r="B5366">
        <v>12</v>
      </c>
      <c r="C5366">
        <v>51000</v>
      </c>
      <c r="D5366" t="s">
        <v>76</v>
      </c>
      <c r="E5366" t="s">
        <v>72</v>
      </c>
      <c r="F5366" t="s">
        <v>80</v>
      </c>
    </row>
    <row r="5367" spans="1:6" x14ac:dyDescent="0.45">
      <c r="A5367">
        <v>75</v>
      </c>
      <c r="B5367">
        <v>12</v>
      </c>
      <c r="C5367">
        <v>51000</v>
      </c>
      <c r="D5367" t="s">
        <v>71</v>
      </c>
      <c r="E5367" t="s">
        <v>74</v>
      </c>
      <c r="F5367" t="s">
        <v>80</v>
      </c>
    </row>
    <row r="5368" spans="1:6" x14ac:dyDescent="0.45">
      <c r="A5368">
        <v>75</v>
      </c>
      <c r="B5368">
        <v>12</v>
      </c>
      <c r="C5368">
        <v>51300</v>
      </c>
      <c r="D5368" t="s">
        <v>71</v>
      </c>
      <c r="E5368" t="s">
        <v>74</v>
      </c>
      <c r="F5368" t="s">
        <v>80</v>
      </c>
    </row>
    <row r="5369" spans="1:6" x14ac:dyDescent="0.45">
      <c r="A5369">
        <v>40</v>
      </c>
      <c r="B5369">
        <v>12</v>
      </c>
      <c r="C5369">
        <v>51338</v>
      </c>
      <c r="D5369" t="s">
        <v>71</v>
      </c>
      <c r="E5369" t="s">
        <v>74</v>
      </c>
      <c r="F5369" t="s">
        <v>80</v>
      </c>
    </row>
    <row r="5370" spans="1:6" x14ac:dyDescent="0.45">
      <c r="A5370">
        <v>35</v>
      </c>
      <c r="B5370">
        <v>12</v>
      </c>
      <c r="C5370">
        <v>52000</v>
      </c>
      <c r="D5370" t="s">
        <v>71</v>
      </c>
      <c r="E5370" t="s">
        <v>74</v>
      </c>
      <c r="F5370" t="s">
        <v>80</v>
      </c>
    </row>
    <row r="5371" spans="1:6" x14ac:dyDescent="0.45">
      <c r="A5371">
        <v>42</v>
      </c>
      <c r="B5371">
        <v>12</v>
      </c>
      <c r="C5371">
        <v>52000</v>
      </c>
      <c r="D5371" t="s">
        <v>71</v>
      </c>
      <c r="E5371" t="s">
        <v>74</v>
      </c>
      <c r="F5371" t="s">
        <v>80</v>
      </c>
    </row>
    <row r="5372" spans="1:6" x14ac:dyDescent="0.45">
      <c r="A5372">
        <v>40</v>
      </c>
      <c r="B5372">
        <v>12</v>
      </c>
      <c r="C5372">
        <v>52000</v>
      </c>
      <c r="D5372" t="s">
        <v>71</v>
      </c>
      <c r="E5372" t="s">
        <v>74</v>
      </c>
      <c r="F5372" t="s">
        <v>80</v>
      </c>
    </row>
    <row r="5373" spans="1:6" x14ac:dyDescent="0.45">
      <c r="A5373">
        <v>40</v>
      </c>
      <c r="B5373">
        <v>12</v>
      </c>
      <c r="C5373">
        <v>52000</v>
      </c>
      <c r="D5373" t="s">
        <v>71</v>
      </c>
      <c r="E5373" t="s">
        <v>74</v>
      </c>
      <c r="F5373" t="s">
        <v>80</v>
      </c>
    </row>
    <row r="5374" spans="1:6" x14ac:dyDescent="0.45">
      <c r="A5374">
        <v>48</v>
      </c>
      <c r="B5374">
        <v>12</v>
      </c>
      <c r="C5374">
        <v>52000</v>
      </c>
      <c r="D5374" t="s">
        <v>71</v>
      </c>
      <c r="E5374" t="s">
        <v>74</v>
      </c>
      <c r="F5374" t="s">
        <v>80</v>
      </c>
    </row>
    <row r="5375" spans="1:6" x14ac:dyDescent="0.45">
      <c r="A5375">
        <v>40</v>
      </c>
      <c r="B5375">
        <v>12</v>
      </c>
      <c r="C5375">
        <v>52000</v>
      </c>
      <c r="D5375" t="s">
        <v>71</v>
      </c>
      <c r="E5375" t="s">
        <v>74</v>
      </c>
      <c r="F5375" t="s">
        <v>80</v>
      </c>
    </row>
    <row r="5376" spans="1:6" x14ac:dyDescent="0.45">
      <c r="A5376">
        <v>50</v>
      </c>
      <c r="B5376">
        <v>12</v>
      </c>
      <c r="C5376">
        <v>52000</v>
      </c>
      <c r="D5376" t="s">
        <v>71</v>
      </c>
      <c r="E5376" t="s">
        <v>74</v>
      </c>
      <c r="F5376" t="s">
        <v>80</v>
      </c>
    </row>
    <row r="5377" spans="1:6" x14ac:dyDescent="0.45">
      <c r="A5377">
        <v>45</v>
      </c>
      <c r="B5377">
        <v>12</v>
      </c>
      <c r="C5377">
        <v>52000</v>
      </c>
      <c r="D5377" t="s">
        <v>71</v>
      </c>
      <c r="E5377" t="s">
        <v>72</v>
      </c>
      <c r="F5377" t="s">
        <v>80</v>
      </c>
    </row>
    <row r="5378" spans="1:6" x14ac:dyDescent="0.45">
      <c r="A5378">
        <v>40</v>
      </c>
      <c r="B5378">
        <v>12</v>
      </c>
      <c r="C5378">
        <v>52000</v>
      </c>
      <c r="D5378" t="s">
        <v>71</v>
      </c>
      <c r="E5378" t="s">
        <v>74</v>
      </c>
      <c r="F5378" t="s">
        <v>80</v>
      </c>
    </row>
    <row r="5379" spans="1:6" x14ac:dyDescent="0.45">
      <c r="A5379">
        <v>40</v>
      </c>
      <c r="B5379">
        <v>12</v>
      </c>
      <c r="C5379">
        <v>52500</v>
      </c>
      <c r="D5379" t="s">
        <v>71</v>
      </c>
      <c r="E5379" t="s">
        <v>74</v>
      </c>
      <c r="F5379" t="s">
        <v>80</v>
      </c>
    </row>
    <row r="5380" spans="1:6" x14ac:dyDescent="0.45">
      <c r="A5380">
        <v>40</v>
      </c>
      <c r="B5380">
        <v>12</v>
      </c>
      <c r="C5380">
        <v>52500</v>
      </c>
      <c r="D5380" t="s">
        <v>71</v>
      </c>
      <c r="E5380" t="s">
        <v>74</v>
      </c>
      <c r="F5380" t="s">
        <v>80</v>
      </c>
    </row>
    <row r="5381" spans="1:6" x14ac:dyDescent="0.45">
      <c r="A5381">
        <v>40</v>
      </c>
      <c r="B5381">
        <v>12</v>
      </c>
      <c r="C5381">
        <v>52587</v>
      </c>
      <c r="D5381" t="s">
        <v>71</v>
      </c>
      <c r="E5381" t="s">
        <v>72</v>
      </c>
      <c r="F5381" t="s">
        <v>80</v>
      </c>
    </row>
    <row r="5382" spans="1:6" x14ac:dyDescent="0.45">
      <c r="A5382">
        <v>40</v>
      </c>
      <c r="B5382">
        <v>12</v>
      </c>
      <c r="C5382">
        <v>53000</v>
      </c>
      <c r="D5382" t="s">
        <v>71</v>
      </c>
      <c r="E5382" t="s">
        <v>74</v>
      </c>
      <c r="F5382" t="s">
        <v>80</v>
      </c>
    </row>
    <row r="5383" spans="1:6" x14ac:dyDescent="0.45">
      <c r="A5383">
        <v>40</v>
      </c>
      <c r="B5383">
        <v>12</v>
      </c>
      <c r="C5383">
        <v>53000</v>
      </c>
      <c r="D5383" t="s">
        <v>71</v>
      </c>
      <c r="E5383" t="s">
        <v>74</v>
      </c>
      <c r="F5383" t="s">
        <v>80</v>
      </c>
    </row>
    <row r="5384" spans="1:6" x14ac:dyDescent="0.45">
      <c r="A5384">
        <v>60</v>
      </c>
      <c r="B5384">
        <v>12</v>
      </c>
      <c r="C5384">
        <v>53000</v>
      </c>
      <c r="D5384" t="s">
        <v>71</v>
      </c>
      <c r="E5384" t="s">
        <v>74</v>
      </c>
      <c r="F5384" t="s">
        <v>80</v>
      </c>
    </row>
    <row r="5385" spans="1:6" x14ac:dyDescent="0.45">
      <c r="A5385">
        <v>43</v>
      </c>
      <c r="B5385">
        <v>12</v>
      </c>
      <c r="C5385">
        <v>53000</v>
      </c>
      <c r="D5385" t="s">
        <v>71</v>
      </c>
      <c r="E5385" t="s">
        <v>74</v>
      </c>
      <c r="F5385" t="s">
        <v>80</v>
      </c>
    </row>
    <row r="5386" spans="1:6" x14ac:dyDescent="0.45">
      <c r="A5386">
        <v>40</v>
      </c>
      <c r="B5386">
        <v>12</v>
      </c>
      <c r="C5386">
        <v>53000</v>
      </c>
      <c r="D5386" t="s">
        <v>71</v>
      </c>
      <c r="E5386" t="s">
        <v>74</v>
      </c>
      <c r="F5386" t="s">
        <v>80</v>
      </c>
    </row>
    <row r="5387" spans="1:6" x14ac:dyDescent="0.45">
      <c r="A5387">
        <v>0</v>
      </c>
      <c r="B5387">
        <v>12</v>
      </c>
      <c r="C5387">
        <v>53000</v>
      </c>
      <c r="D5387" t="s">
        <v>71</v>
      </c>
      <c r="E5387" t="s">
        <v>74</v>
      </c>
      <c r="F5387" t="s">
        <v>80</v>
      </c>
    </row>
    <row r="5388" spans="1:6" x14ac:dyDescent="0.45">
      <c r="A5388">
        <v>0</v>
      </c>
      <c r="B5388">
        <v>12</v>
      </c>
      <c r="C5388">
        <v>53000</v>
      </c>
      <c r="D5388" t="s">
        <v>71</v>
      </c>
      <c r="E5388" t="s">
        <v>74</v>
      </c>
      <c r="F5388" t="s">
        <v>80</v>
      </c>
    </row>
    <row r="5389" spans="1:6" x14ac:dyDescent="0.45">
      <c r="A5389">
        <v>40</v>
      </c>
      <c r="B5389">
        <v>12</v>
      </c>
      <c r="C5389">
        <v>53000</v>
      </c>
      <c r="D5389" t="s">
        <v>71</v>
      </c>
      <c r="E5389" t="s">
        <v>74</v>
      </c>
      <c r="F5389" t="s">
        <v>80</v>
      </c>
    </row>
    <row r="5390" spans="1:6" x14ac:dyDescent="0.45">
      <c r="A5390">
        <v>70</v>
      </c>
      <c r="B5390">
        <v>12</v>
      </c>
      <c r="C5390">
        <v>53287</v>
      </c>
      <c r="D5390" t="s">
        <v>71</v>
      </c>
      <c r="E5390" t="s">
        <v>74</v>
      </c>
      <c r="F5390" t="s">
        <v>80</v>
      </c>
    </row>
    <row r="5391" spans="1:6" x14ac:dyDescent="0.45">
      <c r="A5391">
        <v>40</v>
      </c>
      <c r="B5391">
        <v>12</v>
      </c>
      <c r="C5391">
        <v>53900</v>
      </c>
      <c r="D5391" t="s">
        <v>76</v>
      </c>
      <c r="E5391" t="s">
        <v>74</v>
      </c>
      <c r="F5391" t="s">
        <v>80</v>
      </c>
    </row>
    <row r="5392" spans="1:6" x14ac:dyDescent="0.45">
      <c r="A5392">
        <v>0</v>
      </c>
      <c r="B5392">
        <v>12</v>
      </c>
      <c r="C5392">
        <v>54000</v>
      </c>
      <c r="D5392" t="s">
        <v>71</v>
      </c>
      <c r="E5392" t="s">
        <v>74</v>
      </c>
      <c r="F5392" t="s">
        <v>80</v>
      </c>
    </row>
    <row r="5393" spans="1:6" x14ac:dyDescent="0.45">
      <c r="A5393">
        <v>55</v>
      </c>
      <c r="B5393">
        <v>12</v>
      </c>
      <c r="C5393">
        <v>54000</v>
      </c>
      <c r="D5393" t="s">
        <v>71</v>
      </c>
      <c r="E5393" t="s">
        <v>74</v>
      </c>
      <c r="F5393" t="s">
        <v>80</v>
      </c>
    </row>
    <row r="5394" spans="1:6" x14ac:dyDescent="0.45">
      <c r="A5394">
        <v>50</v>
      </c>
      <c r="B5394">
        <v>12</v>
      </c>
      <c r="C5394">
        <v>54000</v>
      </c>
      <c r="D5394" t="s">
        <v>71</v>
      </c>
      <c r="E5394" t="s">
        <v>72</v>
      </c>
      <c r="F5394" t="s">
        <v>80</v>
      </c>
    </row>
    <row r="5395" spans="1:6" x14ac:dyDescent="0.45">
      <c r="A5395">
        <v>40</v>
      </c>
      <c r="B5395">
        <v>12</v>
      </c>
      <c r="C5395">
        <v>54000</v>
      </c>
      <c r="D5395" t="s">
        <v>71</v>
      </c>
      <c r="E5395" t="s">
        <v>74</v>
      </c>
      <c r="F5395" t="s">
        <v>80</v>
      </c>
    </row>
    <row r="5396" spans="1:6" x14ac:dyDescent="0.45">
      <c r="A5396">
        <v>40</v>
      </c>
      <c r="B5396">
        <v>12</v>
      </c>
      <c r="C5396">
        <v>54000</v>
      </c>
      <c r="D5396" t="s">
        <v>71</v>
      </c>
      <c r="E5396" t="s">
        <v>74</v>
      </c>
      <c r="F5396" t="s">
        <v>80</v>
      </c>
    </row>
    <row r="5397" spans="1:6" x14ac:dyDescent="0.45">
      <c r="A5397">
        <v>45</v>
      </c>
      <c r="B5397">
        <v>12</v>
      </c>
      <c r="C5397">
        <v>54000</v>
      </c>
      <c r="D5397" t="s">
        <v>71</v>
      </c>
      <c r="E5397" t="s">
        <v>74</v>
      </c>
      <c r="F5397" t="s">
        <v>80</v>
      </c>
    </row>
    <row r="5398" spans="1:6" x14ac:dyDescent="0.45">
      <c r="A5398">
        <v>40</v>
      </c>
      <c r="B5398">
        <v>12</v>
      </c>
      <c r="C5398">
        <v>54000</v>
      </c>
      <c r="D5398" t="s">
        <v>71</v>
      </c>
      <c r="E5398" t="s">
        <v>72</v>
      </c>
      <c r="F5398" t="s">
        <v>80</v>
      </c>
    </row>
    <row r="5399" spans="1:6" x14ac:dyDescent="0.45">
      <c r="A5399">
        <v>40</v>
      </c>
      <c r="B5399">
        <v>12</v>
      </c>
      <c r="C5399">
        <v>54190</v>
      </c>
      <c r="D5399" t="s">
        <v>71</v>
      </c>
      <c r="E5399" t="s">
        <v>72</v>
      </c>
      <c r="F5399" t="s">
        <v>80</v>
      </c>
    </row>
    <row r="5400" spans="1:6" x14ac:dyDescent="0.45">
      <c r="A5400">
        <v>60</v>
      </c>
      <c r="B5400">
        <v>12</v>
      </c>
      <c r="C5400">
        <v>54900</v>
      </c>
      <c r="D5400" t="s">
        <v>71</v>
      </c>
      <c r="E5400" t="s">
        <v>74</v>
      </c>
      <c r="F5400" t="s">
        <v>80</v>
      </c>
    </row>
    <row r="5401" spans="1:6" x14ac:dyDescent="0.45">
      <c r="A5401">
        <v>45</v>
      </c>
      <c r="B5401">
        <v>12</v>
      </c>
      <c r="C5401">
        <v>55000</v>
      </c>
      <c r="D5401" t="s">
        <v>71</v>
      </c>
      <c r="E5401" t="s">
        <v>72</v>
      </c>
      <c r="F5401" t="s">
        <v>80</v>
      </c>
    </row>
    <row r="5402" spans="1:6" x14ac:dyDescent="0.45">
      <c r="A5402">
        <v>45</v>
      </c>
      <c r="B5402">
        <v>12</v>
      </c>
      <c r="C5402">
        <v>55000</v>
      </c>
      <c r="D5402" t="s">
        <v>71</v>
      </c>
      <c r="E5402" t="s">
        <v>74</v>
      </c>
      <c r="F5402" t="s">
        <v>80</v>
      </c>
    </row>
    <row r="5403" spans="1:6" x14ac:dyDescent="0.45">
      <c r="A5403">
        <v>40</v>
      </c>
      <c r="B5403">
        <v>12</v>
      </c>
      <c r="C5403">
        <v>55000</v>
      </c>
      <c r="D5403" t="s">
        <v>71</v>
      </c>
      <c r="E5403" t="s">
        <v>74</v>
      </c>
      <c r="F5403" t="s">
        <v>80</v>
      </c>
    </row>
    <row r="5404" spans="1:6" x14ac:dyDescent="0.45">
      <c r="A5404">
        <v>40</v>
      </c>
      <c r="B5404">
        <v>12</v>
      </c>
      <c r="C5404">
        <v>55000</v>
      </c>
      <c r="D5404" t="s">
        <v>71</v>
      </c>
      <c r="E5404" t="s">
        <v>74</v>
      </c>
      <c r="F5404" t="s">
        <v>80</v>
      </c>
    </row>
    <row r="5405" spans="1:6" x14ac:dyDescent="0.45">
      <c r="A5405">
        <v>0</v>
      </c>
      <c r="B5405">
        <v>12</v>
      </c>
      <c r="C5405">
        <v>55000</v>
      </c>
      <c r="D5405" t="s">
        <v>71</v>
      </c>
      <c r="E5405" t="s">
        <v>74</v>
      </c>
      <c r="F5405" t="s">
        <v>80</v>
      </c>
    </row>
    <row r="5406" spans="1:6" x14ac:dyDescent="0.45">
      <c r="A5406">
        <v>70</v>
      </c>
      <c r="B5406">
        <v>12</v>
      </c>
      <c r="C5406">
        <v>55000</v>
      </c>
      <c r="D5406" t="s">
        <v>71</v>
      </c>
      <c r="E5406" t="s">
        <v>74</v>
      </c>
      <c r="F5406" t="s">
        <v>80</v>
      </c>
    </row>
    <row r="5407" spans="1:6" x14ac:dyDescent="0.45">
      <c r="A5407">
        <v>0</v>
      </c>
      <c r="B5407">
        <v>12</v>
      </c>
      <c r="C5407">
        <v>55000</v>
      </c>
      <c r="D5407" t="s">
        <v>71</v>
      </c>
      <c r="E5407" t="s">
        <v>74</v>
      </c>
      <c r="F5407" t="s">
        <v>80</v>
      </c>
    </row>
    <row r="5408" spans="1:6" x14ac:dyDescent="0.45">
      <c r="A5408">
        <v>50</v>
      </c>
      <c r="B5408">
        <v>12</v>
      </c>
      <c r="C5408">
        <v>55000</v>
      </c>
      <c r="D5408" t="s">
        <v>71</v>
      </c>
      <c r="E5408" t="s">
        <v>74</v>
      </c>
      <c r="F5408" t="s">
        <v>80</v>
      </c>
    </row>
    <row r="5409" spans="1:6" x14ac:dyDescent="0.45">
      <c r="A5409">
        <v>40</v>
      </c>
      <c r="B5409">
        <v>12</v>
      </c>
      <c r="C5409">
        <v>55000</v>
      </c>
      <c r="D5409" t="s">
        <v>71</v>
      </c>
      <c r="E5409" t="s">
        <v>74</v>
      </c>
      <c r="F5409" t="s">
        <v>80</v>
      </c>
    </row>
    <row r="5410" spans="1:6" x14ac:dyDescent="0.45">
      <c r="A5410">
        <v>40</v>
      </c>
      <c r="B5410">
        <v>12</v>
      </c>
      <c r="C5410">
        <v>55000</v>
      </c>
      <c r="D5410" t="s">
        <v>71</v>
      </c>
      <c r="E5410" t="s">
        <v>74</v>
      </c>
      <c r="F5410" t="s">
        <v>80</v>
      </c>
    </row>
    <row r="5411" spans="1:6" x14ac:dyDescent="0.45">
      <c r="A5411">
        <v>50</v>
      </c>
      <c r="B5411">
        <v>12</v>
      </c>
      <c r="C5411">
        <v>55000</v>
      </c>
      <c r="D5411" t="s">
        <v>71</v>
      </c>
      <c r="E5411" t="s">
        <v>74</v>
      </c>
      <c r="F5411" t="s">
        <v>80</v>
      </c>
    </row>
    <row r="5412" spans="1:6" x14ac:dyDescent="0.45">
      <c r="A5412">
        <v>40</v>
      </c>
      <c r="B5412">
        <v>12</v>
      </c>
      <c r="C5412">
        <v>55000</v>
      </c>
      <c r="D5412" t="s">
        <v>77</v>
      </c>
      <c r="E5412" t="s">
        <v>74</v>
      </c>
      <c r="F5412" t="s">
        <v>80</v>
      </c>
    </row>
    <row r="5413" spans="1:6" x14ac:dyDescent="0.45">
      <c r="A5413">
        <v>40</v>
      </c>
      <c r="B5413">
        <v>12</v>
      </c>
      <c r="C5413">
        <v>55000</v>
      </c>
      <c r="D5413" t="s">
        <v>71</v>
      </c>
      <c r="E5413" t="s">
        <v>74</v>
      </c>
      <c r="F5413" t="s">
        <v>80</v>
      </c>
    </row>
    <row r="5414" spans="1:6" x14ac:dyDescent="0.45">
      <c r="A5414">
        <v>40</v>
      </c>
      <c r="B5414">
        <v>12</v>
      </c>
      <c r="C5414">
        <v>55000</v>
      </c>
      <c r="D5414" t="s">
        <v>71</v>
      </c>
      <c r="E5414" t="s">
        <v>74</v>
      </c>
      <c r="F5414" t="s">
        <v>80</v>
      </c>
    </row>
    <row r="5415" spans="1:6" x14ac:dyDescent="0.45">
      <c r="A5415">
        <v>35</v>
      </c>
      <c r="B5415">
        <v>12</v>
      </c>
      <c r="C5415">
        <v>55145</v>
      </c>
      <c r="D5415" t="s">
        <v>71</v>
      </c>
      <c r="E5415" t="s">
        <v>72</v>
      </c>
      <c r="F5415" t="s">
        <v>80</v>
      </c>
    </row>
    <row r="5416" spans="1:6" x14ac:dyDescent="0.45">
      <c r="A5416">
        <v>40</v>
      </c>
      <c r="B5416">
        <v>12</v>
      </c>
      <c r="C5416">
        <v>56000</v>
      </c>
      <c r="D5416" t="s">
        <v>71</v>
      </c>
      <c r="E5416" t="s">
        <v>72</v>
      </c>
      <c r="F5416" t="s">
        <v>80</v>
      </c>
    </row>
    <row r="5417" spans="1:6" x14ac:dyDescent="0.45">
      <c r="A5417">
        <v>40</v>
      </c>
      <c r="B5417">
        <v>12</v>
      </c>
      <c r="C5417">
        <v>56000</v>
      </c>
      <c r="D5417" t="s">
        <v>71</v>
      </c>
      <c r="E5417" t="s">
        <v>74</v>
      </c>
      <c r="F5417" t="s">
        <v>80</v>
      </c>
    </row>
    <row r="5418" spans="1:6" x14ac:dyDescent="0.45">
      <c r="A5418">
        <v>40</v>
      </c>
      <c r="B5418">
        <v>12</v>
      </c>
      <c r="C5418">
        <v>56800</v>
      </c>
      <c r="D5418" t="s">
        <v>71</v>
      </c>
      <c r="E5418" t="s">
        <v>74</v>
      </c>
      <c r="F5418" t="s">
        <v>80</v>
      </c>
    </row>
    <row r="5419" spans="1:6" x14ac:dyDescent="0.45">
      <c r="A5419">
        <v>65</v>
      </c>
      <c r="B5419">
        <v>12</v>
      </c>
      <c r="C5419">
        <v>56800</v>
      </c>
      <c r="D5419" t="s">
        <v>71</v>
      </c>
      <c r="E5419" t="s">
        <v>74</v>
      </c>
      <c r="F5419" t="s">
        <v>80</v>
      </c>
    </row>
    <row r="5420" spans="1:6" x14ac:dyDescent="0.45">
      <c r="A5420">
        <v>40</v>
      </c>
      <c r="B5420">
        <v>12</v>
      </c>
      <c r="C5420">
        <v>57000</v>
      </c>
      <c r="D5420" t="s">
        <v>71</v>
      </c>
      <c r="E5420" t="s">
        <v>74</v>
      </c>
      <c r="F5420" t="s">
        <v>80</v>
      </c>
    </row>
    <row r="5421" spans="1:6" x14ac:dyDescent="0.45">
      <c r="A5421">
        <v>40</v>
      </c>
      <c r="B5421">
        <v>12</v>
      </c>
      <c r="C5421">
        <v>57000</v>
      </c>
      <c r="D5421" t="s">
        <v>76</v>
      </c>
      <c r="E5421" t="s">
        <v>74</v>
      </c>
      <c r="F5421" t="s">
        <v>80</v>
      </c>
    </row>
    <row r="5422" spans="1:6" x14ac:dyDescent="0.45">
      <c r="A5422">
        <v>40</v>
      </c>
      <c r="B5422">
        <v>12</v>
      </c>
      <c r="C5422">
        <v>57000</v>
      </c>
      <c r="D5422" t="s">
        <v>71</v>
      </c>
      <c r="E5422" t="s">
        <v>74</v>
      </c>
      <c r="F5422" t="s">
        <v>80</v>
      </c>
    </row>
    <row r="5423" spans="1:6" x14ac:dyDescent="0.45">
      <c r="A5423">
        <v>45</v>
      </c>
      <c r="B5423">
        <v>12</v>
      </c>
      <c r="C5423">
        <v>57000</v>
      </c>
      <c r="D5423" t="s">
        <v>71</v>
      </c>
      <c r="E5423" t="s">
        <v>74</v>
      </c>
      <c r="F5423" t="s">
        <v>80</v>
      </c>
    </row>
    <row r="5424" spans="1:6" x14ac:dyDescent="0.45">
      <c r="A5424">
        <v>40</v>
      </c>
      <c r="B5424">
        <v>12</v>
      </c>
      <c r="C5424">
        <v>57200</v>
      </c>
      <c r="D5424" t="s">
        <v>71</v>
      </c>
      <c r="E5424" t="s">
        <v>74</v>
      </c>
      <c r="F5424" t="s">
        <v>80</v>
      </c>
    </row>
    <row r="5425" spans="1:6" x14ac:dyDescent="0.45">
      <c r="A5425">
        <v>40</v>
      </c>
      <c r="B5425">
        <v>12</v>
      </c>
      <c r="C5425">
        <v>58000</v>
      </c>
      <c r="D5425" t="s">
        <v>71</v>
      </c>
      <c r="E5425" t="s">
        <v>74</v>
      </c>
      <c r="F5425" t="s">
        <v>80</v>
      </c>
    </row>
    <row r="5426" spans="1:6" x14ac:dyDescent="0.45">
      <c r="A5426">
        <v>40</v>
      </c>
      <c r="B5426">
        <v>12</v>
      </c>
      <c r="C5426">
        <v>58000</v>
      </c>
      <c r="D5426" t="s">
        <v>71</v>
      </c>
      <c r="E5426" t="s">
        <v>72</v>
      </c>
      <c r="F5426" t="s">
        <v>80</v>
      </c>
    </row>
    <row r="5427" spans="1:6" x14ac:dyDescent="0.45">
      <c r="A5427">
        <v>48</v>
      </c>
      <c r="B5427">
        <v>12</v>
      </c>
      <c r="C5427">
        <v>58000</v>
      </c>
      <c r="D5427" t="s">
        <v>71</v>
      </c>
      <c r="E5427" t="s">
        <v>74</v>
      </c>
      <c r="F5427" t="s">
        <v>80</v>
      </c>
    </row>
    <row r="5428" spans="1:6" x14ac:dyDescent="0.45">
      <c r="A5428">
        <v>45</v>
      </c>
      <c r="B5428">
        <v>12</v>
      </c>
      <c r="C5428">
        <v>58000</v>
      </c>
      <c r="D5428" t="s">
        <v>71</v>
      </c>
      <c r="E5428" t="s">
        <v>72</v>
      </c>
      <c r="F5428" t="s">
        <v>80</v>
      </c>
    </row>
    <row r="5429" spans="1:6" x14ac:dyDescent="0.45">
      <c r="A5429">
        <v>52</v>
      </c>
      <c r="B5429">
        <v>12</v>
      </c>
      <c r="C5429">
        <v>58000</v>
      </c>
      <c r="D5429" t="s">
        <v>71</v>
      </c>
      <c r="E5429" t="s">
        <v>74</v>
      </c>
      <c r="F5429" t="s">
        <v>80</v>
      </c>
    </row>
    <row r="5430" spans="1:6" x14ac:dyDescent="0.45">
      <c r="A5430">
        <v>45</v>
      </c>
      <c r="B5430">
        <v>12</v>
      </c>
      <c r="C5430">
        <v>58000</v>
      </c>
      <c r="D5430" t="s">
        <v>71</v>
      </c>
      <c r="E5430" t="s">
        <v>74</v>
      </c>
      <c r="F5430" t="s">
        <v>80</v>
      </c>
    </row>
    <row r="5431" spans="1:6" x14ac:dyDescent="0.45">
      <c r="A5431">
        <v>40</v>
      </c>
      <c r="B5431">
        <v>12</v>
      </c>
      <c r="C5431">
        <v>58000</v>
      </c>
      <c r="D5431" t="s">
        <v>71</v>
      </c>
      <c r="E5431" t="s">
        <v>74</v>
      </c>
      <c r="F5431" t="s">
        <v>80</v>
      </c>
    </row>
    <row r="5432" spans="1:6" x14ac:dyDescent="0.45">
      <c r="A5432">
        <v>0</v>
      </c>
      <c r="B5432">
        <v>12</v>
      </c>
      <c r="C5432">
        <v>58000</v>
      </c>
      <c r="D5432" t="s">
        <v>71</v>
      </c>
      <c r="E5432" t="s">
        <v>74</v>
      </c>
      <c r="F5432" t="s">
        <v>80</v>
      </c>
    </row>
    <row r="5433" spans="1:6" x14ac:dyDescent="0.45">
      <c r="A5433">
        <v>40</v>
      </c>
      <c r="B5433">
        <v>12</v>
      </c>
      <c r="C5433">
        <v>59000</v>
      </c>
      <c r="D5433" t="s">
        <v>71</v>
      </c>
      <c r="E5433" t="s">
        <v>74</v>
      </c>
      <c r="F5433" t="s">
        <v>80</v>
      </c>
    </row>
    <row r="5434" spans="1:6" x14ac:dyDescent="0.45">
      <c r="A5434">
        <v>40</v>
      </c>
      <c r="B5434">
        <v>12</v>
      </c>
      <c r="C5434">
        <v>59000</v>
      </c>
      <c r="D5434" t="s">
        <v>71</v>
      </c>
      <c r="E5434" t="s">
        <v>72</v>
      </c>
      <c r="F5434" t="s">
        <v>80</v>
      </c>
    </row>
    <row r="5435" spans="1:6" x14ac:dyDescent="0.45">
      <c r="A5435">
        <v>40</v>
      </c>
      <c r="B5435">
        <v>12</v>
      </c>
      <c r="C5435">
        <v>59200</v>
      </c>
      <c r="D5435" t="s">
        <v>71</v>
      </c>
      <c r="E5435" t="s">
        <v>74</v>
      </c>
      <c r="F5435" t="s">
        <v>80</v>
      </c>
    </row>
    <row r="5436" spans="1:6" x14ac:dyDescent="0.45">
      <c r="A5436">
        <v>60</v>
      </c>
      <c r="B5436">
        <v>12</v>
      </c>
      <c r="C5436">
        <v>59800</v>
      </c>
      <c r="D5436" t="s">
        <v>71</v>
      </c>
      <c r="E5436" t="s">
        <v>74</v>
      </c>
      <c r="F5436" t="s">
        <v>80</v>
      </c>
    </row>
    <row r="5437" spans="1:6" x14ac:dyDescent="0.45">
      <c r="A5437">
        <v>80</v>
      </c>
      <c r="B5437">
        <v>12</v>
      </c>
      <c r="C5437">
        <v>59925</v>
      </c>
      <c r="D5437" t="s">
        <v>71</v>
      </c>
      <c r="E5437" t="s">
        <v>74</v>
      </c>
      <c r="F5437" t="s">
        <v>80</v>
      </c>
    </row>
    <row r="5438" spans="1:6" x14ac:dyDescent="0.45">
      <c r="A5438">
        <v>40</v>
      </c>
      <c r="B5438">
        <v>12</v>
      </c>
      <c r="C5438">
        <v>60000</v>
      </c>
      <c r="D5438" t="s">
        <v>71</v>
      </c>
      <c r="E5438" t="s">
        <v>74</v>
      </c>
      <c r="F5438" t="s">
        <v>80</v>
      </c>
    </row>
    <row r="5439" spans="1:6" x14ac:dyDescent="0.45">
      <c r="A5439">
        <v>45</v>
      </c>
      <c r="B5439">
        <v>12</v>
      </c>
      <c r="C5439">
        <v>60000</v>
      </c>
      <c r="D5439" t="s">
        <v>71</v>
      </c>
      <c r="E5439" t="s">
        <v>72</v>
      </c>
      <c r="F5439" t="s">
        <v>80</v>
      </c>
    </row>
    <row r="5440" spans="1:6" x14ac:dyDescent="0.45">
      <c r="A5440">
        <v>97</v>
      </c>
      <c r="B5440">
        <v>12</v>
      </c>
      <c r="C5440">
        <v>60000</v>
      </c>
      <c r="D5440" t="s">
        <v>71</v>
      </c>
      <c r="E5440" t="s">
        <v>74</v>
      </c>
      <c r="F5440" t="s">
        <v>80</v>
      </c>
    </row>
    <row r="5441" spans="1:6" x14ac:dyDescent="0.45">
      <c r="A5441">
        <v>60</v>
      </c>
      <c r="B5441">
        <v>12</v>
      </c>
      <c r="C5441">
        <v>60000</v>
      </c>
      <c r="D5441" t="s">
        <v>71</v>
      </c>
      <c r="E5441" t="s">
        <v>74</v>
      </c>
      <c r="F5441" t="s">
        <v>80</v>
      </c>
    </row>
    <row r="5442" spans="1:6" x14ac:dyDescent="0.45">
      <c r="A5442">
        <v>60</v>
      </c>
      <c r="B5442">
        <v>12</v>
      </c>
      <c r="C5442">
        <v>60000</v>
      </c>
      <c r="D5442" t="s">
        <v>71</v>
      </c>
      <c r="E5442" t="s">
        <v>74</v>
      </c>
      <c r="F5442" t="s">
        <v>80</v>
      </c>
    </row>
    <row r="5443" spans="1:6" x14ac:dyDescent="0.45">
      <c r="A5443">
        <v>45</v>
      </c>
      <c r="B5443">
        <v>12</v>
      </c>
      <c r="C5443">
        <v>60000</v>
      </c>
      <c r="D5443" t="s">
        <v>71</v>
      </c>
      <c r="E5443" t="s">
        <v>74</v>
      </c>
      <c r="F5443" t="s">
        <v>80</v>
      </c>
    </row>
    <row r="5444" spans="1:6" x14ac:dyDescent="0.45">
      <c r="A5444">
        <v>40</v>
      </c>
      <c r="B5444">
        <v>12</v>
      </c>
      <c r="C5444">
        <v>60000</v>
      </c>
      <c r="D5444" t="s">
        <v>71</v>
      </c>
      <c r="E5444" t="s">
        <v>74</v>
      </c>
      <c r="F5444" t="s">
        <v>80</v>
      </c>
    </row>
    <row r="5445" spans="1:6" x14ac:dyDescent="0.45">
      <c r="A5445">
        <v>40</v>
      </c>
      <c r="B5445">
        <v>12</v>
      </c>
      <c r="C5445">
        <v>60000</v>
      </c>
      <c r="D5445" t="s">
        <v>71</v>
      </c>
      <c r="E5445" t="s">
        <v>72</v>
      </c>
      <c r="F5445" t="s">
        <v>80</v>
      </c>
    </row>
    <row r="5446" spans="1:6" x14ac:dyDescent="0.45">
      <c r="A5446">
        <v>48</v>
      </c>
      <c r="B5446">
        <v>12</v>
      </c>
      <c r="C5446">
        <v>60000</v>
      </c>
      <c r="D5446" t="s">
        <v>71</v>
      </c>
      <c r="E5446" t="s">
        <v>74</v>
      </c>
      <c r="F5446" t="s">
        <v>80</v>
      </c>
    </row>
    <row r="5447" spans="1:6" x14ac:dyDescent="0.45">
      <c r="A5447">
        <v>70</v>
      </c>
      <c r="B5447">
        <v>12</v>
      </c>
      <c r="C5447">
        <v>60000</v>
      </c>
      <c r="D5447" t="s">
        <v>71</v>
      </c>
      <c r="E5447" t="s">
        <v>74</v>
      </c>
      <c r="F5447" t="s">
        <v>80</v>
      </c>
    </row>
    <row r="5448" spans="1:6" x14ac:dyDescent="0.45">
      <c r="A5448">
        <v>40</v>
      </c>
      <c r="B5448">
        <v>12</v>
      </c>
      <c r="C5448">
        <v>60000</v>
      </c>
      <c r="D5448" t="s">
        <v>71</v>
      </c>
      <c r="E5448" t="s">
        <v>74</v>
      </c>
      <c r="F5448" t="s">
        <v>80</v>
      </c>
    </row>
    <row r="5449" spans="1:6" x14ac:dyDescent="0.45">
      <c r="A5449">
        <v>40</v>
      </c>
      <c r="B5449">
        <v>12</v>
      </c>
      <c r="C5449">
        <v>60000</v>
      </c>
      <c r="D5449" t="s">
        <v>71</v>
      </c>
      <c r="E5449" t="s">
        <v>74</v>
      </c>
      <c r="F5449" t="s">
        <v>80</v>
      </c>
    </row>
    <row r="5450" spans="1:6" x14ac:dyDescent="0.45">
      <c r="A5450">
        <v>40</v>
      </c>
      <c r="B5450">
        <v>12</v>
      </c>
      <c r="C5450">
        <v>60000</v>
      </c>
      <c r="D5450" t="s">
        <v>71</v>
      </c>
      <c r="E5450" t="s">
        <v>74</v>
      </c>
      <c r="F5450" t="s">
        <v>80</v>
      </c>
    </row>
    <row r="5451" spans="1:6" x14ac:dyDescent="0.45">
      <c r="A5451">
        <v>40</v>
      </c>
      <c r="B5451">
        <v>12</v>
      </c>
      <c r="C5451">
        <v>60000</v>
      </c>
      <c r="D5451" t="s">
        <v>76</v>
      </c>
      <c r="E5451" t="s">
        <v>72</v>
      </c>
      <c r="F5451" t="s">
        <v>80</v>
      </c>
    </row>
    <row r="5452" spans="1:6" x14ac:dyDescent="0.45">
      <c r="A5452">
        <v>100</v>
      </c>
      <c r="B5452">
        <v>12</v>
      </c>
      <c r="C5452">
        <v>60000</v>
      </c>
      <c r="D5452" t="s">
        <v>71</v>
      </c>
      <c r="E5452" t="s">
        <v>74</v>
      </c>
      <c r="F5452" t="s">
        <v>80</v>
      </c>
    </row>
    <row r="5453" spans="1:6" x14ac:dyDescent="0.45">
      <c r="A5453">
        <v>48</v>
      </c>
      <c r="B5453">
        <v>12</v>
      </c>
      <c r="C5453">
        <v>60000</v>
      </c>
      <c r="D5453" t="s">
        <v>71</v>
      </c>
      <c r="E5453" t="s">
        <v>74</v>
      </c>
      <c r="F5453" t="s">
        <v>80</v>
      </c>
    </row>
    <row r="5454" spans="1:6" x14ac:dyDescent="0.45">
      <c r="A5454">
        <v>40</v>
      </c>
      <c r="B5454">
        <v>12</v>
      </c>
      <c r="C5454">
        <v>60000</v>
      </c>
      <c r="D5454" t="s">
        <v>71</v>
      </c>
      <c r="E5454" t="s">
        <v>74</v>
      </c>
      <c r="F5454" t="s">
        <v>80</v>
      </c>
    </row>
    <row r="5455" spans="1:6" x14ac:dyDescent="0.45">
      <c r="A5455">
        <v>48</v>
      </c>
      <c r="B5455">
        <v>12</v>
      </c>
      <c r="C5455">
        <v>60000</v>
      </c>
      <c r="D5455" t="s">
        <v>71</v>
      </c>
      <c r="E5455" t="s">
        <v>74</v>
      </c>
      <c r="F5455" t="s">
        <v>80</v>
      </c>
    </row>
    <row r="5456" spans="1:6" x14ac:dyDescent="0.45">
      <c r="A5456">
        <v>40</v>
      </c>
      <c r="B5456">
        <v>12</v>
      </c>
      <c r="C5456">
        <v>60000</v>
      </c>
      <c r="D5456" t="s">
        <v>71</v>
      </c>
      <c r="E5456" t="s">
        <v>74</v>
      </c>
      <c r="F5456" t="s">
        <v>80</v>
      </c>
    </row>
    <row r="5457" spans="1:6" x14ac:dyDescent="0.45">
      <c r="A5457">
        <v>48</v>
      </c>
      <c r="B5457">
        <v>12</v>
      </c>
      <c r="C5457">
        <v>60000</v>
      </c>
      <c r="D5457" t="s">
        <v>71</v>
      </c>
      <c r="E5457" t="s">
        <v>74</v>
      </c>
      <c r="F5457" t="s">
        <v>80</v>
      </c>
    </row>
    <row r="5458" spans="1:6" x14ac:dyDescent="0.45">
      <c r="A5458">
        <v>40</v>
      </c>
      <c r="B5458">
        <v>12</v>
      </c>
      <c r="C5458">
        <v>60000</v>
      </c>
      <c r="D5458" t="s">
        <v>71</v>
      </c>
      <c r="E5458" t="s">
        <v>74</v>
      </c>
      <c r="F5458" t="s">
        <v>80</v>
      </c>
    </row>
    <row r="5459" spans="1:6" x14ac:dyDescent="0.45">
      <c r="A5459">
        <v>55</v>
      </c>
      <c r="B5459">
        <v>12</v>
      </c>
      <c r="C5459">
        <v>60000</v>
      </c>
      <c r="D5459" t="s">
        <v>71</v>
      </c>
      <c r="E5459" t="s">
        <v>74</v>
      </c>
      <c r="F5459" t="s">
        <v>80</v>
      </c>
    </row>
    <row r="5460" spans="1:6" x14ac:dyDescent="0.45">
      <c r="A5460">
        <v>35</v>
      </c>
      <c r="B5460">
        <v>12</v>
      </c>
      <c r="C5460">
        <v>60000</v>
      </c>
      <c r="D5460" t="s">
        <v>71</v>
      </c>
      <c r="E5460" t="s">
        <v>72</v>
      </c>
      <c r="F5460" t="s">
        <v>80</v>
      </c>
    </row>
    <row r="5461" spans="1:6" x14ac:dyDescent="0.45">
      <c r="A5461">
        <v>45</v>
      </c>
      <c r="B5461">
        <v>12</v>
      </c>
      <c r="C5461">
        <v>60000</v>
      </c>
      <c r="D5461" t="s">
        <v>71</v>
      </c>
      <c r="E5461" t="s">
        <v>74</v>
      </c>
      <c r="F5461" t="s">
        <v>80</v>
      </c>
    </row>
    <row r="5462" spans="1:6" x14ac:dyDescent="0.45">
      <c r="A5462">
        <v>45</v>
      </c>
      <c r="B5462">
        <v>12</v>
      </c>
      <c r="C5462">
        <v>60000</v>
      </c>
      <c r="D5462" t="s">
        <v>71</v>
      </c>
      <c r="E5462" t="s">
        <v>74</v>
      </c>
      <c r="F5462" t="s">
        <v>80</v>
      </c>
    </row>
    <row r="5463" spans="1:6" x14ac:dyDescent="0.45">
      <c r="A5463">
        <v>60</v>
      </c>
      <c r="B5463">
        <v>12</v>
      </c>
      <c r="C5463">
        <v>60000</v>
      </c>
      <c r="D5463" t="s">
        <v>71</v>
      </c>
      <c r="E5463" t="s">
        <v>74</v>
      </c>
      <c r="F5463" t="s">
        <v>80</v>
      </c>
    </row>
    <row r="5464" spans="1:6" x14ac:dyDescent="0.45">
      <c r="A5464">
        <v>35</v>
      </c>
      <c r="B5464">
        <v>12</v>
      </c>
      <c r="C5464">
        <v>60198</v>
      </c>
      <c r="D5464" t="s">
        <v>71</v>
      </c>
      <c r="E5464" t="s">
        <v>74</v>
      </c>
      <c r="F5464" t="s">
        <v>80</v>
      </c>
    </row>
    <row r="5465" spans="1:6" x14ac:dyDescent="0.45">
      <c r="A5465">
        <v>40</v>
      </c>
      <c r="B5465">
        <v>12</v>
      </c>
      <c r="C5465">
        <v>60500</v>
      </c>
      <c r="D5465" t="s">
        <v>71</v>
      </c>
      <c r="E5465" t="s">
        <v>74</v>
      </c>
      <c r="F5465" t="s">
        <v>80</v>
      </c>
    </row>
    <row r="5466" spans="1:6" x14ac:dyDescent="0.45">
      <c r="A5466">
        <v>55</v>
      </c>
      <c r="B5466">
        <v>12</v>
      </c>
      <c r="C5466">
        <v>61000</v>
      </c>
      <c r="D5466" t="s">
        <v>71</v>
      </c>
      <c r="E5466" t="s">
        <v>74</v>
      </c>
      <c r="F5466" t="s">
        <v>80</v>
      </c>
    </row>
    <row r="5467" spans="1:6" x14ac:dyDescent="0.45">
      <c r="A5467">
        <v>60</v>
      </c>
      <c r="B5467">
        <v>12</v>
      </c>
      <c r="C5467">
        <v>61000</v>
      </c>
      <c r="D5467" t="s">
        <v>71</v>
      </c>
      <c r="E5467" t="s">
        <v>74</v>
      </c>
      <c r="F5467" t="s">
        <v>80</v>
      </c>
    </row>
    <row r="5468" spans="1:6" x14ac:dyDescent="0.45">
      <c r="A5468">
        <v>40</v>
      </c>
      <c r="B5468">
        <v>12</v>
      </c>
      <c r="C5468">
        <v>61000</v>
      </c>
      <c r="D5468" t="s">
        <v>71</v>
      </c>
      <c r="E5468" t="s">
        <v>74</v>
      </c>
      <c r="F5468" t="s">
        <v>80</v>
      </c>
    </row>
    <row r="5469" spans="1:6" x14ac:dyDescent="0.45">
      <c r="A5469">
        <v>40</v>
      </c>
      <c r="B5469">
        <v>12</v>
      </c>
      <c r="C5469">
        <v>61000</v>
      </c>
      <c r="D5469" t="s">
        <v>71</v>
      </c>
      <c r="E5469" t="s">
        <v>74</v>
      </c>
      <c r="F5469" t="s">
        <v>80</v>
      </c>
    </row>
    <row r="5470" spans="1:6" x14ac:dyDescent="0.45">
      <c r="A5470">
        <v>45</v>
      </c>
      <c r="B5470">
        <v>12</v>
      </c>
      <c r="C5470">
        <v>61629</v>
      </c>
      <c r="D5470" t="s">
        <v>71</v>
      </c>
      <c r="E5470" t="s">
        <v>74</v>
      </c>
      <c r="F5470" t="s">
        <v>80</v>
      </c>
    </row>
    <row r="5471" spans="1:6" x14ac:dyDescent="0.45">
      <c r="A5471">
        <v>50</v>
      </c>
      <c r="B5471">
        <v>12</v>
      </c>
      <c r="C5471">
        <v>62000</v>
      </c>
      <c r="D5471" t="s">
        <v>71</v>
      </c>
      <c r="E5471" t="s">
        <v>74</v>
      </c>
      <c r="F5471" t="s">
        <v>80</v>
      </c>
    </row>
    <row r="5472" spans="1:6" x14ac:dyDescent="0.45">
      <c r="A5472">
        <v>40</v>
      </c>
      <c r="B5472">
        <v>12</v>
      </c>
      <c r="C5472">
        <v>62000</v>
      </c>
      <c r="D5472" t="s">
        <v>71</v>
      </c>
      <c r="E5472" t="s">
        <v>74</v>
      </c>
      <c r="F5472" t="s">
        <v>80</v>
      </c>
    </row>
    <row r="5473" spans="1:6" x14ac:dyDescent="0.45">
      <c r="A5473">
        <v>48</v>
      </c>
      <c r="B5473">
        <v>12</v>
      </c>
      <c r="C5473">
        <v>62000</v>
      </c>
      <c r="D5473" t="s">
        <v>71</v>
      </c>
      <c r="E5473" t="s">
        <v>74</v>
      </c>
      <c r="F5473" t="s">
        <v>80</v>
      </c>
    </row>
    <row r="5474" spans="1:6" x14ac:dyDescent="0.45">
      <c r="A5474">
        <v>40</v>
      </c>
      <c r="B5474">
        <v>12</v>
      </c>
      <c r="C5474">
        <v>62000</v>
      </c>
      <c r="D5474" t="s">
        <v>71</v>
      </c>
      <c r="E5474" t="s">
        <v>74</v>
      </c>
      <c r="F5474" t="s">
        <v>80</v>
      </c>
    </row>
    <row r="5475" spans="1:6" x14ac:dyDescent="0.45">
      <c r="A5475">
        <v>40</v>
      </c>
      <c r="B5475">
        <v>12</v>
      </c>
      <c r="C5475">
        <v>62000</v>
      </c>
      <c r="D5475" t="s">
        <v>71</v>
      </c>
      <c r="E5475" t="s">
        <v>74</v>
      </c>
      <c r="F5475" t="s">
        <v>80</v>
      </c>
    </row>
    <row r="5476" spans="1:6" x14ac:dyDescent="0.45">
      <c r="A5476">
        <v>0</v>
      </c>
      <c r="B5476">
        <v>12</v>
      </c>
      <c r="C5476">
        <v>62400</v>
      </c>
      <c r="D5476" t="s">
        <v>71</v>
      </c>
      <c r="E5476" t="s">
        <v>74</v>
      </c>
      <c r="F5476" t="s">
        <v>80</v>
      </c>
    </row>
    <row r="5477" spans="1:6" x14ac:dyDescent="0.45">
      <c r="A5477">
        <v>40</v>
      </c>
      <c r="B5477">
        <v>12</v>
      </c>
      <c r="C5477">
        <v>62400</v>
      </c>
      <c r="D5477" t="s">
        <v>71</v>
      </c>
      <c r="E5477" t="s">
        <v>74</v>
      </c>
      <c r="F5477" t="s">
        <v>80</v>
      </c>
    </row>
    <row r="5478" spans="1:6" x14ac:dyDescent="0.45">
      <c r="A5478">
        <v>0</v>
      </c>
      <c r="B5478">
        <v>12</v>
      </c>
      <c r="C5478">
        <v>62400</v>
      </c>
      <c r="D5478" t="s">
        <v>71</v>
      </c>
      <c r="E5478" t="s">
        <v>74</v>
      </c>
      <c r="F5478" t="s">
        <v>80</v>
      </c>
    </row>
    <row r="5479" spans="1:6" x14ac:dyDescent="0.45">
      <c r="A5479">
        <v>40</v>
      </c>
      <c r="B5479">
        <v>12</v>
      </c>
      <c r="C5479">
        <v>62400</v>
      </c>
      <c r="D5479" t="s">
        <v>71</v>
      </c>
      <c r="E5479" t="s">
        <v>74</v>
      </c>
      <c r="F5479" t="s">
        <v>80</v>
      </c>
    </row>
    <row r="5480" spans="1:6" x14ac:dyDescent="0.45">
      <c r="A5480">
        <v>50</v>
      </c>
      <c r="B5480">
        <v>12</v>
      </c>
      <c r="C5480">
        <v>63000</v>
      </c>
      <c r="D5480" t="s">
        <v>71</v>
      </c>
      <c r="E5480" t="s">
        <v>74</v>
      </c>
      <c r="F5480" t="s">
        <v>80</v>
      </c>
    </row>
    <row r="5481" spans="1:6" x14ac:dyDescent="0.45">
      <c r="A5481">
        <v>48</v>
      </c>
      <c r="B5481">
        <v>12</v>
      </c>
      <c r="C5481">
        <v>63000</v>
      </c>
      <c r="D5481" t="s">
        <v>71</v>
      </c>
      <c r="E5481" t="s">
        <v>74</v>
      </c>
      <c r="F5481" t="s">
        <v>80</v>
      </c>
    </row>
    <row r="5482" spans="1:6" x14ac:dyDescent="0.45">
      <c r="A5482">
        <v>40</v>
      </c>
      <c r="B5482">
        <v>12</v>
      </c>
      <c r="C5482">
        <v>63000</v>
      </c>
      <c r="D5482" t="s">
        <v>71</v>
      </c>
      <c r="E5482" t="s">
        <v>74</v>
      </c>
      <c r="F5482" t="s">
        <v>80</v>
      </c>
    </row>
    <row r="5483" spans="1:6" x14ac:dyDescent="0.45">
      <c r="A5483">
        <v>40</v>
      </c>
      <c r="B5483">
        <v>12</v>
      </c>
      <c r="C5483">
        <v>64000</v>
      </c>
      <c r="D5483" t="s">
        <v>71</v>
      </c>
      <c r="E5483" t="s">
        <v>74</v>
      </c>
      <c r="F5483" t="s">
        <v>80</v>
      </c>
    </row>
    <row r="5484" spans="1:6" x14ac:dyDescent="0.45">
      <c r="A5484">
        <v>40</v>
      </c>
      <c r="B5484">
        <v>12</v>
      </c>
      <c r="C5484">
        <v>65000</v>
      </c>
      <c r="D5484" t="s">
        <v>71</v>
      </c>
      <c r="E5484" t="s">
        <v>74</v>
      </c>
      <c r="F5484" t="s">
        <v>80</v>
      </c>
    </row>
    <row r="5485" spans="1:6" x14ac:dyDescent="0.45">
      <c r="A5485">
        <v>40</v>
      </c>
      <c r="B5485">
        <v>12</v>
      </c>
      <c r="C5485">
        <v>65000</v>
      </c>
      <c r="D5485" t="s">
        <v>71</v>
      </c>
      <c r="E5485" t="s">
        <v>74</v>
      </c>
      <c r="F5485" t="s">
        <v>80</v>
      </c>
    </row>
    <row r="5486" spans="1:6" x14ac:dyDescent="0.45">
      <c r="A5486">
        <v>50</v>
      </c>
      <c r="B5486">
        <v>12</v>
      </c>
      <c r="C5486">
        <v>65000</v>
      </c>
      <c r="D5486" t="s">
        <v>71</v>
      </c>
      <c r="E5486" t="s">
        <v>74</v>
      </c>
      <c r="F5486" t="s">
        <v>80</v>
      </c>
    </row>
    <row r="5487" spans="1:6" x14ac:dyDescent="0.45">
      <c r="A5487">
        <v>58</v>
      </c>
      <c r="B5487">
        <v>12</v>
      </c>
      <c r="C5487">
        <v>65000</v>
      </c>
      <c r="D5487" t="s">
        <v>71</v>
      </c>
      <c r="E5487" t="s">
        <v>74</v>
      </c>
      <c r="F5487" t="s">
        <v>80</v>
      </c>
    </row>
    <row r="5488" spans="1:6" x14ac:dyDescent="0.45">
      <c r="A5488">
        <v>45</v>
      </c>
      <c r="B5488">
        <v>12</v>
      </c>
      <c r="C5488">
        <v>65000</v>
      </c>
      <c r="D5488" t="s">
        <v>71</v>
      </c>
      <c r="E5488" t="s">
        <v>72</v>
      </c>
      <c r="F5488" t="s">
        <v>80</v>
      </c>
    </row>
    <row r="5489" spans="1:6" x14ac:dyDescent="0.45">
      <c r="A5489">
        <v>50</v>
      </c>
      <c r="B5489">
        <v>12</v>
      </c>
      <c r="C5489">
        <v>65000</v>
      </c>
      <c r="D5489" t="s">
        <v>71</v>
      </c>
      <c r="E5489" t="s">
        <v>74</v>
      </c>
      <c r="F5489" t="s">
        <v>80</v>
      </c>
    </row>
    <row r="5490" spans="1:6" x14ac:dyDescent="0.45">
      <c r="A5490">
        <v>40</v>
      </c>
      <c r="B5490">
        <v>12</v>
      </c>
      <c r="C5490">
        <v>65000</v>
      </c>
      <c r="D5490" t="s">
        <v>76</v>
      </c>
      <c r="E5490" t="s">
        <v>74</v>
      </c>
      <c r="F5490" t="s">
        <v>80</v>
      </c>
    </row>
    <row r="5491" spans="1:6" x14ac:dyDescent="0.45">
      <c r="A5491">
        <v>60</v>
      </c>
      <c r="B5491">
        <v>12</v>
      </c>
      <c r="C5491">
        <v>65000</v>
      </c>
      <c r="D5491" t="s">
        <v>71</v>
      </c>
      <c r="E5491" t="s">
        <v>72</v>
      </c>
      <c r="F5491" t="s">
        <v>80</v>
      </c>
    </row>
    <row r="5492" spans="1:6" x14ac:dyDescent="0.45">
      <c r="A5492">
        <v>0</v>
      </c>
      <c r="B5492">
        <v>12</v>
      </c>
      <c r="C5492">
        <v>65000</v>
      </c>
      <c r="D5492" t="s">
        <v>71</v>
      </c>
      <c r="E5492" t="s">
        <v>74</v>
      </c>
      <c r="F5492" t="s">
        <v>80</v>
      </c>
    </row>
    <row r="5493" spans="1:6" x14ac:dyDescent="0.45">
      <c r="A5493">
        <v>50</v>
      </c>
      <c r="B5493">
        <v>12</v>
      </c>
      <c r="C5493">
        <v>65000</v>
      </c>
      <c r="D5493" t="s">
        <v>71</v>
      </c>
      <c r="E5493" t="s">
        <v>74</v>
      </c>
      <c r="F5493" t="s">
        <v>80</v>
      </c>
    </row>
    <row r="5494" spans="1:6" x14ac:dyDescent="0.45">
      <c r="A5494">
        <v>40</v>
      </c>
      <c r="B5494">
        <v>12</v>
      </c>
      <c r="C5494">
        <v>66000</v>
      </c>
      <c r="D5494" t="s">
        <v>71</v>
      </c>
      <c r="E5494" t="s">
        <v>72</v>
      </c>
      <c r="F5494" t="s">
        <v>80</v>
      </c>
    </row>
    <row r="5495" spans="1:6" x14ac:dyDescent="0.45">
      <c r="A5495">
        <v>60</v>
      </c>
      <c r="B5495">
        <v>12</v>
      </c>
      <c r="C5495">
        <v>66000</v>
      </c>
      <c r="D5495" t="s">
        <v>71</v>
      </c>
      <c r="E5495" t="s">
        <v>72</v>
      </c>
      <c r="F5495" t="s">
        <v>80</v>
      </c>
    </row>
    <row r="5496" spans="1:6" x14ac:dyDescent="0.45">
      <c r="A5496">
        <v>50</v>
      </c>
      <c r="B5496">
        <v>12</v>
      </c>
      <c r="C5496">
        <v>66000</v>
      </c>
      <c r="D5496" t="s">
        <v>71</v>
      </c>
      <c r="E5496" t="s">
        <v>74</v>
      </c>
      <c r="F5496" t="s">
        <v>80</v>
      </c>
    </row>
    <row r="5497" spans="1:6" x14ac:dyDescent="0.45">
      <c r="A5497">
        <v>84</v>
      </c>
      <c r="B5497">
        <v>12</v>
      </c>
      <c r="C5497">
        <v>67406</v>
      </c>
      <c r="D5497" t="s">
        <v>71</v>
      </c>
      <c r="E5497" t="s">
        <v>74</v>
      </c>
      <c r="F5497" t="s">
        <v>80</v>
      </c>
    </row>
    <row r="5498" spans="1:6" x14ac:dyDescent="0.45">
      <c r="A5498">
        <v>40</v>
      </c>
      <c r="B5498">
        <v>12</v>
      </c>
      <c r="C5498">
        <v>68000</v>
      </c>
      <c r="D5498" t="s">
        <v>71</v>
      </c>
      <c r="E5498" t="s">
        <v>74</v>
      </c>
      <c r="F5498" t="s">
        <v>80</v>
      </c>
    </row>
    <row r="5499" spans="1:6" x14ac:dyDescent="0.45">
      <c r="A5499">
        <v>40</v>
      </c>
      <c r="B5499">
        <v>12</v>
      </c>
      <c r="C5499">
        <v>69000</v>
      </c>
      <c r="D5499" t="s">
        <v>71</v>
      </c>
      <c r="E5499" t="s">
        <v>74</v>
      </c>
      <c r="F5499" t="s">
        <v>80</v>
      </c>
    </row>
    <row r="5500" spans="1:6" x14ac:dyDescent="0.45">
      <c r="A5500">
        <v>45</v>
      </c>
      <c r="B5500">
        <v>12</v>
      </c>
      <c r="C5500">
        <v>69000</v>
      </c>
      <c r="D5500" t="s">
        <v>71</v>
      </c>
      <c r="E5500" t="s">
        <v>74</v>
      </c>
      <c r="F5500" t="s">
        <v>80</v>
      </c>
    </row>
    <row r="5501" spans="1:6" x14ac:dyDescent="0.45">
      <c r="A5501">
        <v>45</v>
      </c>
      <c r="B5501">
        <v>12</v>
      </c>
      <c r="C5501">
        <v>69079</v>
      </c>
      <c r="D5501" t="s">
        <v>71</v>
      </c>
      <c r="E5501" t="s">
        <v>74</v>
      </c>
      <c r="F5501" t="s">
        <v>80</v>
      </c>
    </row>
    <row r="5502" spans="1:6" x14ac:dyDescent="0.45">
      <c r="A5502">
        <v>46</v>
      </c>
      <c r="B5502">
        <v>12</v>
      </c>
      <c r="C5502">
        <v>69500</v>
      </c>
      <c r="D5502" t="s">
        <v>71</v>
      </c>
      <c r="E5502" t="s">
        <v>74</v>
      </c>
      <c r="F5502" t="s">
        <v>80</v>
      </c>
    </row>
    <row r="5503" spans="1:6" x14ac:dyDescent="0.45">
      <c r="A5503">
        <v>50</v>
      </c>
      <c r="B5503">
        <v>12</v>
      </c>
      <c r="C5503">
        <v>70000</v>
      </c>
      <c r="D5503" t="s">
        <v>71</v>
      </c>
      <c r="E5503" t="s">
        <v>74</v>
      </c>
      <c r="F5503" t="s">
        <v>80</v>
      </c>
    </row>
    <row r="5504" spans="1:6" x14ac:dyDescent="0.45">
      <c r="A5504">
        <v>40</v>
      </c>
      <c r="B5504">
        <v>12</v>
      </c>
      <c r="C5504">
        <v>70000</v>
      </c>
      <c r="D5504" t="s">
        <v>71</v>
      </c>
      <c r="E5504" t="s">
        <v>74</v>
      </c>
      <c r="F5504" t="s">
        <v>80</v>
      </c>
    </row>
    <row r="5505" spans="1:6" x14ac:dyDescent="0.45">
      <c r="A5505">
        <v>0</v>
      </c>
      <c r="B5505">
        <v>12</v>
      </c>
      <c r="C5505">
        <v>70000</v>
      </c>
      <c r="D5505" t="s">
        <v>71</v>
      </c>
      <c r="E5505" t="s">
        <v>74</v>
      </c>
      <c r="F5505" t="s">
        <v>80</v>
      </c>
    </row>
    <row r="5506" spans="1:6" x14ac:dyDescent="0.45">
      <c r="A5506">
        <v>40</v>
      </c>
      <c r="B5506">
        <v>12</v>
      </c>
      <c r="C5506">
        <v>70000</v>
      </c>
      <c r="D5506" t="s">
        <v>71</v>
      </c>
      <c r="E5506" t="s">
        <v>74</v>
      </c>
      <c r="F5506" t="s">
        <v>80</v>
      </c>
    </row>
    <row r="5507" spans="1:6" x14ac:dyDescent="0.45">
      <c r="A5507">
        <v>40</v>
      </c>
      <c r="B5507">
        <v>12</v>
      </c>
      <c r="C5507">
        <v>70000</v>
      </c>
      <c r="D5507" t="s">
        <v>71</v>
      </c>
      <c r="E5507" t="s">
        <v>74</v>
      </c>
      <c r="F5507" t="s">
        <v>80</v>
      </c>
    </row>
    <row r="5508" spans="1:6" x14ac:dyDescent="0.45">
      <c r="A5508">
        <v>40</v>
      </c>
      <c r="B5508">
        <v>12</v>
      </c>
      <c r="C5508">
        <v>70000</v>
      </c>
      <c r="D5508" t="s">
        <v>71</v>
      </c>
      <c r="E5508" t="s">
        <v>74</v>
      </c>
      <c r="F5508" t="s">
        <v>80</v>
      </c>
    </row>
    <row r="5509" spans="1:6" x14ac:dyDescent="0.45">
      <c r="A5509">
        <v>70</v>
      </c>
      <c r="B5509">
        <v>12</v>
      </c>
      <c r="C5509">
        <v>72000</v>
      </c>
      <c r="D5509" t="s">
        <v>71</v>
      </c>
      <c r="E5509" t="s">
        <v>74</v>
      </c>
      <c r="F5509" t="s">
        <v>80</v>
      </c>
    </row>
    <row r="5510" spans="1:6" x14ac:dyDescent="0.45">
      <c r="A5510">
        <v>45</v>
      </c>
      <c r="B5510">
        <v>12</v>
      </c>
      <c r="C5510">
        <v>72000</v>
      </c>
      <c r="D5510" t="s">
        <v>71</v>
      </c>
      <c r="E5510" t="s">
        <v>74</v>
      </c>
      <c r="F5510" t="s">
        <v>80</v>
      </c>
    </row>
    <row r="5511" spans="1:6" x14ac:dyDescent="0.45">
      <c r="A5511">
        <v>40</v>
      </c>
      <c r="B5511">
        <v>12</v>
      </c>
      <c r="C5511">
        <v>72000</v>
      </c>
      <c r="D5511" t="s">
        <v>71</v>
      </c>
      <c r="E5511" t="s">
        <v>74</v>
      </c>
      <c r="F5511" t="s">
        <v>80</v>
      </c>
    </row>
    <row r="5512" spans="1:6" x14ac:dyDescent="0.45">
      <c r="A5512">
        <v>40</v>
      </c>
      <c r="B5512">
        <v>12</v>
      </c>
      <c r="C5512">
        <v>73771</v>
      </c>
      <c r="D5512" t="s">
        <v>71</v>
      </c>
      <c r="E5512" t="s">
        <v>74</v>
      </c>
      <c r="F5512" t="s">
        <v>80</v>
      </c>
    </row>
    <row r="5513" spans="1:6" x14ac:dyDescent="0.45">
      <c r="A5513">
        <v>67</v>
      </c>
      <c r="B5513">
        <v>12</v>
      </c>
      <c r="C5513">
        <v>74000</v>
      </c>
      <c r="D5513" t="s">
        <v>71</v>
      </c>
      <c r="E5513" t="s">
        <v>74</v>
      </c>
      <c r="F5513" t="s">
        <v>80</v>
      </c>
    </row>
    <row r="5514" spans="1:6" x14ac:dyDescent="0.45">
      <c r="A5514">
        <v>45</v>
      </c>
      <c r="B5514">
        <v>12</v>
      </c>
      <c r="C5514">
        <v>74000</v>
      </c>
      <c r="D5514" t="s">
        <v>71</v>
      </c>
      <c r="E5514" t="s">
        <v>72</v>
      </c>
      <c r="F5514" t="s">
        <v>80</v>
      </c>
    </row>
    <row r="5515" spans="1:6" x14ac:dyDescent="0.45">
      <c r="A5515">
        <v>50</v>
      </c>
      <c r="B5515">
        <v>12</v>
      </c>
      <c r="C5515">
        <v>75000</v>
      </c>
      <c r="D5515" t="s">
        <v>71</v>
      </c>
      <c r="E5515" t="s">
        <v>72</v>
      </c>
      <c r="F5515" t="s">
        <v>80</v>
      </c>
    </row>
    <row r="5516" spans="1:6" x14ac:dyDescent="0.45">
      <c r="A5516">
        <v>60</v>
      </c>
      <c r="B5516">
        <v>12</v>
      </c>
      <c r="C5516">
        <v>75000</v>
      </c>
      <c r="D5516" t="s">
        <v>71</v>
      </c>
      <c r="E5516" t="s">
        <v>74</v>
      </c>
      <c r="F5516" t="s">
        <v>80</v>
      </c>
    </row>
    <row r="5517" spans="1:6" x14ac:dyDescent="0.45">
      <c r="A5517">
        <v>56</v>
      </c>
      <c r="B5517">
        <v>12</v>
      </c>
      <c r="C5517">
        <v>75000</v>
      </c>
      <c r="D5517" t="s">
        <v>71</v>
      </c>
      <c r="E5517" t="s">
        <v>74</v>
      </c>
      <c r="F5517" t="s">
        <v>80</v>
      </c>
    </row>
    <row r="5518" spans="1:6" x14ac:dyDescent="0.45">
      <c r="A5518">
        <v>40</v>
      </c>
      <c r="B5518">
        <v>12</v>
      </c>
      <c r="C5518">
        <v>75000</v>
      </c>
      <c r="D5518" t="s">
        <v>71</v>
      </c>
      <c r="E5518" t="s">
        <v>74</v>
      </c>
      <c r="F5518" t="s">
        <v>80</v>
      </c>
    </row>
    <row r="5519" spans="1:6" x14ac:dyDescent="0.45">
      <c r="A5519">
        <v>42</v>
      </c>
      <c r="B5519">
        <v>12</v>
      </c>
      <c r="C5519">
        <v>75000</v>
      </c>
      <c r="D5519" t="s">
        <v>71</v>
      </c>
      <c r="E5519" t="s">
        <v>74</v>
      </c>
      <c r="F5519" t="s">
        <v>80</v>
      </c>
    </row>
    <row r="5520" spans="1:6" x14ac:dyDescent="0.45">
      <c r="A5520">
        <v>40</v>
      </c>
      <c r="B5520">
        <v>12</v>
      </c>
      <c r="C5520">
        <v>75000</v>
      </c>
      <c r="D5520" t="s">
        <v>71</v>
      </c>
      <c r="E5520" t="s">
        <v>74</v>
      </c>
      <c r="F5520" t="s">
        <v>80</v>
      </c>
    </row>
    <row r="5521" spans="1:6" x14ac:dyDescent="0.45">
      <c r="A5521">
        <v>40</v>
      </c>
      <c r="B5521">
        <v>12</v>
      </c>
      <c r="C5521">
        <v>75000</v>
      </c>
      <c r="D5521" t="s">
        <v>76</v>
      </c>
      <c r="E5521" t="s">
        <v>74</v>
      </c>
      <c r="F5521" t="s">
        <v>80</v>
      </c>
    </row>
    <row r="5522" spans="1:6" x14ac:dyDescent="0.45">
      <c r="A5522">
        <v>40</v>
      </c>
      <c r="B5522">
        <v>12</v>
      </c>
      <c r="C5522">
        <v>75000</v>
      </c>
      <c r="D5522" t="s">
        <v>71</v>
      </c>
      <c r="E5522" t="s">
        <v>74</v>
      </c>
      <c r="F5522" t="s">
        <v>80</v>
      </c>
    </row>
    <row r="5523" spans="1:6" x14ac:dyDescent="0.45">
      <c r="A5523">
        <v>40</v>
      </c>
      <c r="B5523">
        <v>12</v>
      </c>
      <c r="C5523">
        <v>76000</v>
      </c>
      <c r="D5523" t="s">
        <v>71</v>
      </c>
      <c r="E5523" t="s">
        <v>74</v>
      </c>
      <c r="F5523" t="s">
        <v>80</v>
      </c>
    </row>
    <row r="5524" spans="1:6" x14ac:dyDescent="0.45">
      <c r="A5524">
        <v>80</v>
      </c>
      <c r="B5524">
        <v>12</v>
      </c>
      <c r="C5524">
        <v>76000</v>
      </c>
      <c r="D5524" t="s">
        <v>71</v>
      </c>
      <c r="E5524" t="s">
        <v>74</v>
      </c>
      <c r="F5524" t="s">
        <v>80</v>
      </c>
    </row>
    <row r="5525" spans="1:6" x14ac:dyDescent="0.45">
      <c r="A5525">
        <v>56</v>
      </c>
      <c r="B5525">
        <v>12</v>
      </c>
      <c r="C5525">
        <v>76000</v>
      </c>
      <c r="D5525" t="s">
        <v>76</v>
      </c>
      <c r="E5525" t="s">
        <v>72</v>
      </c>
      <c r="F5525" t="s">
        <v>80</v>
      </c>
    </row>
    <row r="5526" spans="1:6" x14ac:dyDescent="0.45">
      <c r="A5526">
        <v>55</v>
      </c>
      <c r="B5526">
        <v>12</v>
      </c>
      <c r="C5526">
        <v>76000</v>
      </c>
      <c r="D5526" t="s">
        <v>71</v>
      </c>
      <c r="E5526" t="s">
        <v>74</v>
      </c>
      <c r="F5526" t="s">
        <v>80</v>
      </c>
    </row>
    <row r="5527" spans="1:6" x14ac:dyDescent="0.45">
      <c r="A5527">
        <v>45</v>
      </c>
      <c r="B5527">
        <v>12</v>
      </c>
      <c r="C5527">
        <v>76830</v>
      </c>
      <c r="D5527" t="s">
        <v>71</v>
      </c>
      <c r="E5527" t="s">
        <v>74</v>
      </c>
      <c r="F5527" t="s">
        <v>80</v>
      </c>
    </row>
    <row r="5528" spans="1:6" x14ac:dyDescent="0.45">
      <c r="A5528">
        <v>40</v>
      </c>
      <c r="B5528">
        <v>12</v>
      </c>
      <c r="C5528">
        <v>77790</v>
      </c>
      <c r="D5528" t="s">
        <v>71</v>
      </c>
      <c r="E5528" t="s">
        <v>74</v>
      </c>
      <c r="F5528" t="s">
        <v>80</v>
      </c>
    </row>
    <row r="5529" spans="1:6" x14ac:dyDescent="0.45">
      <c r="A5529">
        <v>50</v>
      </c>
      <c r="B5529">
        <v>12</v>
      </c>
      <c r="C5529">
        <v>78000</v>
      </c>
      <c r="D5529" t="s">
        <v>71</v>
      </c>
      <c r="E5529" t="s">
        <v>74</v>
      </c>
      <c r="F5529" t="s">
        <v>80</v>
      </c>
    </row>
    <row r="5530" spans="1:6" x14ac:dyDescent="0.45">
      <c r="A5530">
        <v>50</v>
      </c>
      <c r="B5530">
        <v>12</v>
      </c>
      <c r="C5530">
        <v>80000</v>
      </c>
      <c r="D5530" t="s">
        <v>71</v>
      </c>
      <c r="E5530" t="s">
        <v>74</v>
      </c>
      <c r="F5530" t="s">
        <v>80</v>
      </c>
    </row>
    <row r="5531" spans="1:6" x14ac:dyDescent="0.45">
      <c r="A5531">
        <v>72</v>
      </c>
      <c r="B5531">
        <v>12</v>
      </c>
      <c r="C5531">
        <v>80000</v>
      </c>
      <c r="D5531" t="s">
        <v>71</v>
      </c>
      <c r="E5531" t="s">
        <v>74</v>
      </c>
      <c r="F5531" t="s">
        <v>80</v>
      </c>
    </row>
    <row r="5532" spans="1:6" x14ac:dyDescent="0.45">
      <c r="A5532">
        <v>60</v>
      </c>
      <c r="B5532">
        <v>12</v>
      </c>
      <c r="C5532">
        <v>80000</v>
      </c>
      <c r="D5532" t="s">
        <v>71</v>
      </c>
      <c r="E5532" t="s">
        <v>74</v>
      </c>
      <c r="F5532" t="s">
        <v>80</v>
      </c>
    </row>
    <row r="5533" spans="1:6" x14ac:dyDescent="0.45">
      <c r="A5533">
        <v>50</v>
      </c>
      <c r="B5533">
        <v>12</v>
      </c>
      <c r="C5533">
        <v>80000</v>
      </c>
      <c r="D5533" t="s">
        <v>71</v>
      </c>
      <c r="E5533" t="s">
        <v>74</v>
      </c>
      <c r="F5533" t="s">
        <v>80</v>
      </c>
    </row>
    <row r="5534" spans="1:6" x14ac:dyDescent="0.45">
      <c r="A5534">
        <v>40</v>
      </c>
      <c r="B5534">
        <v>12</v>
      </c>
      <c r="C5534">
        <v>82000</v>
      </c>
      <c r="D5534" t="s">
        <v>71</v>
      </c>
      <c r="E5534" t="s">
        <v>74</v>
      </c>
      <c r="F5534" t="s">
        <v>80</v>
      </c>
    </row>
    <row r="5535" spans="1:6" x14ac:dyDescent="0.45">
      <c r="A5535">
        <v>0</v>
      </c>
      <c r="B5535">
        <v>12</v>
      </c>
      <c r="C5535">
        <v>82925</v>
      </c>
      <c r="D5535" t="s">
        <v>71</v>
      </c>
      <c r="E5535" t="s">
        <v>74</v>
      </c>
      <c r="F5535" t="s">
        <v>80</v>
      </c>
    </row>
    <row r="5536" spans="1:6" x14ac:dyDescent="0.45">
      <c r="A5536">
        <v>40</v>
      </c>
      <c r="B5536">
        <v>12</v>
      </c>
      <c r="C5536">
        <v>84000</v>
      </c>
      <c r="D5536" t="s">
        <v>71</v>
      </c>
      <c r="E5536" t="s">
        <v>74</v>
      </c>
      <c r="F5536" t="s">
        <v>80</v>
      </c>
    </row>
    <row r="5537" spans="1:6" x14ac:dyDescent="0.45">
      <c r="A5537">
        <v>55</v>
      </c>
      <c r="B5537">
        <v>12</v>
      </c>
      <c r="C5537">
        <v>84225</v>
      </c>
      <c r="D5537" t="s">
        <v>71</v>
      </c>
      <c r="E5537" t="s">
        <v>74</v>
      </c>
      <c r="F5537" t="s">
        <v>80</v>
      </c>
    </row>
    <row r="5538" spans="1:6" x14ac:dyDescent="0.45">
      <c r="A5538">
        <v>72</v>
      </c>
      <c r="B5538">
        <v>12</v>
      </c>
      <c r="C5538">
        <v>87000</v>
      </c>
      <c r="D5538" t="s">
        <v>71</v>
      </c>
      <c r="E5538" t="s">
        <v>72</v>
      </c>
      <c r="F5538" t="s">
        <v>80</v>
      </c>
    </row>
    <row r="5539" spans="1:6" x14ac:dyDescent="0.45">
      <c r="A5539">
        <v>65</v>
      </c>
      <c r="B5539">
        <v>12</v>
      </c>
      <c r="C5539">
        <v>90000</v>
      </c>
      <c r="D5539" t="s">
        <v>71</v>
      </c>
      <c r="E5539" t="s">
        <v>74</v>
      </c>
      <c r="F5539" t="s">
        <v>80</v>
      </c>
    </row>
    <row r="5540" spans="1:6" x14ac:dyDescent="0.45">
      <c r="A5540">
        <v>40</v>
      </c>
      <c r="B5540">
        <v>12</v>
      </c>
      <c r="C5540">
        <v>91000</v>
      </c>
      <c r="D5540" t="s">
        <v>71</v>
      </c>
      <c r="E5540" t="s">
        <v>74</v>
      </c>
      <c r="F5540" t="s">
        <v>80</v>
      </c>
    </row>
    <row r="5541" spans="1:6" x14ac:dyDescent="0.45">
      <c r="A5541">
        <v>40</v>
      </c>
      <c r="B5541">
        <v>12</v>
      </c>
      <c r="C5541">
        <v>91000</v>
      </c>
      <c r="D5541" t="s">
        <v>71</v>
      </c>
      <c r="E5541" t="s">
        <v>74</v>
      </c>
      <c r="F5541" t="s">
        <v>80</v>
      </c>
    </row>
    <row r="5542" spans="1:6" x14ac:dyDescent="0.45">
      <c r="A5542">
        <v>60</v>
      </c>
      <c r="B5542">
        <v>12</v>
      </c>
      <c r="C5542">
        <v>92000</v>
      </c>
      <c r="D5542" t="s">
        <v>71</v>
      </c>
      <c r="E5542" t="s">
        <v>74</v>
      </c>
      <c r="F5542" t="s">
        <v>80</v>
      </c>
    </row>
    <row r="5543" spans="1:6" x14ac:dyDescent="0.45">
      <c r="A5543">
        <v>50</v>
      </c>
      <c r="B5543">
        <v>12</v>
      </c>
      <c r="C5543">
        <v>94000</v>
      </c>
      <c r="D5543" t="s">
        <v>71</v>
      </c>
      <c r="E5543" t="s">
        <v>74</v>
      </c>
      <c r="F5543" t="s">
        <v>80</v>
      </c>
    </row>
    <row r="5544" spans="1:6" x14ac:dyDescent="0.45">
      <c r="A5544">
        <v>50</v>
      </c>
      <c r="B5544">
        <v>12</v>
      </c>
      <c r="C5544">
        <v>97000</v>
      </c>
      <c r="D5544" t="s">
        <v>71</v>
      </c>
      <c r="E5544" t="s">
        <v>74</v>
      </c>
      <c r="F5544" t="s">
        <v>80</v>
      </c>
    </row>
    <row r="5545" spans="1:6" x14ac:dyDescent="0.45">
      <c r="A5545">
        <v>55</v>
      </c>
      <c r="B5545">
        <v>12</v>
      </c>
      <c r="C5545">
        <v>98000</v>
      </c>
      <c r="D5545" t="s">
        <v>71</v>
      </c>
      <c r="E5545" t="s">
        <v>74</v>
      </c>
      <c r="F5545" t="s">
        <v>80</v>
      </c>
    </row>
    <row r="5546" spans="1:6" x14ac:dyDescent="0.45">
      <c r="A5546">
        <v>50</v>
      </c>
      <c r="B5546">
        <v>12</v>
      </c>
      <c r="C5546">
        <v>99925</v>
      </c>
      <c r="D5546" t="s">
        <v>71</v>
      </c>
      <c r="E5546" t="s">
        <v>74</v>
      </c>
      <c r="F5546" t="s">
        <v>80</v>
      </c>
    </row>
    <row r="5547" spans="1:6" x14ac:dyDescent="0.45">
      <c r="A5547">
        <v>50</v>
      </c>
      <c r="B5547">
        <v>12</v>
      </c>
      <c r="C5547">
        <v>100000</v>
      </c>
      <c r="D5547" t="s">
        <v>71</v>
      </c>
      <c r="E5547" t="s">
        <v>74</v>
      </c>
      <c r="F5547" t="s">
        <v>80</v>
      </c>
    </row>
    <row r="5548" spans="1:6" x14ac:dyDescent="0.45">
      <c r="A5548">
        <v>44</v>
      </c>
      <c r="B5548">
        <v>12</v>
      </c>
      <c r="C5548">
        <v>100000</v>
      </c>
      <c r="D5548" t="s">
        <v>71</v>
      </c>
      <c r="E5548" t="s">
        <v>74</v>
      </c>
      <c r="F5548" t="s">
        <v>80</v>
      </c>
    </row>
    <row r="5549" spans="1:6" x14ac:dyDescent="0.45">
      <c r="A5549">
        <v>54</v>
      </c>
      <c r="B5549">
        <v>12</v>
      </c>
      <c r="C5549">
        <v>100000</v>
      </c>
      <c r="D5549" t="s">
        <v>76</v>
      </c>
      <c r="E5549" t="s">
        <v>74</v>
      </c>
      <c r="F5549" t="s">
        <v>80</v>
      </c>
    </row>
    <row r="5550" spans="1:6" x14ac:dyDescent="0.45">
      <c r="A5550">
        <v>80</v>
      </c>
      <c r="B5550">
        <v>12</v>
      </c>
      <c r="C5550">
        <v>102678</v>
      </c>
      <c r="D5550" t="s">
        <v>71</v>
      </c>
      <c r="E5550" t="s">
        <v>74</v>
      </c>
      <c r="F5550" t="s">
        <v>80</v>
      </c>
    </row>
    <row r="5551" spans="1:6" x14ac:dyDescent="0.45">
      <c r="A5551">
        <v>40</v>
      </c>
      <c r="B5551">
        <v>12</v>
      </c>
      <c r="C5551">
        <v>104000</v>
      </c>
      <c r="D5551" t="s">
        <v>71</v>
      </c>
      <c r="E5551" t="s">
        <v>72</v>
      </c>
      <c r="F5551" t="s">
        <v>80</v>
      </c>
    </row>
    <row r="5552" spans="1:6" x14ac:dyDescent="0.45">
      <c r="A5552">
        <v>50</v>
      </c>
      <c r="B5552">
        <v>12</v>
      </c>
      <c r="C5552">
        <v>104000</v>
      </c>
      <c r="D5552" t="s">
        <v>71</v>
      </c>
      <c r="E5552" t="s">
        <v>72</v>
      </c>
      <c r="F5552" t="s">
        <v>80</v>
      </c>
    </row>
    <row r="5553" spans="1:6" x14ac:dyDescent="0.45">
      <c r="A5553">
        <v>40</v>
      </c>
      <c r="B5553">
        <v>12</v>
      </c>
      <c r="C5553">
        <v>108000</v>
      </c>
      <c r="D5553" t="s">
        <v>71</v>
      </c>
      <c r="E5553" t="s">
        <v>74</v>
      </c>
      <c r="F5553" t="s">
        <v>80</v>
      </c>
    </row>
    <row r="5554" spans="1:6" x14ac:dyDescent="0.45">
      <c r="A5554">
        <v>40</v>
      </c>
      <c r="B5554">
        <v>12</v>
      </c>
      <c r="C5554">
        <v>109139</v>
      </c>
      <c r="D5554" t="s">
        <v>76</v>
      </c>
      <c r="E5554" t="s">
        <v>74</v>
      </c>
      <c r="F5554" t="s">
        <v>80</v>
      </c>
    </row>
    <row r="5555" spans="1:6" x14ac:dyDescent="0.45">
      <c r="A5555">
        <v>43</v>
      </c>
      <c r="B5555">
        <v>12</v>
      </c>
      <c r="C5555">
        <v>110000</v>
      </c>
      <c r="D5555" t="s">
        <v>71</v>
      </c>
      <c r="E5555" t="s">
        <v>74</v>
      </c>
      <c r="F5555" t="s">
        <v>80</v>
      </c>
    </row>
    <row r="5556" spans="1:6" x14ac:dyDescent="0.45">
      <c r="A5556">
        <v>50</v>
      </c>
      <c r="B5556">
        <v>12</v>
      </c>
      <c r="C5556">
        <v>120000</v>
      </c>
      <c r="D5556" t="s">
        <v>71</v>
      </c>
      <c r="E5556" t="s">
        <v>74</v>
      </c>
      <c r="F5556" t="s">
        <v>80</v>
      </c>
    </row>
    <row r="5557" spans="1:6" x14ac:dyDescent="0.45">
      <c r="A5557">
        <v>40</v>
      </c>
      <c r="B5557">
        <v>12</v>
      </c>
      <c r="C5557">
        <v>123925</v>
      </c>
      <c r="D5557" t="s">
        <v>71</v>
      </c>
      <c r="E5557" t="s">
        <v>74</v>
      </c>
      <c r="F5557" t="s">
        <v>80</v>
      </c>
    </row>
    <row r="5558" spans="1:6" x14ac:dyDescent="0.45">
      <c r="A5558">
        <v>40</v>
      </c>
      <c r="B5558">
        <v>12</v>
      </c>
      <c r="C5558">
        <v>125000</v>
      </c>
      <c r="D5558" t="s">
        <v>71</v>
      </c>
      <c r="E5558" t="s">
        <v>74</v>
      </c>
      <c r="F5558" t="s">
        <v>80</v>
      </c>
    </row>
    <row r="5559" spans="1:6" x14ac:dyDescent="0.45">
      <c r="A5559">
        <v>40</v>
      </c>
      <c r="B5559">
        <v>12</v>
      </c>
      <c r="C5559">
        <v>132000</v>
      </c>
      <c r="D5559" t="s">
        <v>77</v>
      </c>
      <c r="E5559" t="s">
        <v>74</v>
      </c>
      <c r="F5559" t="s">
        <v>80</v>
      </c>
    </row>
    <row r="5560" spans="1:6" x14ac:dyDescent="0.45">
      <c r="A5560">
        <v>50</v>
      </c>
      <c r="B5560">
        <v>12</v>
      </c>
      <c r="C5560">
        <v>132000</v>
      </c>
      <c r="D5560" t="s">
        <v>71</v>
      </c>
      <c r="E5560" t="s">
        <v>74</v>
      </c>
      <c r="F5560" t="s">
        <v>80</v>
      </c>
    </row>
    <row r="5561" spans="1:6" x14ac:dyDescent="0.45">
      <c r="A5561">
        <v>55</v>
      </c>
      <c r="B5561">
        <v>12</v>
      </c>
      <c r="C5561">
        <v>135000</v>
      </c>
      <c r="D5561" t="s">
        <v>71</v>
      </c>
      <c r="E5561" t="s">
        <v>74</v>
      </c>
      <c r="F5561" t="s">
        <v>80</v>
      </c>
    </row>
    <row r="5562" spans="1:6" x14ac:dyDescent="0.45">
      <c r="A5562">
        <v>40</v>
      </c>
      <c r="B5562">
        <v>12</v>
      </c>
      <c r="C5562">
        <v>348516</v>
      </c>
      <c r="D5562" t="s">
        <v>71</v>
      </c>
      <c r="E5562" t="s">
        <v>74</v>
      </c>
      <c r="F5562" t="s">
        <v>80</v>
      </c>
    </row>
    <row r="5563" spans="1:6" x14ac:dyDescent="0.45">
      <c r="A5563">
        <v>40</v>
      </c>
      <c r="B5563">
        <v>12</v>
      </c>
      <c r="C5563">
        <v>492657</v>
      </c>
      <c r="D5563" t="s">
        <v>71</v>
      </c>
      <c r="E5563" t="s">
        <v>74</v>
      </c>
      <c r="F5563" t="s">
        <v>80</v>
      </c>
    </row>
    <row r="5564" spans="1:6" x14ac:dyDescent="0.45">
      <c r="A5564">
        <v>99</v>
      </c>
      <c r="B5564">
        <v>11.5</v>
      </c>
      <c r="C5564">
        <v>500</v>
      </c>
      <c r="D5564" t="s">
        <v>71</v>
      </c>
      <c r="E5564" t="s">
        <v>74</v>
      </c>
      <c r="F5564" t="s">
        <v>81</v>
      </c>
    </row>
    <row r="5565" spans="1:6" x14ac:dyDescent="0.45">
      <c r="A5565">
        <v>40</v>
      </c>
      <c r="B5565">
        <v>11.5</v>
      </c>
      <c r="C5565">
        <v>1200</v>
      </c>
      <c r="D5565" t="s">
        <v>71</v>
      </c>
      <c r="E5565" t="s">
        <v>74</v>
      </c>
      <c r="F5565" t="s">
        <v>81</v>
      </c>
    </row>
    <row r="5566" spans="1:6" x14ac:dyDescent="0.45">
      <c r="A5566">
        <v>40</v>
      </c>
      <c r="B5566">
        <v>11.5</v>
      </c>
      <c r="C5566">
        <v>2655</v>
      </c>
      <c r="D5566" t="s">
        <v>76</v>
      </c>
      <c r="E5566" t="s">
        <v>74</v>
      </c>
      <c r="F5566" t="s">
        <v>81</v>
      </c>
    </row>
    <row r="5567" spans="1:6" x14ac:dyDescent="0.45">
      <c r="A5567">
        <v>40</v>
      </c>
      <c r="B5567">
        <v>11.5</v>
      </c>
      <c r="C5567">
        <v>6300</v>
      </c>
      <c r="D5567" t="s">
        <v>71</v>
      </c>
      <c r="E5567" t="s">
        <v>74</v>
      </c>
      <c r="F5567" t="s">
        <v>81</v>
      </c>
    </row>
    <row r="5568" spans="1:6" x14ac:dyDescent="0.45">
      <c r="A5568">
        <v>0</v>
      </c>
      <c r="B5568">
        <v>11.5</v>
      </c>
      <c r="C5568">
        <v>7700</v>
      </c>
      <c r="D5568" t="s">
        <v>71</v>
      </c>
      <c r="E5568" t="s">
        <v>74</v>
      </c>
      <c r="F5568" t="s">
        <v>81</v>
      </c>
    </row>
    <row r="5569" spans="1:6" x14ac:dyDescent="0.45">
      <c r="A5569">
        <v>40</v>
      </c>
      <c r="B5569">
        <v>11.5</v>
      </c>
      <c r="C5569">
        <v>7800</v>
      </c>
      <c r="D5569" t="s">
        <v>75</v>
      </c>
      <c r="E5569" t="s">
        <v>72</v>
      </c>
      <c r="F5569" t="s">
        <v>81</v>
      </c>
    </row>
    <row r="5570" spans="1:6" x14ac:dyDescent="0.45">
      <c r="A5570">
        <v>40</v>
      </c>
      <c r="B5570">
        <v>11.5</v>
      </c>
      <c r="C5570">
        <v>9000</v>
      </c>
      <c r="D5570" t="s">
        <v>71</v>
      </c>
      <c r="E5570" t="s">
        <v>74</v>
      </c>
      <c r="F5570" t="s">
        <v>81</v>
      </c>
    </row>
    <row r="5571" spans="1:6" x14ac:dyDescent="0.45">
      <c r="A5571">
        <v>35</v>
      </c>
      <c r="B5571">
        <v>11.5</v>
      </c>
      <c r="C5571">
        <v>9440</v>
      </c>
      <c r="D5571" t="s">
        <v>71</v>
      </c>
      <c r="E5571" t="s">
        <v>74</v>
      </c>
      <c r="F5571" t="s">
        <v>81</v>
      </c>
    </row>
    <row r="5572" spans="1:6" x14ac:dyDescent="0.45">
      <c r="A5572">
        <v>50</v>
      </c>
      <c r="B5572">
        <v>11.5</v>
      </c>
      <c r="C5572">
        <v>10000</v>
      </c>
      <c r="D5572" t="s">
        <v>76</v>
      </c>
      <c r="E5572" t="s">
        <v>72</v>
      </c>
      <c r="F5572" t="s">
        <v>81</v>
      </c>
    </row>
    <row r="5573" spans="1:6" x14ac:dyDescent="0.45">
      <c r="A5573">
        <v>40</v>
      </c>
      <c r="B5573">
        <v>11.5</v>
      </c>
      <c r="C5573">
        <v>10640</v>
      </c>
      <c r="D5573" t="s">
        <v>76</v>
      </c>
      <c r="E5573" t="s">
        <v>72</v>
      </c>
      <c r="F5573" t="s">
        <v>81</v>
      </c>
    </row>
    <row r="5574" spans="1:6" x14ac:dyDescent="0.45">
      <c r="A5574">
        <v>40</v>
      </c>
      <c r="B5574">
        <v>11.5</v>
      </c>
      <c r="C5574">
        <v>11000</v>
      </c>
      <c r="D5574" t="s">
        <v>76</v>
      </c>
      <c r="E5574" t="s">
        <v>72</v>
      </c>
      <c r="F5574" t="s">
        <v>81</v>
      </c>
    </row>
    <row r="5575" spans="1:6" x14ac:dyDescent="0.45">
      <c r="A5575">
        <v>40</v>
      </c>
      <c r="B5575">
        <v>11.5</v>
      </c>
      <c r="C5575">
        <v>11128</v>
      </c>
      <c r="D5575" t="s">
        <v>71</v>
      </c>
      <c r="E5575" t="s">
        <v>74</v>
      </c>
      <c r="F5575" t="s">
        <v>81</v>
      </c>
    </row>
    <row r="5576" spans="1:6" x14ac:dyDescent="0.45">
      <c r="A5576">
        <v>40</v>
      </c>
      <c r="B5576">
        <v>11.5</v>
      </c>
      <c r="C5576">
        <v>11500</v>
      </c>
      <c r="D5576" t="s">
        <v>76</v>
      </c>
      <c r="E5576" t="s">
        <v>74</v>
      </c>
      <c r="F5576" t="s">
        <v>81</v>
      </c>
    </row>
    <row r="5577" spans="1:6" x14ac:dyDescent="0.45">
      <c r="A5577">
        <v>40</v>
      </c>
      <c r="B5577">
        <v>11.5</v>
      </c>
      <c r="C5577">
        <v>13000</v>
      </c>
      <c r="D5577" t="s">
        <v>76</v>
      </c>
      <c r="E5577" t="s">
        <v>72</v>
      </c>
      <c r="F5577" t="s">
        <v>81</v>
      </c>
    </row>
    <row r="5578" spans="1:6" x14ac:dyDescent="0.45">
      <c r="A5578">
        <v>40</v>
      </c>
      <c r="B5578">
        <v>11.5</v>
      </c>
      <c r="C5578">
        <v>13520</v>
      </c>
      <c r="D5578" t="s">
        <v>76</v>
      </c>
      <c r="E5578" t="s">
        <v>74</v>
      </c>
      <c r="F5578" t="s">
        <v>81</v>
      </c>
    </row>
    <row r="5579" spans="1:6" x14ac:dyDescent="0.45">
      <c r="A5579">
        <v>50</v>
      </c>
      <c r="B5579">
        <v>11.5</v>
      </c>
      <c r="C5579">
        <v>14000</v>
      </c>
      <c r="D5579" t="s">
        <v>71</v>
      </c>
      <c r="E5579" t="s">
        <v>74</v>
      </c>
      <c r="F5579" t="s">
        <v>81</v>
      </c>
    </row>
    <row r="5580" spans="1:6" x14ac:dyDescent="0.45">
      <c r="A5580">
        <v>50</v>
      </c>
      <c r="B5580">
        <v>11.5</v>
      </c>
      <c r="C5580">
        <v>15000</v>
      </c>
      <c r="D5580" t="s">
        <v>71</v>
      </c>
      <c r="E5580" t="s">
        <v>72</v>
      </c>
      <c r="F5580" t="s">
        <v>81</v>
      </c>
    </row>
    <row r="5581" spans="1:6" x14ac:dyDescent="0.45">
      <c r="A5581">
        <v>40</v>
      </c>
      <c r="B5581">
        <v>11.5</v>
      </c>
      <c r="C5581">
        <v>16080</v>
      </c>
      <c r="D5581" t="s">
        <v>71</v>
      </c>
      <c r="E5581" t="s">
        <v>74</v>
      </c>
      <c r="F5581" t="s">
        <v>81</v>
      </c>
    </row>
    <row r="5582" spans="1:6" x14ac:dyDescent="0.45">
      <c r="A5582">
        <v>55</v>
      </c>
      <c r="B5582">
        <v>11.5</v>
      </c>
      <c r="C5582">
        <v>18000</v>
      </c>
      <c r="D5582" t="s">
        <v>71</v>
      </c>
      <c r="E5582" t="s">
        <v>74</v>
      </c>
      <c r="F5582" t="s">
        <v>81</v>
      </c>
    </row>
    <row r="5583" spans="1:6" x14ac:dyDescent="0.45">
      <c r="A5583">
        <v>40</v>
      </c>
      <c r="B5583">
        <v>11.5</v>
      </c>
      <c r="C5583">
        <v>20000</v>
      </c>
      <c r="D5583" t="s">
        <v>71</v>
      </c>
      <c r="E5583" t="s">
        <v>74</v>
      </c>
      <c r="F5583" t="s">
        <v>81</v>
      </c>
    </row>
    <row r="5584" spans="1:6" x14ac:dyDescent="0.45">
      <c r="A5584">
        <v>40</v>
      </c>
      <c r="B5584">
        <v>11.5</v>
      </c>
      <c r="C5584">
        <v>20000</v>
      </c>
      <c r="D5584" t="s">
        <v>71</v>
      </c>
      <c r="E5584" t="s">
        <v>72</v>
      </c>
      <c r="F5584" t="s">
        <v>81</v>
      </c>
    </row>
    <row r="5585" spans="1:6" x14ac:dyDescent="0.45">
      <c r="A5585">
        <v>40</v>
      </c>
      <c r="B5585">
        <v>11.5</v>
      </c>
      <c r="C5585">
        <v>20000</v>
      </c>
      <c r="D5585" t="s">
        <v>71</v>
      </c>
      <c r="E5585" t="s">
        <v>74</v>
      </c>
      <c r="F5585" t="s">
        <v>81</v>
      </c>
    </row>
    <row r="5586" spans="1:6" x14ac:dyDescent="0.45">
      <c r="A5586">
        <v>40</v>
      </c>
      <c r="B5586">
        <v>11.5</v>
      </c>
      <c r="C5586">
        <v>20000</v>
      </c>
      <c r="D5586" t="s">
        <v>71</v>
      </c>
      <c r="E5586" t="s">
        <v>74</v>
      </c>
      <c r="F5586" t="s">
        <v>81</v>
      </c>
    </row>
    <row r="5587" spans="1:6" x14ac:dyDescent="0.45">
      <c r="A5587">
        <v>40</v>
      </c>
      <c r="B5587">
        <v>11.5</v>
      </c>
      <c r="C5587">
        <v>21000</v>
      </c>
      <c r="D5587" t="s">
        <v>71</v>
      </c>
      <c r="E5587" t="s">
        <v>74</v>
      </c>
      <c r="F5587" t="s">
        <v>81</v>
      </c>
    </row>
    <row r="5588" spans="1:6" x14ac:dyDescent="0.45">
      <c r="A5588">
        <v>40</v>
      </c>
      <c r="B5588">
        <v>11.5</v>
      </c>
      <c r="C5588">
        <v>21500</v>
      </c>
      <c r="D5588" t="s">
        <v>71</v>
      </c>
      <c r="E5588" t="s">
        <v>74</v>
      </c>
      <c r="F5588" t="s">
        <v>81</v>
      </c>
    </row>
    <row r="5589" spans="1:6" x14ac:dyDescent="0.45">
      <c r="A5589">
        <v>50</v>
      </c>
      <c r="B5589">
        <v>11.5</v>
      </c>
      <c r="C5589">
        <v>23001</v>
      </c>
      <c r="D5589" t="s">
        <v>71</v>
      </c>
      <c r="E5589" t="s">
        <v>74</v>
      </c>
      <c r="F5589" t="s">
        <v>81</v>
      </c>
    </row>
    <row r="5590" spans="1:6" x14ac:dyDescent="0.45">
      <c r="A5590">
        <v>50</v>
      </c>
      <c r="B5590">
        <v>11.5</v>
      </c>
      <c r="C5590">
        <v>23400</v>
      </c>
      <c r="D5590" t="s">
        <v>77</v>
      </c>
      <c r="E5590" t="s">
        <v>74</v>
      </c>
      <c r="F5590" t="s">
        <v>81</v>
      </c>
    </row>
    <row r="5591" spans="1:6" x14ac:dyDescent="0.45">
      <c r="A5591">
        <v>40</v>
      </c>
      <c r="B5591">
        <v>11.5</v>
      </c>
      <c r="C5591">
        <v>25000</v>
      </c>
      <c r="D5591" t="s">
        <v>71</v>
      </c>
      <c r="E5591" t="s">
        <v>74</v>
      </c>
      <c r="F5591" t="s">
        <v>81</v>
      </c>
    </row>
    <row r="5592" spans="1:6" x14ac:dyDescent="0.45">
      <c r="A5592">
        <v>40</v>
      </c>
      <c r="B5592">
        <v>11.5</v>
      </c>
      <c r="C5592">
        <v>27040</v>
      </c>
      <c r="D5592" t="s">
        <v>71</v>
      </c>
      <c r="E5592" t="s">
        <v>74</v>
      </c>
      <c r="F5592" t="s">
        <v>81</v>
      </c>
    </row>
    <row r="5593" spans="1:6" x14ac:dyDescent="0.45">
      <c r="A5593">
        <v>40</v>
      </c>
      <c r="B5593">
        <v>11.5</v>
      </c>
      <c r="C5593">
        <v>28000</v>
      </c>
      <c r="D5593" t="s">
        <v>71</v>
      </c>
      <c r="E5593" t="s">
        <v>72</v>
      </c>
      <c r="F5593" t="s">
        <v>81</v>
      </c>
    </row>
    <row r="5594" spans="1:6" x14ac:dyDescent="0.45">
      <c r="A5594">
        <v>40</v>
      </c>
      <c r="B5594">
        <v>11.5</v>
      </c>
      <c r="C5594">
        <v>28905</v>
      </c>
      <c r="D5594" t="s">
        <v>76</v>
      </c>
      <c r="E5594" t="s">
        <v>74</v>
      </c>
      <c r="F5594" t="s">
        <v>81</v>
      </c>
    </row>
    <row r="5595" spans="1:6" x14ac:dyDescent="0.45">
      <c r="A5595">
        <v>62</v>
      </c>
      <c r="B5595">
        <v>11.5</v>
      </c>
      <c r="C5595">
        <v>30000</v>
      </c>
      <c r="D5595" t="s">
        <v>76</v>
      </c>
      <c r="E5595" t="s">
        <v>72</v>
      </c>
      <c r="F5595" t="s">
        <v>81</v>
      </c>
    </row>
    <row r="5596" spans="1:6" x14ac:dyDescent="0.45">
      <c r="A5596">
        <v>40</v>
      </c>
      <c r="B5596">
        <v>11.5</v>
      </c>
      <c r="C5596">
        <v>30000</v>
      </c>
      <c r="D5596" t="s">
        <v>71</v>
      </c>
      <c r="E5596" t="s">
        <v>74</v>
      </c>
      <c r="F5596" t="s">
        <v>81</v>
      </c>
    </row>
    <row r="5597" spans="1:6" x14ac:dyDescent="0.45">
      <c r="A5597">
        <v>40</v>
      </c>
      <c r="B5597">
        <v>11.5</v>
      </c>
      <c r="C5597">
        <v>30000</v>
      </c>
      <c r="D5597" t="s">
        <v>71</v>
      </c>
      <c r="E5597" t="s">
        <v>74</v>
      </c>
      <c r="F5597" t="s">
        <v>81</v>
      </c>
    </row>
    <row r="5598" spans="1:6" x14ac:dyDescent="0.45">
      <c r="A5598">
        <v>40</v>
      </c>
      <c r="B5598">
        <v>11.5</v>
      </c>
      <c r="C5598">
        <v>30000</v>
      </c>
      <c r="D5598" t="s">
        <v>71</v>
      </c>
      <c r="E5598" t="s">
        <v>74</v>
      </c>
      <c r="F5598" t="s">
        <v>81</v>
      </c>
    </row>
    <row r="5599" spans="1:6" x14ac:dyDescent="0.45">
      <c r="A5599">
        <v>45</v>
      </c>
      <c r="B5599">
        <v>11.5</v>
      </c>
      <c r="C5599">
        <v>34000</v>
      </c>
      <c r="D5599" t="s">
        <v>71</v>
      </c>
      <c r="E5599" t="s">
        <v>74</v>
      </c>
      <c r="F5599" t="s">
        <v>81</v>
      </c>
    </row>
    <row r="5600" spans="1:6" x14ac:dyDescent="0.45">
      <c r="A5600">
        <v>50</v>
      </c>
      <c r="B5600">
        <v>11.5</v>
      </c>
      <c r="C5600">
        <v>35000</v>
      </c>
      <c r="D5600" t="s">
        <v>71</v>
      </c>
      <c r="E5600" t="s">
        <v>74</v>
      </c>
      <c r="F5600" t="s">
        <v>81</v>
      </c>
    </row>
    <row r="5601" spans="1:6" x14ac:dyDescent="0.45">
      <c r="A5601">
        <v>40</v>
      </c>
      <c r="B5601">
        <v>11.5</v>
      </c>
      <c r="C5601">
        <v>35000</v>
      </c>
      <c r="D5601" t="s">
        <v>71</v>
      </c>
      <c r="E5601" t="s">
        <v>74</v>
      </c>
      <c r="F5601" t="s">
        <v>81</v>
      </c>
    </row>
    <row r="5602" spans="1:6" x14ac:dyDescent="0.45">
      <c r="A5602">
        <v>40</v>
      </c>
      <c r="B5602">
        <v>11.5</v>
      </c>
      <c r="C5602">
        <v>35576</v>
      </c>
      <c r="D5602" t="s">
        <v>71</v>
      </c>
      <c r="E5602" t="s">
        <v>74</v>
      </c>
      <c r="F5602" t="s">
        <v>81</v>
      </c>
    </row>
    <row r="5603" spans="1:6" x14ac:dyDescent="0.45">
      <c r="A5603">
        <v>40</v>
      </c>
      <c r="B5603">
        <v>11.5</v>
      </c>
      <c r="C5603">
        <v>37000</v>
      </c>
      <c r="D5603" t="s">
        <v>71</v>
      </c>
      <c r="E5603" t="s">
        <v>74</v>
      </c>
      <c r="F5603" t="s">
        <v>81</v>
      </c>
    </row>
    <row r="5604" spans="1:6" x14ac:dyDescent="0.45">
      <c r="A5604">
        <v>60</v>
      </c>
      <c r="B5604">
        <v>11.5</v>
      </c>
      <c r="C5604">
        <v>38000</v>
      </c>
      <c r="D5604" t="s">
        <v>71</v>
      </c>
      <c r="E5604" t="s">
        <v>74</v>
      </c>
      <c r="F5604" t="s">
        <v>81</v>
      </c>
    </row>
    <row r="5605" spans="1:6" x14ac:dyDescent="0.45">
      <c r="A5605">
        <v>40</v>
      </c>
      <c r="B5605">
        <v>11.5</v>
      </c>
      <c r="C5605">
        <v>38000</v>
      </c>
      <c r="D5605" t="s">
        <v>71</v>
      </c>
      <c r="E5605" t="s">
        <v>74</v>
      </c>
      <c r="F5605" t="s">
        <v>81</v>
      </c>
    </row>
    <row r="5606" spans="1:6" x14ac:dyDescent="0.45">
      <c r="A5606">
        <v>60</v>
      </c>
      <c r="B5606">
        <v>11.5</v>
      </c>
      <c r="C5606">
        <v>43000</v>
      </c>
      <c r="D5606" t="s">
        <v>71</v>
      </c>
      <c r="E5606" t="s">
        <v>74</v>
      </c>
      <c r="F5606" t="s">
        <v>81</v>
      </c>
    </row>
    <row r="5607" spans="1:6" x14ac:dyDescent="0.45">
      <c r="A5607">
        <v>45</v>
      </c>
      <c r="B5607">
        <v>11.5</v>
      </c>
      <c r="C5607">
        <v>45000</v>
      </c>
      <c r="D5607" t="s">
        <v>71</v>
      </c>
      <c r="E5607" t="s">
        <v>74</v>
      </c>
      <c r="F5607" t="s">
        <v>81</v>
      </c>
    </row>
    <row r="5608" spans="1:6" x14ac:dyDescent="0.45">
      <c r="A5608">
        <v>40</v>
      </c>
      <c r="B5608">
        <v>11.5</v>
      </c>
      <c r="C5608">
        <v>47375</v>
      </c>
      <c r="D5608" t="s">
        <v>71</v>
      </c>
      <c r="E5608" t="s">
        <v>72</v>
      </c>
      <c r="F5608" t="s">
        <v>81</v>
      </c>
    </row>
    <row r="5609" spans="1:6" x14ac:dyDescent="0.45">
      <c r="A5609">
        <v>40</v>
      </c>
      <c r="B5609">
        <v>11.5</v>
      </c>
      <c r="C5609">
        <v>49241</v>
      </c>
      <c r="D5609" t="s">
        <v>76</v>
      </c>
      <c r="E5609" t="s">
        <v>74</v>
      </c>
      <c r="F5609" t="s">
        <v>81</v>
      </c>
    </row>
    <row r="5610" spans="1:6" x14ac:dyDescent="0.45">
      <c r="A5610">
        <v>40</v>
      </c>
      <c r="B5610">
        <v>11.5</v>
      </c>
      <c r="C5610">
        <v>50000</v>
      </c>
      <c r="D5610" t="s">
        <v>71</v>
      </c>
      <c r="E5610" t="s">
        <v>74</v>
      </c>
      <c r="F5610" t="s">
        <v>81</v>
      </c>
    </row>
    <row r="5611" spans="1:6" x14ac:dyDescent="0.45">
      <c r="A5611">
        <v>35</v>
      </c>
      <c r="B5611">
        <v>11.5</v>
      </c>
      <c r="C5611">
        <v>55000</v>
      </c>
      <c r="D5611" t="s">
        <v>71</v>
      </c>
      <c r="E5611" t="s">
        <v>74</v>
      </c>
      <c r="F5611" t="s">
        <v>81</v>
      </c>
    </row>
    <row r="5612" spans="1:6" x14ac:dyDescent="0.45">
      <c r="A5612">
        <v>40</v>
      </c>
      <c r="B5612">
        <v>11.5</v>
      </c>
      <c r="C5612">
        <v>60000</v>
      </c>
      <c r="D5612" t="s">
        <v>71</v>
      </c>
      <c r="E5612" t="s">
        <v>74</v>
      </c>
      <c r="F5612" t="s">
        <v>81</v>
      </c>
    </row>
    <row r="5613" spans="1:6" x14ac:dyDescent="0.45">
      <c r="A5613">
        <v>40</v>
      </c>
      <c r="B5613">
        <v>11</v>
      </c>
      <c r="C5613">
        <v>2000</v>
      </c>
      <c r="D5613" t="s">
        <v>71</v>
      </c>
      <c r="E5613" t="s">
        <v>72</v>
      </c>
      <c r="F5613" t="s">
        <v>81</v>
      </c>
    </row>
    <row r="5614" spans="1:6" x14ac:dyDescent="0.45">
      <c r="A5614">
        <v>40</v>
      </c>
      <c r="B5614">
        <v>11</v>
      </c>
      <c r="C5614">
        <v>2900</v>
      </c>
      <c r="D5614" t="s">
        <v>76</v>
      </c>
      <c r="E5614" t="s">
        <v>72</v>
      </c>
      <c r="F5614" t="s">
        <v>81</v>
      </c>
    </row>
    <row r="5615" spans="1:6" x14ac:dyDescent="0.45">
      <c r="A5615">
        <v>50</v>
      </c>
      <c r="B5615">
        <v>11</v>
      </c>
      <c r="C5615">
        <v>2940</v>
      </c>
      <c r="D5615" t="s">
        <v>76</v>
      </c>
      <c r="E5615" t="s">
        <v>72</v>
      </c>
      <c r="F5615" t="s">
        <v>81</v>
      </c>
    </row>
    <row r="5616" spans="1:6" x14ac:dyDescent="0.45">
      <c r="A5616">
        <v>40</v>
      </c>
      <c r="B5616">
        <v>11</v>
      </c>
      <c r="C5616">
        <v>3000</v>
      </c>
      <c r="D5616" t="s">
        <v>76</v>
      </c>
      <c r="E5616" t="s">
        <v>72</v>
      </c>
      <c r="F5616" t="s">
        <v>81</v>
      </c>
    </row>
    <row r="5617" spans="1:6" x14ac:dyDescent="0.45">
      <c r="A5617">
        <v>36</v>
      </c>
      <c r="B5617">
        <v>11</v>
      </c>
      <c r="C5617">
        <v>3800</v>
      </c>
      <c r="D5617" t="s">
        <v>71</v>
      </c>
      <c r="E5617" t="s">
        <v>72</v>
      </c>
      <c r="F5617" t="s">
        <v>81</v>
      </c>
    </row>
    <row r="5618" spans="1:6" x14ac:dyDescent="0.45">
      <c r="A5618">
        <v>35</v>
      </c>
      <c r="B5618">
        <v>11</v>
      </c>
      <c r="C5618">
        <v>4048</v>
      </c>
      <c r="D5618" t="s">
        <v>71</v>
      </c>
      <c r="E5618" t="s">
        <v>72</v>
      </c>
      <c r="F5618" t="s">
        <v>81</v>
      </c>
    </row>
    <row r="5619" spans="1:6" x14ac:dyDescent="0.45">
      <c r="A5619">
        <v>40</v>
      </c>
      <c r="B5619">
        <v>11</v>
      </c>
      <c r="C5619">
        <v>5000</v>
      </c>
      <c r="D5619" t="s">
        <v>76</v>
      </c>
      <c r="E5619" t="s">
        <v>72</v>
      </c>
      <c r="F5619" t="s">
        <v>81</v>
      </c>
    </row>
    <row r="5620" spans="1:6" x14ac:dyDescent="0.45">
      <c r="A5620">
        <v>36</v>
      </c>
      <c r="B5620">
        <v>11</v>
      </c>
      <c r="C5620">
        <v>5000</v>
      </c>
      <c r="D5620" t="s">
        <v>71</v>
      </c>
      <c r="E5620" t="s">
        <v>72</v>
      </c>
      <c r="F5620" t="s">
        <v>81</v>
      </c>
    </row>
    <row r="5621" spans="1:6" x14ac:dyDescent="0.45">
      <c r="A5621">
        <v>40</v>
      </c>
      <c r="B5621">
        <v>11</v>
      </c>
      <c r="C5621">
        <v>5720</v>
      </c>
      <c r="D5621" t="s">
        <v>71</v>
      </c>
      <c r="E5621" t="s">
        <v>74</v>
      </c>
      <c r="F5621" t="s">
        <v>81</v>
      </c>
    </row>
    <row r="5622" spans="1:6" x14ac:dyDescent="0.45">
      <c r="A5622">
        <v>40</v>
      </c>
      <c r="B5622">
        <v>11</v>
      </c>
      <c r="C5622">
        <v>6000</v>
      </c>
      <c r="D5622" t="s">
        <v>71</v>
      </c>
      <c r="E5622" t="s">
        <v>74</v>
      </c>
      <c r="F5622" t="s">
        <v>81</v>
      </c>
    </row>
    <row r="5623" spans="1:6" x14ac:dyDescent="0.45">
      <c r="A5623">
        <v>40</v>
      </c>
      <c r="B5623">
        <v>11</v>
      </c>
      <c r="C5623">
        <v>7300</v>
      </c>
      <c r="D5623" t="s">
        <v>71</v>
      </c>
      <c r="E5623" t="s">
        <v>74</v>
      </c>
      <c r="F5623" t="s">
        <v>81</v>
      </c>
    </row>
    <row r="5624" spans="1:6" x14ac:dyDescent="0.45">
      <c r="A5624">
        <v>40</v>
      </c>
      <c r="B5624">
        <v>11</v>
      </c>
      <c r="C5624">
        <v>7800</v>
      </c>
      <c r="D5624" t="s">
        <v>71</v>
      </c>
      <c r="E5624" t="s">
        <v>74</v>
      </c>
      <c r="F5624" t="s">
        <v>81</v>
      </c>
    </row>
    <row r="5625" spans="1:6" x14ac:dyDescent="0.45">
      <c r="A5625">
        <v>35</v>
      </c>
      <c r="B5625">
        <v>11</v>
      </c>
      <c r="C5625">
        <v>8000</v>
      </c>
      <c r="D5625" t="s">
        <v>71</v>
      </c>
      <c r="E5625" t="s">
        <v>72</v>
      </c>
      <c r="F5625" t="s">
        <v>81</v>
      </c>
    </row>
    <row r="5626" spans="1:6" x14ac:dyDescent="0.45">
      <c r="A5626">
        <v>0</v>
      </c>
      <c r="B5626">
        <v>11</v>
      </c>
      <c r="C5626">
        <v>8400</v>
      </c>
      <c r="D5626" t="s">
        <v>71</v>
      </c>
      <c r="E5626" t="s">
        <v>74</v>
      </c>
      <c r="F5626" t="s">
        <v>81</v>
      </c>
    </row>
    <row r="5627" spans="1:6" x14ac:dyDescent="0.45">
      <c r="A5627">
        <v>43</v>
      </c>
      <c r="B5627">
        <v>11</v>
      </c>
      <c r="C5627">
        <v>8800</v>
      </c>
      <c r="D5627" t="s">
        <v>77</v>
      </c>
      <c r="E5627" t="s">
        <v>74</v>
      </c>
      <c r="F5627" t="s">
        <v>81</v>
      </c>
    </row>
    <row r="5628" spans="1:6" x14ac:dyDescent="0.45">
      <c r="A5628">
        <v>40</v>
      </c>
      <c r="B5628">
        <v>11</v>
      </c>
      <c r="C5628">
        <v>9000</v>
      </c>
      <c r="D5628" t="s">
        <v>71</v>
      </c>
      <c r="E5628" t="s">
        <v>74</v>
      </c>
      <c r="F5628" t="s">
        <v>81</v>
      </c>
    </row>
    <row r="5629" spans="1:6" x14ac:dyDescent="0.45">
      <c r="A5629">
        <v>35</v>
      </c>
      <c r="B5629">
        <v>11</v>
      </c>
      <c r="C5629">
        <v>9000</v>
      </c>
      <c r="D5629" t="s">
        <v>71</v>
      </c>
      <c r="E5629" t="s">
        <v>72</v>
      </c>
      <c r="F5629" t="s">
        <v>81</v>
      </c>
    </row>
    <row r="5630" spans="1:6" x14ac:dyDescent="0.45">
      <c r="A5630">
        <v>40</v>
      </c>
      <c r="B5630">
        <v>11</v>
      </c>
      <c r="C5630">
        <v>9500</v>
      </c>
      <c r="D5630" t="s">
        <v>71</v>
      </c>
      <c r="E5630" t="s">
        <v>72</v>
      </c>
      <c r="F5630" t="s">
        <v>81</v>
      </c>
    </row>
    <row r="5631" spans="1:6" x14ac:dyDescent="0.45">
      <c r="A5631">
        <v>40</v>
      </c>
      <c r="B5631">
        <v>11</v>
      </c>
      <c r="C5631">
        <v>9500</v>
      </c>
      <c r="D5631" t="s">
        <v>71</v>
      </c>
      <c r="E5631" t="s">
        <v>74</v>
      </c>
      <c r="F5631" t="s">
        <v>81</v>
      </c>
    </row>
    <row r="5632" spans="1:6" x14ac:dyDescent="0.45">
      <c r="A5632">
        <v>40</v>
      </c>
      <c r="B5632">
        <v>11</v>
      </c>
      <c r="C5632">
        <v>9600</v>
      </c>
      <c r="D5632" t="s">
        <v>71</v>
      </c>
      <c r="E5632" t="s">
        <v>74</v>
      </c>
      <c r="F5632" t="s">
        <v>81</v>
      </c>
    </row>
    <row r="5633" spans="1:6" x14ac:dyDescent="0.45">
      <c r="A5633">
        <v>40</v>
      </c>
      <c r="B5633">
        <v>11</v>
      </c>
      <c r="C5633">
        <v>10000</v>
      </c>
      <c r="D5633" t="s">
        <v>76</v>
      </c>
      <c r="E5633" t="s">
        <v>74</v>
      </c>
      <c r="F5633" t="s">
        <v>81</v>
      </c>
    </row>
    <row r="5634" spans="1:6" x14ac:dyDescent="0.45">
      <c r="A5634">
        <v>40</v>
      </c>
      <c r="B5634">
        <v>11</v>
      </c>
      <c r="C5634">
        <v>10000</v>
      </c>
      <c r="D5634" t="s">
        <v>76</v>
      </c>
      <c r="E5634" t="s">
        <v>74</v>
      </c>
      <c r="F5634" t="s">
        <v>81</v>
      </c>
    </row>
    <row r="5635" spans="1:6" x14ac:dyDescent="0.45">
      <c r="A5635">
        <v>40</v>
      </c>
      <c r="B5635">
        <v>11</v>
      </c>
      <c r="C5635">
        <v>10064</v>
      </c>
      <c r="D5635" t="s">
        <v>71</v>
      </c>
      <c r="E5635" t="s">
        <v>72</v>
      </c>
      <c r="F5635" t="s">
        <v>81</v>
      </c>
    </row>
    <row r="5636" spans="1:6" x14ac:dyDescent="0.45">
      <c r="A5636">
        <v>40</v>
      </c>
      <c r="B5636">
        <v>11</v>
      </c>
      <c r="C5636">
        <v>10400</v>
      </c>
      <c r="D5636" t="s">
        <v>76</v>
      </c>
      <c r="E5636" t="s">
        <v>72</v>
      </c>
      <c r="F5636" t="s">
        <v>81</v>
      </c>
    </row>
    <row r="5637" spans="1:6" x14ac:dyDescent="0.45">
      <c r="A5637">
        <v>40</v>
      </c>
      <c r="B5637">
        <v>11</v>
      </c>
      <c r="C5637">
        <v>10920</v>
      </c>
      <c r="D5637" t="s">
        <v>71</v>
      </c>
      <c r="E5637" t="s">
        <v>72</v>
      </c>
      <c r="F5637" t="s">
        <v>81</v>
      </c>
    </row>
    <row r="5638" spans="1:6" x14ac:dyDescent="0.45">
      <c r="A5638">
        <v>40</v>
      </c>
      <c r="B5638">
        <v>11</v>
      </c>
      <c r="C5638">
        <v>11000</v>
      </c>
      <c r="D5638" t="s">
        <v>71</v>
      </c>
      <c r="E5638" t="s">
        <v>74</v>
      </c>
      <c r="F5638" t="s">
        <v>81</v>
      </c>
    </row>
    <row r="5639" spans="1:6" x14ac:dyDescent="0.45">
      <c r="A5639">
        <v>0</v>
      </c>
      <c r="B5639">
        <v>11</v>
      </c>
      <c r="C5639">
        <v>11000</v>
      </c>
      <c r="D5639" t="s">
        <v>71</v>
      </c>
      <c r="E5639" t="s">
        <v>72</v>
      </c>
      <c r="F5639" t="s">
        <v>81</v>
      </c>
    </row>
    <row r="5640" spans="1:6" x14ac:dyDescent="0.45">
      <c r="A5640">
        <v>40</v>
      </c>
      <c r="B5640">
        <v>11</v>
      </c>
      <c r="C5640">
        <v>11440</v>
      </c>
      <c r="D5640" t="s">
        <v>76</v>
      </c>
      <c r="E5640" t="s">
        <v>74</v>
      </c>
      <c r="F5640" t="s">
        <v>81</v>
      </c>
    </row>
    <row r="5641" spans="1:6" x14ac:dyDescent="0.45">
      <c r="A5641">
        <v>40</v>
      </c>
      <c r="B5641">
        <v>11</v>
      </c>
      <c r="C5641">
        <v>11440</v>
      </c>
      <c r="D5641" t="s">
        <v>71</v>
      </c>
      <c r="E5641" t="s">
        <v>72</v>
      </c>
      <c r="F5641" t="s">
        <v>81</v>
      </c>
    </row>
    <row r="5642" spans="1:6" x14ac:dyDescent="0.45">
      <c r="A5642">
        <v>40</v>
      </c>
      <c r="B5642">
        <v>11</v>
      </c>
      <c r="C5642">
        <v>11920</v>
      </c>
      <c r="D5642" t="s">
        <v>71</v>
      </c>
      <c r="E5642" t="s">
        <v>72</v>
      </c>
      <c r="F5642" t="s">
        <v>81</v>
      </c>
    </row>
    <row r="5643" spans="1:6" x14ac:dyDescent="0.45">
      <c r="A5643">
        <v>40</v>
      </c>
      <c r="B5643">
        <v>11</v>
      </c>
      <c r="C5643">
        <v>12000</v>
      </c>
      <c r="D5643" t="s">
        <v>71</v>
      </c>
      <c r="E5643" t="s">
        <v>74</v>
      </c>
      <c r="F5643" t="s">
        <v>81</v>
      </c>
    </row>
    <row r="5644" spans="1:6" x14ac:dyDescent="0.45">
      <c r="A5644">
        <v>40</v>
      </c>
      <c r="B5644">
        <v>11</v>
      </c>
      <c r="C5644">
        <v>12000</v>
      </c>
      <c r="D5644" t="s">
        <v>76</v>
      </c>
      <c r="E5644" t="s">
        <v>72</v>
      </c>
      <c r="F5644" t="s">
        <v>81</v>
      </c>
    </row>
    <row r="5645" spans="1:6" x14ac:dyDescent="0.45">
      <c r="A5645">
        <v>45</v>
      </c>
      <c r="B5645">
        <v>11</v>
      </c>
      <c r="C5645">
        <v>12000</v>
      </c>
      <c r="D5645" t="s">
        <v>71</v>
      </c>
      <c r="E5645" t="s">
        <v>74</v>
      </c>
      <c r="F5645" t="s">
        <v>81</v>
      </c>
    </row>
    <row r="5646" spans="1:6" x14ac:dyDescent="0.45">
      <c r="A5646">
        <v>40</v>
      </c>
      <c r="B5646">
        <v>11</v>
      </c>
      <c r="C5646">
        <v>12500</v>
      </c>
      <c r="D5646" t="s">
        <v>71</v>
      </c>
      <c r="E5646" t="s">
        <v>72</v>
      </c>
      <c r="F5646" t="s">
        <v>81</v>
      </c>
    </row>
    <row r="5647" spans="1:6" x14ac:dyDescent="0.45">
      <c r="A5647">
        <v>40</v>
      </c>
      <c r="B5647">
        <v>11</v>
      </c>
      <c r="C5647">
        <v>12600</v>
      </c>
      <c r="D5647" t="s">
        <v>71</v>
      </c>
      <c r="E5647" t="s">
        <v>74</v>
      </c>
      <c r="F5647" t="s">
        <v>81</v>
      </c>
    </row>
    <row r="5648" spans="1:6" x14ac:dyDescent="0.45">
      <c r="A5648">
        <v>56</v>
      </c>
      <c r="B5648">
        <v>11</v>
      </c>
      <c r="C5648">
        <v>12960</v>
      </c>
      <c r="D5648" t="s">
        <v>71</v>
      </c>
      <c r="E5648" t="s">
        <v>74</v>
      </c>
      <c r="F5648" t="s">
        <v>81</v>
      </c>
    </row>
    <row r="5649" spans="1:6" x14ac:dyDescent="0.45">
      <c r="A5649">
        <v>40</v>
      </c>
      <c r="B5649">
        <v>11</v>
      </c>
      <c r="C5649">
        <v>13000</v>
      </c>
      <c r="D5649" t="s">
        <v>71</v>
      </c>
      <c r="E5649" t="s">
        <v>74</v>
      </c>
      <c r="F5649" t="s">
        <v>81</v>
      </c>
    </row>
    <row r="5650" spans="1:6" x14ac:dyDescent="0.45">
      <c r="A5650">
        <v>40</v>
      </c>
      <c r="B5650">
        <v>11</v>
      </c>
      <c r="C5650">
        <v>13208</v>
      </c>
      <c r="D5650" t="s">
        <v>76</v>
      </c>
      <c r="E5650" t="s">
        <v>72</v>
      </c>
      <c r="F5650" t="s">
        <v>81</v>
      </c>
    </row>
    <row r="5651" spans="1:6" x14ac:dyDescent="0.45">
      <c r="A5651">
        <v>38</v>
      </c>
      <c r="B5651">
        <v>11</v>
      </c>
      <c r="C5651">
        <v>14000</v>
      </c>
      <c r="D5651" t="s">
        <v>71</v>
      </c>
      <c r="E5651" t="s">
        <v>74</v>
      </c>
      <c r="F5651" t="s">
        <v>81</v>
      </c>
    </row>
    <row r="5652" spans="1:6" x14ac:dyDescent="0.45">
      <c r="A5652">
        <v>40</v>
      </c>
      <c r="B5652">
        <v>11</v>
      </c>
      <c r="C5652">
        <v>14000</v>
      </c>
      <c r="D5652" t="s">
        <v>71</v>
      </c>
      <c r="E5652" t="s">
        <v>74</v>
      </c>
      <c r="F5652" t="s">
        <v>81</v>
      </c>
    </row>
    <row r="5653" spans="1:6" x14ac:dyDescent="0.45">
      <c r="A5653">
        <v>44</v>
      </c>
      <c r="B5653">
        <v>11</v>
      </c>
      <c r="C5653">
        <v>14000</v>
      </c>
      <c r="D5653" t="s">
        <v>76</v>
      </c>
      <c r="E5653" t="s">
        <v>72</v>
      </c>
      <c r="F5653" t="s">
        <v>81</v>
      </c>
    </row>
    <row r="5654" spans="1:6" x14ac:dyDescent="0.45">
      <c r="A5654">
        <v>40</v>
      </c>
      <c r="B5654">
        <v>11</v>
      </c>
      <c r="C5654">
        <v>14000</v>
      </c>
      <c r="D5654" t="s">
        <v>76</v>
      </c>
      <c r="E5654" t="s">
        <v>72</v>
      </c>
      <c r="F5654" t="s">
        <v>81</v>
      </c>
    </row>
    <row r="5655" spans="1:6" x14ac:dyDescent="0.45">
      <c r="A5655">
        <v>40</v>
      </c>
      <c r="B5655">
        <v>11</v>
      </c>
      <c r="C5655">
        <v>15000</v>
      </c>
      <c r="D5655" t="s">
        <v>71</v>
      </c>
      <c r="E5655" t="s">
        <v>72</v>
      </c>
      <c r="F5655" t="s">
        <v>81</v>
      </c>
    </row>
    <row r="5656" spans="1:6" x14ac:dyDescent="0.45">
      <c r="A5656">
        <v>65</v>
      </c>
      <c r="B5656">
        <v>11</v>
      </c>
      <c r="C5656">
        <v>15000</v>
      </c>
      <c r="D5656" t="s">
        <v>71</v>
      </c>
      <c r="E5656" t="s">
        <v>74</v>
      </c>
      <c r="F5656" t="s">
        <v>81</v>
      </c>
    </row>
    <row r="5657" spans="1:6" x14ac:dyDescent="0.45">
      <c r="A5657">
        <v>45</v>
      </c>
      <c r="B5657">
        <v>11</v>
      </c>
      <c r="C5657">
        <v>15000</v>
      </c>
      <c r="D5657" t="s">
        <v>71</v>
      </c>
      <c r="E5657" t="s">
        <v>72</v>
      </c>
      <c r="F5657" t="s">
        <v>81</v>
      </c>
    </row>
    <row r="5658" spans="1:6" x14ac:dyDescent="0.45">
      <c r="A5658">
        <v>40</v>
      </c>
      <c r="B5658">
        <v>11</v>
      </c>
      <c r="C5658">
        <v>15000</v>
      </c>
      <c r="D5658" t="s">
        <v>71</v>
      </c>
      <c r="E5658" t="s">
        <v>74</v>
      </c>
      <c r="F5658" t="s">
        <v>81</v>
      </c>
    </row>
    <row r="5659" spans="1:6" x14ac:dyDescent="0.45">
      <c r="A5659">
        <v>40</v>
      </c>
      <c r="B5659">
        <v>11</v>
      </c>
      <c r="C5659">
        <v>15000</v>
      </c>
      <c r="D5659" t="s">
        <v>71</v>
      </c>
      <c r="E5659" t="s">
        <v>74</v>
      </c>
      <c r="F5659" t="s">
        <v>81</v>
      </c>
    </row>
    <row r="5660" spans="1:6" x14ac:dyDescent="0.45">
      <c r="A5660">
        <v>40</v>
      </c>
      <c r="B5660">
        <v>11</v>
      </c>
      <c r="C5660">
        <v>15000</v>
      </c>
      <c r="D5660" t="s">
        <v>71</v>
      </c>
      <c r="E5660" t="s">
        <v>74</v>
      </c>
      <c r="F5660" t="s">
        <v>81</v>
      </c>
    </row>
    <row r="5661" spans="1:6" x14ac:dyDescent="0.45">
      <c r="A5661">
        <v>40</v>
      </c>
      <c r="B5661">
        <v>11</v>
      </c>
      <c r="C5661">
        <v>15000</v>
      </c>
      <c r="D5661" t="s">
        <v>71</v>
      </c>
      <c r="E5661" t="s">
        <v>72</v>
      </c>
      <c r="F5661" t="s">
        <v>81</v>
      </c>
    </row>
    <row r="5662" spans="1:6" x14ac:dyDescent="0.45">
      <c r="A5662">
        <v>40</v>
      </c>
      <c r="B5662">
        <v>11</v>
      </c>
      <c r="C5662">
        <v>15000</v>
      </c>
      <c r="D5662" t="s">
        <v>71</v>
      </c>
      <c r="E5662" t="s">
        <v>74</v>
      </c>
      <c r="F5662" t="s">
        <v>81</v>
      </c>
    </row>
    <row r="5663" spans="1:6" x14ac:dyDescent="0.45">
      <c r="A5663">
        <v>40</v>
      </c>
      <c r="B5663">
        <v>11</v>
      </c>
      <c r="C5663">
        <v>15340</v>
      </c>
      <c r="D5663" t="s">
        <v>76</v>
      </c>
      <c r="E5663" t="s">
        <v>74</v>
      </c>
      <c r="F5663" t="s">
        <v>81</v>
      </c>
    </row>
    <row r="5664" spans="1:6" x14ac:dyDescent="0.45">
      <c r="A5664">
        <v>40</v>
      </c>
      <c r="B5664">
        <v>11</v>
      </c>
      <c r="C5664">
        <v>15600</v>
      </c>
      <c r="D5664" t="s">
        <v>71</v>
      </c>
      <c r="E5664" t="s">
        <v>74</v>
      </c>
      <c r="F5664" t="s">
        <v>81</v>
      </c>
    </row>
    <row r="5665" spans="1:6" x14ac:dyDescent="0.45">
      <c r="A5665">
        <v>50</v>
      </c>
      <c r="B5665">
        <v>11</v>
      </c>
      <c r="C5665">
        <v>15611</v>
      </c>
      <c r="D5665" t="s">
        <v>71</v>
      </c>
      <c r="E5665" t="s">
        <v>74</v>
      </c>
      <c r="F5665" t="s">
        <v>81</v>
      </c>
    </row>
    <row r="5666" spans="1:6" x14ac:dyDescent="0.45">
      <c r="A5666">
        <v>40</v>
      </c>
      <c r="B5666">
        <v>11</v>
      </c>
      <c r="C5666">
        <v>15960</v>
      </c>
      <c r="D5666" t="s">
        <v>71</v>
      </c>
      <c r="E5666" t="s">
        <v>72</v>
      </c>
      <c r="F5666" t="s">
        <v>81</v>
      </c>
    </row>
    <row r="5667" spans="1:6" x14ac:dyDescent="0.45">
      <c r="A5667">
        <v>40</v>
      </c>
      <c r="B5667">
        <v>11</v>
      </c>
      <c r="C5667">
        <v>16000</v>
      </c>
      <c r="D5667" t="s">
        <v>76</v>
      </c>
      <c r="E5667" t="s">
        <v>74</v>
      </c>
      <c r="F5667" t="s">
        <v>81</v>
      </c>
    </row>
    <row r="5668" spans="1:6" x14ac:dyDescent="0.45">
      <c r="A5668">
        <v>40</v>
      </c>
      <c r="B5668">
        <v>11</v>
      </c>
      <c r="C5668">
        <v>16040</v>
      </c>
      <c r="D5668" t="s">
        <v>76</v>
      </c>
      <c r="E5668" t="s">
        <v>72</v>
      </c>
      <c r="F5668" t="s">
        <v>81</v>
      </c>
    </row>
    <row r="5669" spans="1:6" x14ac:dyDescent="0.45">
      <c r="A5669">
        <v>40</v>
      </c>
      <c r="B5669">
        <v>11</v>
      </c>
      <c r="C5669">
        <v>17000</v>
      </c>
      <c r="D5669" t="s">
        <v>76</v>
      </c>
      <c r="E5669" t="s">
        <v>72</v>
      </c>
      <c r="F5669" t="s">
        <v>81</v>
      </c>
    </row>
    <row r="5670" spans="1:6" x14ac:dyDescent="0.45">
      <c r="A5670">
        <v>50</v>
      </c>
      <c r="B5670">
        <v>11</v>
      </c>
      <c r="C5670">
        <v>17000</v>
      </c>
      <c r="D5670" t="s">
        <v>71</v>
      </c>
      <c r="E5670" t="s">
        <v>74</v>
      </c>
      <c r="F5670" t="s">
        <v>81</v>
      </c>
    </row>
    <row r="5671" spans="1:6" x14ac:dyDescent="0.45">
      <c r="A5671">
        <v>40</v>
      </c>
      <c r="B5671">
        <v>11</v>
      </c>
      <c r="C5671">
        <v>17264</v>
      </c>
      <c r="D5671" t="s">
        <v>71</v>
      </c>
      <c r="E5671" t="s">
        <v>72</v>
      </c>
      <c r="F5671" t="s">
        <v>81</v>
      </c>
    </row>
    <row r="5672" spans="1:6" x14ac:dyDescent="0.45">
      <c r="A5672">
        <v>40</v>
      </c>
      <c r="B5672">
        <v>11</v>
      </c>
      <c r="C5672">
        <v>17472</v>
      </c>
      <c r="D5672" t="s">
        <v>75</v>
      </c>
      <c r="E5672" t="s">
        <v>74</v>
      </c>
      <c r="F5672" t="s">
        <v>81</v>
      </c>
    </row>
    <row r="5673" spans="1:6" x14ac:dyDescent="0.45">
      <c r="A5673">
        <v>40</v>
      </c>
      <c r="B5673">
        <v>11</v>
      </c>
      <c r="C5673">
        <v>18000</v>
      </c>
      <c r="D5673" t="s">
        <v>71</v>
      </c>
      <c r="E5673" t="s">
        <v>72</v>
      </c>
      <c r="F5673" t="s">
        <v>81</v>
      </c>
    </row>
    <row r="5674" spans="1:6" x14ac:dyDescent="0.45">
      <c r="A5674">
        <v>40</v>
      </c>
      <c r="B5674">
        <v>11</v>
      </c>
      <c r="C5674">
        <v>18000</v>
      </c>
      <c r="D5674" t="s">
        <v>76</v>
      </c>
      <c r="E5674" t="s">
        <v>72</v>
      </c>
      <c r="F5674" t="s">
        <v>81</v>
      </c>
    </row>
    <row r="5675" spans="1:6" x14ac:dyDescent="0.45">
      <c r="A5675">
        <v>40</v>
      </c>
      <c r="B5675">
        <v>11</v>
      </c>
      <c r="C5675">
        <v>18000</v>
      </c>
      <c r="D5675" t="s">
        <v>71</v>
      </c>
      <c r="E5675" t="s">
        <v>74</v>
      </c>
      <c r="F5675" t="s">
        <v>81</v>
      </c>
    </row>
    <row r="5676" spans="1:6" x14ac:dyDescent="0.45">
      <c r="A5676">
        <v>55</v>
      </c>
      <c r="B5676">
        <v>11</v>
      </c>
      <c r="C5676">
        <v>18000</v>
      </c>
      <c r="D5676" t="s">
        <v>71</v>
      </c>
      <c r="E5676" t="s">
        <v>72</v>
      </c>
      <c r="F5676" t="s">
        <v>81</v>
      </c>
    </row>
    <row r="5677" spans="1:6" x14ac:dyDescent="0.45">
      <c r="A5677">
        <v>40</v>
      </c>
      <c r="B5677">
        <v>11</v>
      </c>
      <c r="C5677">
        <v>18720</v>
      </c>
      <c r="D5677" t="s">
        <v>71</v>
      </c>
      <c r="E5677" t="s">
        <v>74</v>
      </c>
      <c r="F5677" t="s">
        <v>81</v>
      </c>
    </row>
    <row r="5678" spans="1:6" x14ac:dyDescent="0.45">
      <c r="A5678">
        <v>40</v>
      </c>
      <c r="B5678">
        <v>11</v>
      </c>
      <c r="C5678">
        <v>19000</v>
      </c>
      <c r="D5678" t="s">
        <v>77</v>
      </c>
      <c r="E5678" t="s">
        <v>72</v>
      </c>
      <c r="F5678" t="s">
        <v>81</v>
      </c>
    </row>
    <row r="5679" spans="1:6" x14ac:dyDescent="0.45">
      <c r="A5679">
        <v>40</v>
      </c>
      <c r="B5679">
        <v>11</v>
      </c>
      <c r="C5679">
        <v>19000</v>
      </c>
      <c r="D5679" t="s">
        <v>76</v>
      </c>
      <c r="E5679" t="s">
        <v>72</v>
      </c>
      <c r="F5679" t="s">
        <v>81</v>
      </c>
    </row>
    <row r="5680" spans="1:6" x14ac:dyDescent="0.45">
      <c r="A5680">
        <v>40</v>
      </c>
      <c r="B5680">
        <v>11</v>
      </c>
      <c r="C5680">
        <v>19019</v>
      </c>
      <c r="D5680" t="s">
        <v>71</v>
      </c>
      <c r="E5680" t="s">
        <v>74</v>
      </c>
      <c r="F5680" t="s">
        <v>81</v>
      </c>
    </row>
    <row r="5681" spans="1:6" x14ac:dyDescent="0.45">
      <c r="A5681">
        <v>40</v>
      </c>
      <c r="B5681">
        <v>11</v>
      </c>
      <c r="C5681">
        <v>20000</v>
      </c>
      <c r="D5681" t="s">
        <v>71</v>
      </c>
      <c r="E5681" t="s">
        <v>74</v>
      </c>
      <c r="F5681" t="s">
        <v>81</v>
      </c>
    </row>
    <row r="5682" spans="1:6" x14ac:dyDescent="0.45">
      <c r="A5682">
        <v>40</v>
      </c>
      <c r="B5682">
        <v>11</v>
      </c>
      <c r="C5682">
        <v>20000</v>
      </c>
      <c r="D5682" t="s">
        <v>71</v>
      </c>
      <c r="E5682" t="s">
        <v>74</v>
      </c>
      <c r="F5682" t="s">
        <v>81</v>
      </c>
    </row>
    <row r="5683" spans="1:6" x14ac:dyDescent="0.45">
      <c r="A5683">
        <v>40</v>
      </c>
      <c r="B5683">
        <v>11</v>
      </c>
      <c r="C5683">
        <v>20000</v>
      </c>
      <c r="D5683" t="s">
        <v>76</v>
      </c>
      <c r="E5683" t="s">
        <v>74</v>
      </c>
      <c r="F5683" t="s">
        <v>81</v>
      </c>
    </row>
    <row r="5684" spans="1:6" x14ac:dyDescent="0.45">
      <c r="A5684">
        <v>43</v>
      </c>
      <c r="B5684">
        <v>11</v>
      </c>
      <c r="C5684">
        <v>20000</v>
      </c>
      <c r="D5684" t="s">
        <v>76</v>
      </c>
      <c r="E5684" t="s">
        <v>72</v>
      </c>
      <c r="F5684" t="s">
        <v>81</v>
      </c>
    </row>
    <row r="5685" spans="1:6" x14ac:dyDescent="0.45">
      <c r="A5685">
        <v>40</v>
      </c>
      <c r="B5685">
        <v>11</v>
      </c>
      <c r="C5685">
        <v>20000</v>
      </c>
      <c r="D5685" t="s">
        <v>71</v>
      </c>
      <c r="E5685" t="s">
        <v>72</v>
      </c>
      <c r="F5685" t="s">
        <v>81</v>
      </c>
    </row>
    <row r="5686" spans="1:6" x14ac:dyDescent="0.45">
      <c r="A5686">
        <v>50</v>
      </c>
      <c r="B5686">
        <v>11</v>
      </c>
      <c r="C5686">
        <v>20000</v>
      </c>
      <c r="D5686" t="s">
        <v>76</v>
      </c>
      <c r="E5686" t="s">
        <v>74</v>
      </c>
      <c r="F5686" t="s">
        <v>81</v>
      </c>
    </row>
    <row r="5687" spans="1:6" x14ac:dyDescent="0.45">
      <c r="A5687">
        <v>40</v>
      </c>
      <c r="B5687">
        <v>11</v>
      </c>
      <c r="C5687">
        <v>20000</v>
      </c>
      <c r="D5687" t="s">
        <v>71</v>
      </c>
      <c r="E5687" t="s">
        <v>74</v>
      </c>
      <c r="F5687" t="s">
        <v>81</v>
      </c>
    </row>
    <row r="5688" spans="1:6" x14ac:dyDescent="0.45">
      <c r="A5688">
        <v>80</v>
      </c>
      <c r="B5688">
        <v>11</v>
      </c>
      <c r="C5688">
        <v>20000</v>
      </c>
      <c r="D5688" t="s">
        <v>71</v>
      </c>
      <c r="E5688" t="s">
        <v>74</v>
      </c>
      <c r="F5688" t="s">
        <v>81</v>
      </c>
    </row>
    <row r="5689" spans="1:6" x14ac:dyDescent="0.45">
      <c r="A5689">
        <v>40</v>
      </c>
      <c r="B5689">
        <v>11</v>
      </c>
      <c r="C5689">
        <v>20800</v>
      </c>
      <c r="D5689" t="s">
        <v>71</v>
      </c>
      <c r="E5689" t="s">
        <v>72</v>
      </c>
      <c r="F5689" t="s">
        <v>81</v>
      </c>
    </row>
    <row r="5690" spans="1:6" x14ac:dyDescent="0.45">
      <c r="A5690">
        <v>36</v>
      </c>
      <c r="B5690">
        <v>11</v>
      </c>
      <c r="C5690">
        <v>21000</v>
      </c>
      <c r="D5690" t="s">
        <v>71</v>
      </c>
      <c r="E5690" t="s">
        <v>74</v>
      </c>
      <c r="F5690" t="s">
        <v>81</v>
      </c>
    </row>
    <row r="5691" spans="1:6" x14ac:dyDescent="0.45">
      <c r="A5691">
        <v>40</v>
      </c>
      <c r="B5691">
        <v>11</v>
      </c>
      <c r="C5691">
        <v>21526</v>
      </c>
      <c r="D5691" t="s">
        <v>71</v>
      </c>
      <c r="E5691" t="s">
        <v>72</v>
      </c>
      <c r="F5691" t="s">
        <v>81</v>
      </c>
    </row>
    <row r="5692" spans="1:6" x14ac:dyDescent="0.45">
      <c r="A5692">
        <v>40</v>
      </c>
      <c r="B5692">
        <v>11</v>
      </c>
      <c r="C5692">
        <v>22000</v>
      </c>
      <c r="D5692" t="s">
        <v>71</v>
      </c>
      <c r="E5692" t="s">
        <v>72</v>
      </c>
      <c r="F5692" t="s">
        <v>81</v>
      </c>
    </row>
    <row r="5693" spans="1:6" x14ac:dyDescent="0.45">
      <c r="A5693">
        <v>40</v>
      </c>
      <c r="B5693">
        <v>11</v>
      </c>
      <c r="C5693">
        <v>22620</v>
      </c>
      <c r="D5693" t="s">
        <v>71</v>
      </c>
      <c r="E5693" t="s">
        <v>74</v>
      </c>
      <c r="F5693" t="s">
        <v>81</v>
      </c>
    </row>
    <row r="5694" spans="1:6" x14ac:dyDescent="0.45">
      <c r="A5694">
        <v>40</v>
      </c>
      <c r="B5694">
        <v>11</v>
      </c>
      <c r="C5694">
        <v>22620</v>
      </c>
      <c r="D5694" t="s">
        <v>71</v>
      </c>
      <c r="E5694" t="s">
        <v>74</v>
      </c>
      <c r="F5694" t="s">
        <v>81</v>
      </c>
    </row>
    <row r="5695" spans="1:6" x14ac:dyDescent="0.45">
      <c r="A5695">
        <v>40</v>
      </c>
      <c r="B5695">
        <v>11</v>
      </c>
      <c r="C5695">
        <v>23000</v>
      </c>
      <c r="D5695" t="s">
        <v>71</v>
      </c>
      <c r="E5695" t="s">
        <v>72</v>
      </c>
      <c r="F5695" t="s">
        <v>81</v>
      </c>
    </row>
    <row r="5696" spans="1:6" x14ac:dyDescent="0.45">
      <c r="A5696">
        <v>40</v>
      </c>
      <c r="B5696">
        <v>11</v>
      </c>
      <c r="C5696">
        <v>23000</v>
      </c>
      <c r="D5696" t="s">
        <v>76</v>
      </c>
      <c r="E5696" t="s">
        <v>74</v>
      </c>
      <c r="F5696" t="s">
        <v>81</v>
      </c>
    </row>
    <row r="5697" spans="1:6" x14ac:dyDescent="0.45">
      <c r="A5697">
        <v>0</v>
      </c>
      <c r="B5697">
        <v>11</v>
      </c>
      <c r="C5697">
        <v>23400</v>
      </c>
      <c r="D5697" t="s">
        <v>71</v>
      </c>
      <c r="E5697" t="s">
        <v>72</v>
      </c>
      <c r="F5697" t="s">
        <v>81</v>
      </c>
    </row>
    <row r="5698" spans="1:6" x14ac:dyDescent="0.45">
      <c r="A5698">
        <v>40</v>
      </c>
      <c r="B5698">
        <v>11</v>
      </c>
      <c r="C5698">
        <v>24000</v>
      </c>
      <c r="D5698" t="s">
        <v>71</v>
      </c>
      <c r="E5698" t="s">
        <v>74</v>
      </c>
      <c r="F5698" t="s">
        <v>81</v>
      </c>
    </row>
    <row r="5699" spans="1:6" x14ac:dyDescent="0.45">
      <c r="A5699">
        <v>42</v>
      </c>
      <c r="B5699">
        <v>11</v>
      </c>
      <c r="C5699">
        <v>24000</v>
      </c>
      <c r="D5699" t="s">
        <v>71</v>
      </c>
      <c r="E5699" t="s">
        <v>74</v>
      </c>
      <c r="F5699" t="s">
        <v>81</v>
      </c>
    </row>
    <row r="5700" spans="1:6" x14ac:dyDescent="0.45">
      <c r="A5700">
        <v>48</v>
      </c>
      <c r="B5700">
        <v>11</v>
      </c>
      <c r="C5700">
        <v>24000</v>
      </c>
      <c r="D5700" t="s">
        <v>71</v>
      </c>
      <c r="E5700" t="s">
        <v>72</v>
      </c>
      <c r="F5700" t="s">
        <v>81</v>
      </c>
    </row>
    <row r="5701" spans="1:6" x14ac:dyDescent="0.45">
      <c r="A5701">
        <v>0</v>
      </c>
      <c r="B5701">
        <v>11</v>
      </c>
      <c r="C5701">
        <v>24960</v>
      </c>
      <c r="D5701" t="s">
        <v>71</v>
      </c>
      <c r="E5701" t="s">
        <v>74</v>
      </c>
      <c r="F5701" t="s">
        <v>81</v>
      </c>
    </row>
    <row r="5702" spans="1:6" x14ac:dyDescent="0.45">
      <c r="A5702">
        <v>50</v>
      </c>
      <c r="B5702">
        <v>11</v>
      </c>
      <c r="C5702">
        <v>25000</v>
      </c>
      <c r="D5702" t="s">
        <v>71</v>
      </c>
      <c r="E5702" t="s">
        <v>74</v>
      </c>
      <c r="F5702" t="s">
        <v>81</v>
      </c>
    </row>
    <row r="5703" spans="1:6" x14ac:dyDescent="0.45">
      <c r="A5703">
        <v>40</v>
      </c>
      <c r="B5703">
        <v>11</v>
      </c>
      <c r="C5703">
        <v>25000</v>
      </c>
      <c r="D5703" t="s">
        <v>76</v>
      </c>
      <c r="E5703" t="s">
        <v>74</v>
      </c>
      <c r="F5703" t="s">
        <v>81</v>
      </c>
    </row>
    <row r="5704" spans="1:6" x14ac:dyDescent="0.45">
      <c r="A5704">
        <v>40</v>
      </c>
      <c r="B5704">
        <v>11</v>
      </c>
      <c r="C5704">
        <v>25000</v>
      </c>
      <c r="D5704" t="s">
        <v>71</v>
      </c>
      <c r="E5704" t="s">
        <v>74</v>
      </c>
      <c r="F5704" t="s">
        <v>81</v>
      </c>
    </row>
    <row r="5705" spans="1:6" x14ac:dyDescent="0.45">
      <c r="A5705">
        <v>40</v>
      </c>
      <c r="B5705">
        <v>11</v>
      </c>
      <c r="C5705">
        <v>25000</v>
      </c>
      <c r="D5705" t="s">
        <v>71</v>
      </c>
      <c r="E5705" t="s">
        <v>74</v>
      </c>
      <c r="F5705" t="s">
        <v>81</v>
      </c>
    </row>
    <row r="5706" spans="1:6" x14ac:dyDescent="0.45">
      <c r="A5706">
        <v>40</v>
      </c>
      <c r="B5706">
        <v>11</v>
      </c>
      <c r="C5706">
        <v>25082</v>
      </c>
      <c r="D5706" t="s">
        <v>71</v>
      </c>
      <c r="E5706" t="s">
        <v>74</v>
      </c>
      <c r="F5706" t="s">
        <v>81</v>
      </c>
    </row>
    <row r="5707" spans="1:6" x14ac:dyDescent="0.45">
      <c r="A5707">
        <v>40</v>
      </c>
      <c r="B5707">
        <v>11</v>
      </c>
      <c r="C5707">
        <v>26000</v>
      </c>
      <c r="D5707" t="s">
        <v>71</v>
      </c>
      <c r="E5707" t="s">
        <v>72</v>
      </c>
      <c r="F5707" t="s">
        <v>81</v>
      </c>
    </row>
    <row r="5708" spans="1:6" x14ac:dyDescent="0.45">
      <c r="A5708">
        <v>40</v>
      </c>
      <c r="B5708">
        <v>11</v>
      </c>
      <c r="C5708">
        <v>26000</v>
      </c>
      <c r="D5708" t="s">
        <v>71</v>
      </c>
      <c r="E5708" t="s">
        <v>72</v>
      </c>
      <c r="F5708" t="s">
        <v>81</v>
      </c>
    </row>
    <row r="5709" spans="1:6" x14ac:dyDescent="0.45">
      <c r="A5709">
        <v>40</v>
      </c>
      <c r="B5709">
        <v>11</v>
      </c>
      <c r="C5709">
        <v>26000</v>
      </c>
      <c r="D5709" t="s">
        <v>71</v>
      </c>
      <c r="E5709" t="s">
        <v>74</v>
      </c>
      <c r="F5709" t="s">
        <v>81</v>
      </c>
    </row>
    <row r="5710" spans="1:6" x14ac:dyDescent="0.45">
      <c r="A5710">
        <v>35</v>
      </c>
      <c r="B5710">
        <v>11</v>
      </c>
      <c r="C5710">
        <v>26000</v>
      </c>
      <c r="D5710" t="s">
        <v>71</v>
      </c>
      <c r="E5710" t="s">
        <v>72</v>
      </c>
      <c r="F5710" t="s">
        <v>81</v>
      </c>
    </row>
    <row r="5711" spans="1:6" x14ac:dyDescent="0.45">
      <c r="A5711">
        <v>40</v>
      </c>
      <c r="B5711">
        <v>11</v>
      </c>
      <c r="C5711">
        <v>28000</v>
      </c>
      <c r="D5711" t="s">
        <v>75</v>
      </c>
      <c r="E5711" t="s">
        <v>72</v>
      </c>
      <c r="F5711" t="s">
        <v>81</v>
      </c>
    </row>
    <row r="5712" spans="1:6" x14ac:dyDescent="0.45">
      <c r="A5712">
        <v>40</v>
      </c>
      <c r="B5712">
        <v>11</v>
      </c>
      <c r="C5712">
        <v>28000</v>
      </c>
      <c r="D5712" t="s">
        <v>71</v>
      </c>
      <c r="E5712" t="s">
        <v>74</v>
      </c>
      <c r="F5712" t="s">
        <v>81</v>
      </c>
    </row>
    <row r="5713" spans="1:6" x14ac:dyDescent="0.45">
      <c r="A5713">
        <v>40</v>
      </c>
      <c r="B5713">
        <v>11</v>
      </c>
      <c r="C5713">
        <v>28000</v>
      </c>
      <c r="D5713" t="s">
        <v>71</v>
      </c>
      <c r="E5713" t="s">
        <v>74</v>
      </c>
      <c r="F5713" t="s">
        <v>81</v>
      </c>
    </row>
    <row r="5714" spans="1:6" x14ac:dyDescent="0.45">
      <c r="A5714">
        <v>40</v>
      </c>
      <c r="B5714">
        <v>11</v>
      </c>
      <c r="C5714">
        <v>28000</v>
      </c>
      <c r="D5714" t="s">
        <v>76</v>
      </c>
      <c r="E5714" t="s">
        <v>74</v>
      </c>
      <c r="F5714" t="s">
        <v>81</v>
      </c>
    </row>
    <row r="5715" spans="1:6" x14ac:dyDescent="0.45">
      <c r="A5715">
        <v>40</v>
      </c>
      <c r="B5715">
        <v>11</v>
      </c>
      <c r="C5715">
        <v>28000</v>
      </c>
      <c r="D5715" t="s">
        <v>71</v>
      </c>
      <c r="E5715" t="s">
        <v>72</v>
      </c>
      <c r="F5715" t="s">
        <v>81</v>
      </c>
    </row>
    <row r="5716" spans="1:6" x14ac:dyDescent="0.45">
      <c r="A5716">
        <v>55</v>
      </c>
      <c r="B5716">
        <v>11</v>
      </c>
      <c r="C5716">
        <v>28000</v>
      </c>
      <c r="D5716" t="s">
        <v>71</v>
      </c>
      <c r="E5716" t="s">
        <v>74</v>
      </c>
      <c r="F5716" t="s">
        <v>81</v>
      </c>
    </row>
    <row r="5717" spans="1:6" x14ac:dyDescent="0.45">
      <c r="A5717">
        <v>40</v>
      </c>
      <c r="B5717">
        <v>11</v>
      </c>
      <c r="C5717">
        <v>28600</v>
      </c>
      <c r="D5717" t="s">
        <v>71</v>
      </c>
      <c r="E5717" t="s">
        <v>74</v>
      </c>
      <c r="F5717" t="s">
        <v>81</v>
      </c>
    </row>
    <row r="5718" spans="1:6" x14ac:dyDescent="0.45">
      <c r="A5718">
        <v>40</v>
      </c>
      <c r="B5718">
        <v>11</v>
      </c>
      <c r="C5718">
        <v>28750</v>
      </c>
      <c r="D5718" t="s">
        <v>71</v>
      </c>
      <c r="E5718" t="s">
        <v>74</v>
      </c>
      <c r="F5718" t="s">
        <v>81</v>
      </c>
    </row>
    <row r="5719" spans="1:6" x14ac:dyDescent="0.45">
      <c r="A5719">
        <v>40</v>
      </c>
      <c r="B5719">
        <v>11</v>
      </c>
      <c r="C5719">
        <v>30000</v>
      </c>
      <c r="D5719" t="s">
        <v>71</v>
      </c>
      <c r="E5719" t="s">
        <v>74</v>
      </c>
      <c r="F5719" t="s">
        <v>81</v>
      </c>
    </row>
    <row r="5720" spans="1:6" x14ac:dyDescent="0.45">
      <c r="A5720">
        <v>50</v>
      </c>
      <c r="B5720">
        <v>11</v>
      </c>
      <c r="C5720">
        <v>30000</v>
      </c>
      <c r="D5720" t="s">
        <v>71</v>
      </c>
      <c r="E5720" t="s">
        <v>74</v>
      </c>
      <c r="F5720" t="s">
        <v>81</v>
      </c>
    </row>
    <row r="5721" spans="1:6" x14ac:dyDescent="0.45">
      <c r="A5721">
        <v>50</v>
      </c>
      <c r="B5721">
        <v>11</v>
      </c>
      <c r="C5721">
        <v>30000</v>
      </c>
      <c r="D5721" t="s">
        <v>71</v>
      </c>
      <c r="E5721" t="s">
        <v>72</v>
      </c>
      <c r="F5721" t="s">
        <v>81</v>
      </c>
    </row>
    <row r="5722" spans="1:6" x14ac:dyDescent="0.45">
      <c r="A5722">
        <v>45</v>
      </c>
      <c r="B5722">
        <v>11</v>
      </c>
      <c r="C5722">
        <v>30000</v>
      </c>
      <c r="D5722" t="s">
        <v>71</v>
      </c>
      <c r="E5722" t="s">
        <v>74</v>
      </c>
      <c r="F5722" t="s">
        <v>81</v>
      </c>
    </row>
    <row r="5723" spans="1:6" x14ac:dyDescent="0.45">
      <c r="A5723">
        <v>40</v>
      </c>
      <c r="B5723">
        <v>11</v>
      </c>
      <c r="C5723">
        <v>30000</v>
      </c>
      <c r="D5723" t="s">
        <v>71</v>
      </c>
      <c r="E5723" t="s">
        <v>74</v>
      </c>
      <c r="F5723" t="s">
        <v>81</v>
      </c>
    </row>
    <row r="5724" spans="1:6" x14ac:dyDescent="0.45">
      <c r="A5724">
        <v>40</v>
      </c>
      <c r="B5724">
        <v>11</v>
      </c>
      <c r="C5724">
        <v>30000</v>
      </c>
      <c r="D5724" t="s">
        <v>71</v>
      </c>
      <c r="E5724" t="s">
        <v>74</v>
      </c>
      <c r="F5724" t="s">
        <v>81</v>
      </c>
    </row>
    <row r="5725" spans="1:6" x14ac:dyDescent="0.45">
      <c r="A5725">
        <v>50</v>
      </c>
      <c r="B5725">
        <v>11</v>
      </c>
      <c r="C5725">
        <v>30800</v>
      </c>
      <c r="D5725" t="s">
        <v>71</v>
      </c>
      <c r="E5725" t="s">
        <v>72</v>
      </c>
      <c r="F5725" t="s">
        <v>81</v>
      </c>
    </row>
    <row r="5726" spans="1:6" x14ac:dyDescent="0.45">
      <c r="A5726">
        <v>44</v>
      </c>
      <c r="B5726">
        <v>11</v>
      </c>
      <c r="C5726">
        <v>31376</v>
      </c>
      <c r="D5726" t="s">
        <v>71</v>
      </c>
      <c r="E5726" t="s">
        <v>74</v>
      </c>
      <c r="F5726" t="s">
        <v>81</v>
      </c>
    </row>
    <row r="5727" spans="1:6" x14ac:dyDescent="0.45">
      <c r="A5727">
        <v>40</v>
      </c>
      <c r="B5727">
        <v>11</v>
      </c>
      <c r="C5727">
        <v>33235</v>
      </c>
      <c r="D5727" t="s">
        <v>76</v>
      </c>
      <c r="E5727" t="s">
        <v>74</v>
      </c>
      <c r="F5727" t="s">
        <v>81</v>
      </c>
    </row>
    <row r="5728" spans="1:6" x14ac:dyDescent="0.45">
      <c r="A5728">
        <v>0</v>
      </c>
      <c r="B5728">
        <v>11</v>
      </c>
      <c r="C5728">
        <v>34400</v>
      </c>
      <c r="D5728" t="s">
        <v>71</v>
      </c>
      <c r="E5728" t="s">
        <v>72</v>
      </c>
      <c r="F5728" t="s">
        <v>81</v>
      </c>
    </row>
    <row r="5729" spans="1:6" x14ac:dyDescent="0.45">
      <c r="A5729">
        <v>50</v>
      </c>
      <c r="B5729">
        <v>11</v>
      </c>
      <c r="C5729">
        <v>35000</v>
      </c>
      <c r="D5729" t="s">
        <v>71</v>
      </c>
      <c r="E5729" t="s">
        <v>74</v>
      </c>
      <c r="F5729" t="s">
        <v>81</v>
      </c>
    </row>
    <row r="5730" spans="1:6" x14ac:dyDescent="0.45">
      <c r="A5730">
        <v>40</v>
      </c>
      <c r="B5730">
        <v>11</v>
      </c>
      <c r="C5730">
        <v>35000</v>
      </c>
      <c r="D5730" t="s">
        <v>77</v>
      </c>
      <c r="E5730" t="s">
        <v>74</v>
      </c>
      <c r="F5730" t="s">
        <v>81</v>
      </c>
    </row>
    <row r="5731" spans="1:6" x14ac:dyDescent="0.45">
      <c r="A5731">
        <v>40</v>
      </c>
      <c r="B5731">
        <v>11</v>
      </c>
      <c r="C5731">
        <v>36000</v>
      </c>
      <c r="D5731" t="s">
        <v>71</v>
      </c>
      <c r="E5731" t="s">
        <v>74</v>
      </c>
      <c r="F5731" t="s">
        <v>81</v>
      </c>
    </row>
    <row r="5732" spans="1:6" x14ac:dyDescent="0.45">
      <c r="A5732">
        <v>50</v>
      </c>
      <c r="B5732">
        <v>11</v>
      </c>
      <c r="C5732">
        <v>37000</v>
      </c>
      <c r="D5732" t="s">
        <v>71</v>
      </c>
      <c r="E5732" t="s">
        <v>74</v>
      </c>
      <c r="F5732" t="s">
        <v>81</v>
      </c>
    </row>
    <row r="5733" spans="1:6" x14ac:dyDescent="0.45">
      <c r="A5733">
        <v>55</v>
      </c>
      <c r="B5733">
        <v>11</v>
      </c>
      <c r="C5733">
        <v>37000</v>
      </c>
      <c r="D5733" t="s">
        <v>71</v>
      </c>
      <c r="E5733" t="s">
        <v>74</v>
      </c>
      <c r="F5733" t="s">
        <v>81</v>
      </c>
    </row>
    <row r="5734" spans="1:6" x14ac:dyDescent="0.45">
      <c r="A5734">
        <v>35</v>
      </c>
      <c r="B5734">
        <v>11</v>
      </c>
      <c r="C5734">
        <v>37000</v>
      </c>
      <c r="D5734" t="s">
        <v>71</v>
      </c>
      <c r="E5734" t="s">
        <v>74</v>
      </c>
      <c r="F5734" t="s">
        <v>81</v>
      </c>
    </row>
    <row r="5735" spans="1:6" x14ac:dyDescent="0.45">
      <c r="A5735">
        <v>40</v>
      </c>
      <c r="B5735">
        <v>11</v>
      </c>
      <c r="C5735">
        <v>38000</v>
      </c>
      <c r="D5735" t="s">
        <v>71</v>
      </c>
      <c r="E5735" t="s">
        <v>74</v>
      </c>
      <c r="F5735" t="s">
        <v>81</v>
      </c>
    </row>
    <row r="5736" spans="1:6" x14ac:dyDescent="0.45">
      <c r="A5736">
        <v>0</v>
      </c>
      <c r="B5736">
        <v>11</v>
      </c>
      <c r="C5736">
        <v>38000</v>
      </c>
      <c r="D5736" t="s">
        <v>71</v>
      </c>
      <c r="E5736" t="s">
        <v>74</v>
      </c>
      <c r="F5736" t="s">
        <v>81</v>
      </c>
    </row>
    <row r="5737" spans="1:6" x14ac:dyDescent="0.45">
      <c r="A5737">
        <v>40</v>
      </c>
      <c r="B5737">
        <v>11</v>
      </c>
      <c r="C5737">
        <v>38000</v>
      </c>
      <c r="D5737" t="s">
        <v>71</v>
      </c>
      <c r="E5737" t="s">
        <v>74</v>
      </c>
      <c r="F5737" t="s">
        <v>81</v>
      </c>
    </row>
    <row r="5738" spans="1:6" x14ac:dyDescent="0.45">
      <c r="A5738">
        <v>45</v>
      </c>
      <c r="B5738">
        <v>11</v>
      </c>
      <c r="C5738">
        <v>38600</v>
      </c>
      <c r="D5738" t="s">
        <v>71</v>
      </c>
      <c r="E5738" t="s">
        <v>74</v>
      </c>
      <c r="F5738" t="s">
        <v>81</v>
      </c>
    </row>
    <row r="5739" spans="1:6" x14ac:dyDescent="0.45">
      <c r="A5739">
        <v>40</v>
      </c>
      <c r="B5739">
        <v>11</v>
      </c>
      <c r="C5739">
        <v>40000</v>
      </c>
      <c r="D5739" t="s">
        <v>76</v>
      </c>
      <c r="E5739" t="s">
        <v>74</v>
      </c>
      <c r="F5739" t="s">
        <v>81</v>
      </c>
    </row>
    <row r="5740" spans="1:6" x14ac:dyDescent="0.45">
      <c r="A5740">
        <v>45</v>
      </c>
      <c r="B5740">
        <v>11</v>
      </c>
      <c r="C5740">
        <v>40000</v>
      </c>
      <c r="D5740" t="s">
        <v>71</v>
      </c>
      <c r="E5740" t="s">
        <v>74</v>
      </c>
      <c r="F5740" t="s">
        <v>81</v>
      </c>
    </row>
    <row r="5741" spans="1:6" x14ac:dyDescent="0.45">
      <c r="A5741">
        <v>40</v>
      </c>
      <c r="B5741">
        <v>11</v>
      </c>
      <c r="C5741">
        <v>42000</v>
      </c>
      <c r="D5741" t="s">
        <v>76</v>
      </c>
      <c r="E5741" t="s">
        <v>72</v>
      </c>
      <c r="F5741" t="s">
        <v>81</v>
      </c>
    </row>
    <row r="5742" spans="1:6" x14ac:dyDescent="0.45">
      <c r="A5742">
        <v>50</v>
      </c>
      <c r="B5742">
        <v>11</v>
      </c>
      <c r="C5742">
        <v>43000</v>
      </c>
      <c r="D5742" t="s">
        <v>71</v>
      </c>
      <c r="E5742" t="s">
        <v>74</v>
      </c>
      <c r="F5742" t="s">
        <v>81</v>
      </c>
    </row>
    <row r="5743" spans="1:6" x14ac:dyDescent="0.45">
      <c r="A5743">
        <v>52</v>
      </c>
      <c r="B5743">
        <v>11</v>
      </c>
      <c r="C5743">
        <v>45000</v>
      </c>
      <c r="D5743" t="s">
        <v>71</v>
      </c>
      <c r="E5743" t="s">
        <v>72</v>
      </c>
      <c r="F5743" t="s">
        <v>81</v>
      </c>
    </row>
    <row r="5744" spans="1:6" x14ac:dyDescent="0.45">
      <c r="A5744">
        <v>40</v>
      </c>
      <c r="B5744">
        <v>11</v>
      </c>
      <c r="C5744">
        <v>47000</v>
      </c>
      <c r="D5744" t="s">
        <v>71</v>
      </c>
      <c r="E5744" t="s">
        <v>72</v>
      </c>
      <c r="F5744" t="s">
        <v>81</v>
      </c>
    </row>
    <row r="5745" spans="1:6" x14ac:dyDescent="0.45">
      <c r="A5745">
        <v>40</v>
      </c>
      <c r="B5745">
        <v>11</v>
      </c>
      <c r="C5745">
        <v>49537</v>
      </c>
      <c r="D5745" t="s">
        <v>71</v>
      </c>
      <c r="E5745" t="s">
        <v>74</v>
      </c>
      <c r="F5745" t="s">
        <v>81</v>
      </c>
    </row>
    <row r="5746" spans="1:6" x14ac:dyDescent="0.45">
      <c r="A5746">
        <v>0</v>
      </c>
      <c r="B5746">
        <v>11</v>
      </c>
      <c r="C5746">
        <v>50000</v>
      </c>
      <c r="D5746" t="s">
        <v>71</v>
      </c>
      <c r="E5746" t="s">
        <v>74</v>
      </c>
      <c r="F5746" t="s">
        <v>81</v>
      </c>
    </row>
    <row r="5747" spans="1:6" x14ac:dyDescent="0.45">
      <c r="A5747">
        <v>40</v>
      </c>
      <c r="B5747">
        <v>11</v>
      </c>
      <c r="C5747">
        <v>50000</v>
      </c>
      <c r="D5747" t="s">
        <v>71</v>
      </c>
      <c r="E5747" t="s">
        <v>74</v>
      </c>
      <c r="F5747" t="s">
        <v>81</v>
      </c>
    </row>
    <row r="5748" spans="1:6" x14ac:dyDescent="0.45">
      <c r="A5748">
        <v>70</v>
      </c>
      <c r="B5748">
        <v>11</v>
      </c>
      <c r="C5748">
        <v>54000</v>
      </c>
      <c r="D5748" t="s">
        <v>71</v>
      </c>
      <c r="E5748" t="s">
        <v>74</v>
      </c>
      <c r="F5748" t="s">
        <v>81</v>
      </c>
    </row>
    <row r="5749" spans="1:6" x14ac:dyDescent="0.45">
      <c r="A5749">
        <v>40</v>
      </c>
      <c r="B5749">
        <v>11</v>
      </c>
      <c r="C5749">
        <v>55000</v>
      </c>
      <c r="D5749" t="s">
        <v>71</v>
      </c>
      <c r="E5749" t="s">
        <v>74</v>
      </c>
      <c r="F5749" t="s">
        <v>81</v>
      </c>
    </row>
    <row r="5750" spans="1:6" x14ac:dyDescent="0.45">
      <c r="A5750">
        <v>40</v>
      </c>
      <c r="B5750">
        <v>11</v>
      </c>
      <c r="C5750">
        <v>56550</v>
      </c>
      <c r="D5750" t="s">
        <v>71</v>
      </c>
      <c r="E5750" t="s">
        <v>74</v>
      </c>
      <c r="F5750" t="s">
        <v>81</v>
      </c>
    </row>
    <row r="5751" spans="1:6" x14ac:dyDescent="0.45">
      <c r="A5751">
        <v>40</v>
      </c>
      <c r="B5751">
        <v>11</v>
      </c>
      <c r="C5751">
        <v>60600</v>
      </c>
      <c r="D5751" t="s">
        <v>71</v>
      </c>
      <c r="E5751" t="s">
        <v>74</v>
      </c>
      <c r="F5751" t="s">
        <v>81</v>
      </c>
    </row>
    <row r="5752" spans="1:6" x14ac:dyDescent="0.45">
      <c r="A5752">
        <v>40</v>
      </c>
      <c r="B5752">
        <v>11</v>
      </c>
      <c r="C5752">
        <v>70000</v>
      </c>
      <c r="D5752" t="s">
        <v>71</v>
      </c>
      <c r="E5752" t="s">
        <v>74</v>
      </c>
      <c r="F5752" t="s">
        <v>81</v>
      </c>
    </row>
    <row r="5753" spans="1:6" x14ac:dyDescent="0.45">
      <c r="A5753">
        <v>35</v>
      </c>
      <c r="B5753">
        <v>10</v>
      </c>
      <c r="C5753">
        <v>750</v>
      </c>
      <c r="D5753" t="s">
        <v>71</v>
      </c>
      <c r="E5753" t="s">
        <v>72</v>
      </c>
      <c r="F5753" t="s">
        <v>81</v>
      </c>
    </row>
    <row r="5754" spans="1:6" x14ac:dyDescent="0.45">
      <c r="A5754">
        <v>40</v>
      </c>
      <c r="B5754">
        <v>10</v>
      </c>
      <c r="C5754">
        <v>842</v>
      </c>
      <c r="D5754" t="s">
        <v>71</v>
      </c>
      <c r="E5754" t="s">
        <v>72</v>
      </c>
      <c r="F5754" t="s">
        <v>81</v>
      </c>
    </row>
    <row r="5755" spans="1:6" x14ac:dyDescent="0.45">
      <c r="A5755">
        <v>40</v>
      </c>
      <c r="B5755">
        <v>10</v>
      </c>
      <c r="C5755">
        <v>2000</v>
      </c>
      <c r="D5755" t="s">
        <v>71</v>
      </c>
      <c r="E5755" t="s">
        <v>72</v>
      </c>
      <c r="F5755" t="s">
        <v>81</v>
      </c>
    </row>
    <row r="5756" spans="1:6" x14ac:dyDescent="0.45">
      <c r="A5756">
        <v>40</v>
      </c>
      <c r="B5756">
        <v>10</v>
      </c>
      <c r="C5756">
        <v>2500</v>
      </c>
      <c r="D5756" t="s">
        <v>71</v>
      </c>
      <c r="E5756" t="s">
        <v>72</v>
      </c>
      <c r="F5756" t="s">
        <v>81</v>
      </c>
    </row>
    <row r="5757" spans="1:6" x14ac:dyDescent="0.45">
      <c r="A5757">
        <v>40</v>
      </c>
      <c r="B5757">
        <v>10</v>
      </c>
      <c r="C5757">
        <v>2500</v>
      </c>
      <c r="D5757" t="s">
        <v>71</v>
      </c>
      <c r="E5757" t="s">
        <v>72</v>
      </c>
      <c r="F5757" t="s">
        <v>81</v>
      </c>
    </row>
    <row r="5758" spans="1:6" x14ac:dyDescent="0.45">
      <c r="A5758">
        <v>60</v>
      </c>
      <c r="B5758">
        <v>10</v>
      </c>
      <c r="C5758">
        <v>3000</v>
      </c>
      <c r="D5758" t="s">
        <v>71</v>
      </c>
      <c r="E5758" t="s">
        <v>72</v>
      </c>
      <c r="F5758" t="s">
        <v>81</v>
      </c>
    </row>
    <row r="5759" spans="1:6" x14ac:dyDescent="0.45">
      <c r="A5759">
        <v>40</v>
      </c>
      <c r="B5759">
        <v>10</v>
      </c>
      <c r="C5759">
        <v>3200</v>
      </c>
      <c r="D5759" t="s">
        <v>71</v>
      </c>
      <c r="E5759" t="s">
        <v>74</v>
      </c>
      <c r="F5759" t="s">
        <v>81</v>
      </c>
    </row>
    <row r="5760" spans="1:6" x14ac:dyDescent="0.45">
      <c r="A5760">
        <v>36</v>
      </c>
      <c r="B5760">
        <v>10</v>
      </c>
      <c r="C5760">
        <v>5100</v>
      </c>
      <c r="D5760" t="s">
        <v>71</v>
      </c>
      <c r="E5760" t="s">
        <v>74</v>
      </c>
      <c r="F5760" t="s">
        <v>81</v>
      </c>
    </row>
    <row r="5761" spans="1:6" x14ac:dyDescent="0.45">
      <c r="A5761">
        <v>40</v>
      </c>
      <c r="B5761">
        <v>10</v>
      </c>
      <c r="C5761">
        <v>5500</v>
      </c>
      <c r="D5761" t="s">
        <v>71</v>
      </c>
      <c r="E5761" t="s">
        <v>72</v>
      </c>
      <c r="F5761" t="s">
        <v>81</v>
      </c>
    </row>
    <row r="5762" spans="1:6" x14ac:dyDescent="0.45">
      <c r="A5762">
        <v>40</v>
      </c>
      <c r="B5762">
        <v>10</v>
      </c>
      <c r="C5762">
        <v>6000</v>
      </c>
      <c r="D5762" t="s">
        <v>71</v>
      </c>
      <c r="E5762" t="s">
        <v>74</v>
      </c>
      <c r="F5762" t="s">
        <v>81</v>
      </c>
    </row>
    <row r="5763" spans="1:6" x14ac:dyDescent="0.45">
      <c r="A5763">
        <v>45</v>
      </c>
      <c r="B5763">
        <v>10</v>
      </c>
      <c r="C5763">
        <v>6000</v>
      </c>
      <c r="D5763" t="s">
        <v>71</v>
      </c>
      <c r="E5763" t="s">
        <v>74</v>
      </c>
      <c r="F5763" t="s">
        <v>81</v>
      </c>
    </row>
    <row r="5764" spans="1:6" x14ac:dyDescent="0.45">
      <c r="A5764">
        <v>40</v>
      </c>
      <c r="B5764">
        <v>10</v>
      </c>
      <c r="C5764">
        <v>6500</v>
      </c>
      <c r="D5764" t="s">
        <v>71</v>
      </c>
      <c r="E5764" t="s">
        <v>72</v>
      </c>
      <c r="F5764" t="s">
        <v>81</v>
      </c>
    </row>
    <row r="5765" spans="1:6" x14ac:dyDescent="0.45">
      <c r="A5765">
        <v>40</v>
      </c>
      <c r="B5765">
        <v>10</v>
      </c>
      <c r="C5765">
        <v>6600</v>
      </c>
      <c r="D5765" t="s">
        <v>71</v>
      </c>
      <c r="E5765" t="s">
        <v>74</v>
      </c>
      <c r="F5765" t="s">
        <v>81</v>
      </c>
    </row>
    <row r="5766" spans="1:6" x14ac:dyDescent="0.45">
      <c r="A5766">
        <v>40</v>
      </c>
      <c r="B5766">
        <v>10</v>
      </c>
      <c r="C5766">
        <v>7000</v>
      </c>
      <c r="D5766" t="s">
        <v>71</v>
      </c>
      <c r="E5766" t="s">
        <v>74</v>
      </c>
      <c r="F5766" t="s">
        <v>81</v>
      </c>
    </row>
    <row r="5767" spans="1:6" x14ac:dyDescent="0.45">
      <c r="A5767">
        <v>40</v>
      </c>
      <c r="B5767">
        <v>10</v>
      </c>
      <c r="C5767">
        <v>7670</v>
      </c>
      <c r="D5767" t="s">
        <v>76</v>
      </c>
      <c r="E5767" t="s">
        <v>72</v>
      </c>
      <c r="F5767" t="s">
        <v>81</v>
      </c>
    </row>
    <row r="5768" spans="1:6" x14ac:dyDescent="0.45">
      <c r="A5768">
        <v>40</v>
      </c>
      <c r="B5768">
        <v>10</v>
      </c>
      <c r="C5768">
        <v>8000</v>
      </c>
      <c r="D5768" t="s">
        <v>71</v>
      </c>
      <c r="E5768" t="s">
        <v>72</v>
      </c>
      <c r="F5768" t="s">
        <v>81</v>
      </c>
    </row>
    <row r="5769" spans="1:6" x14ac:dyDescent="0.45">
      <c r="A5769">
        <v>40</v>
      </c>
      <c r="B5769">
        <v>10</v>
      </c>
      <c r="C5769">
        <v>9000</v>
      </c>
      <c r="D5769" t="s">
        <v>75</v>
      </c>
      <c r="E5769" t="s">
        <v>72</v>
      </c>
      <c r="F5769" t="s">
        <v>81</v>
      </c>
    </row>
    <row r="5770" spans="1:6" x14ac:dyDescent="0.45">
      <c r="A5770">
        <v>48</v>
      </c>
      <c r="B5770">
        <v>10</v>
      </c>
      <c r="C5770">
        <v>9000</v>
      </c>
      <c r="D5770" t="s">
        <v>71</v>
      </c>
      <c r="E5770" t="s">
        <v>72</v>
      </c>
      <c r="F5770" t="s">
        <v>81</v>
      </c>
    </row>
    <row r="5771" spans="1:6" x14ac:dyDescent="0.45">
      <c r="A5771">
        <v>40</v>
      </c>
      <c r="B5771">
        <v>10</v>
      </c>
      <c r="C5771">
        <v>9754</v>
      </c>
      <c r="D5771" t="s">
        <v>71</v>
      </c>
      <c r="E5771" t="s">
        <v>74</v>
      </c>
      <c r="F5771" t="s">
        <v>81</v>
      </c>
    </row>
    <row r="5772" spans="1:6" x14ac:dyDescent="0.45">
      <c r="A5772">
        <v>40</v>
      </c>
      <c r="B5772">
        <v>10</v>
      </c>
      <c r="C5772">
        <v>10000</v>
      </c>
      <c r="D5772" t="s">
        <v>71</v>
      </c>
      <c r="E5772" t="s">
        <v>74</v>
      </c>
      <c r="F5772" t="s">
        <v>81</v>
      </c>
    </row>
    <row r="5773" spans="1:6" x14ac:dyDescent="0.45">
      <c r="A5773">
        <v>40</v>
      </c>
      <c r="B5773">
        <v>10</v>
      </c>
      <c r="C5773">
        <v>10000</v>
      </c>
      <c r="D5773" t="s">
        <v>71</v>
      </c>
      <c r="E5773" t="s">
        <v>72</v>
      </c>
      <c r="F5773" t="s">
        <v>81</v>
      </c>
    </row>
    <row r="5774" spans="1:6" x14ac:dyDescent="0.45">
      <c r="A5774">
        <v>40</v>
      </c>
      <c r="B5774">
        <v>10</v>
      </c>
      <c r="C5774">
        <v>10000</v>
      </c>
      <c r="D5774" t="s">
        <v>76</v>
      </c>
      <c r="E5774" t="s">
        <v>74</v>
      </c>
      <c r="F5774" t="s">
        <v>81</v>
      </c>
    </row>
    <row r="5775" spans="1:6" x14ac:dyDescent="0.45">
      <c r="A5775">
        <v>40</v>
      </c>
      <c r="B5775">
        <v>10</v>
      </c>
      <c r="C5775">
        <v>10400</v>
      </c>
      <c r="D5775" t="s">
        <v>76</v>
      </c>
      <c r="E5775" t="s">
        <v>72</v>
      </c>
      <c r="F5775" t="s">
        <v>81</v>
      </c>
    </row>
    <row r="5776" spans="1:6" x14ac:dyDescent="0.45">
      <c r="A5776">
        <v>40</v>
      </c>
      <c r="B5776">
        <v>10</v>
      </c>
      <c r="C5776">
        <v>10400</v>
      </c>
      <c r="D5776" t="s">
        <v>71</v>
      </c>
      <c r="E5776" t="s">
        <v>72</v>
      </c>
      <c r="F5776" t="s">
        <v>81</v>
      </c>
    </row>
    <row r="5777" spans="1:6" x14ac:dyDescent="0.45">
      <c r="A5777">
        <v>35</v>
      </c>
      <c r="B5777">
        <v>10</v>
      </c>
      <c r="C5777">
        <v>11000</v>
      </c>
      <c r="D5777" t="s">
        <v>71</v>
      </c>
      <c r="E5777" t="s">
        <v>72</v>
      </c>
      <c r="F5777" t="s">
        <v>81</v>
      </c>
    </row>
    <row r="5778" spans="1:6" x14ac:dyDescent="0.45">
      <c r="A5778">
        <v>40</v>
      </c>
      <c r="B5778">
        <v>10</v>
      </c>
      <c r="C5778">
        <v>11000</v>
      </c>
      <c r="D5778" t="s">
        <v>71</v>
      </c>
      <c r="E5778" t="s">
        <v>74</v>
      </c>
      <c r="F5778" t="s">
        <v>81</v>
      </c>
    </row>
    <row r="5779" spans="1:6" x14ac:dyDescent="0.45">
      <c r="A5779">
        <v>0</v>
      </c>
      <c r="B5779">
        <v>10</v>
      </c>
      <c r="C5779">
        <v>11440</v>
      </c>
      <c r="D5779" t="s">
        <v>76</v>
      </c>
      <c r="E5779" t="s">
        <v>74</v>
      </c>
      <c r="F5779" t="s">
        <v>81</v>
      </c>
    </row>
    <row r="5780" spans="1:6" x14ac:dyDescent="0.45">
      <c r="A5780">
        <v>40</v>
      </c>
      <c r="B5780">
        <v>10</v>
      </c>
      <c r="C5780">
        <v>12000</v>
      </c>
      <c r="D5780" t="s">
        <v>71</v>
      </c>
      <c r="E5780" t="s">
        <v>72</v>
      </c>
      <c r="F5780" t="s">
        <v>81</v>
      </c>
    </row>
    <row r="5781" spans="1:6" x14ac:dyDescent="0.45">
      <c r="A5781">
        <v>40</v>
      </c>
      <c r="B5781">
        <v>10</v>
      </c>
      <c r="C5781">
        <v>12000</v>
      </c>
      <c r="D5781" t="s">
        <v>71</v>
      </c>
      <c r="E5781" t="s">
        <v>74</v>
      </c>
      <c r="F5781" t="s">
        <v>81</v>
      </c>
    </row>
    <row r="5782" spans="1:6" x14ac:dyDescent="0.45">
      <c r="A5782">
        <v>0</v>
      </c>
      <c r="B5782">
        <v>10</v>
      </c>
      <c r="C5782">
        <v>12000</v>
      </c>
      <c r="D5782" t="s">
        <v>71</v>
      </c>
      <c r="E5782" t="s">
        <v>74</v>
      </c>
      <c r="F5782" t="s">
        <v>81</v>
      </c>
    </row>
    <row r="5783" spans="1:6" x14ac:dyDescent="0.45">
      <c r="A5783">
        <v>55</v>
      </c>
      <c r="B5783">
        <v>10</v>
      </c>
      <c r="C5783">
        <v>12000</v>
      </c>
      <c r="D5783" t="s">
        <v>71</v>
      </c>
      <c r="E5783" t="s">
        <v>74</v>
      </c>
      <c r="F5783" t="s">
        <v>81</v>
      </c>
    </row>
    <row r="5784" spans="1:6" x14ac:dyDescent="0.45">
      <c r="A5784">
        <v>40</v>
      </c>
      <c r="B5784">
        <v>10</v>
      </c>
      <c r="C5784">
        <v>12999</v>
      </c>
      <c r="D5784" t="s">
        <v>71</v>
      </c>
      <c r="E5784" t="s">
        <v>74</v>
      </c>
      <c r="F5784" t="s">
        <v>81</v>
      </c>
    </row>
    <row r="5785" spans="1:6" x14ac:dyDescent="0.45">
      <c r="A5785">
        <v>40</v>
      </c>
      <c r="B5785">
        <v>10</v>
      </c>
      <c r="C5785">
        <v>13000</v>
      </c>
      <c r="D5785" t="s">
        <v>71</v>
      </c>
      <c r="E5785" t="s">
        <v>72</v>
      </c>
      <c r="F5785" t="s">
        <v>81</v>
      </c>
    </row>
    <row r="5786" spans="1:6" x14ac:dyDescent="0.45">
      <c r="A5786">
        <v>39</v>
      </c>
      <c r="B5786">
        <v>10</v>
      </c>
      <c r="C5786">
        <v>13080</v>
      </c>
      <c r="D5786" t="s">
        <v>71</v>
      </c>
      <c r="E5786" t="s">
        <v>72</v>
      </c>
      <c r="F5786" t="s">
        <v>81</v>
      </c>
    </row>
    <row r="5787" spans="1:6" x14ac:dyDescent="0.45">
      <c r="A5787">
        <v>0</v>
      </c>
      <c r="B5787">
        <v>10</v>
      </c>
      <c r="C5787">
        <v>13600</v>
      </c>
      <c r="D5787" t="s">
        <v>71</v>
      </c>
      <c r="E5787" t="s">
        <v>74</v>
      </c>
      <c r="F5787" t="s">
        <v>81</v>
      </c>
    </row>
    <row r="5788" spans="1:6" x14ac:dyDescent="0.45">
      <c r="A5788">
        <v>40</v>
      </c>
      <c r="B5788">
        <v>10</v>
      </c>
      <c r="C5788">
        <v>14000</v>
      </c>
      <c r="D5788" t="s">
        <v>76</v>
      </c>
      <c r="E5788" t="s">
        <v>72</v>
      </c>
      <c r="F5788" t="s">
        <v>81</v>
      </c>
    </row>
    <row r="5789" spans="1:6" x14ac:dyDescent="0.45">
      <c r="A5789">
        <v>40</v>
      </c>
      <c r="B5789">
        <v>10</v>
      </c>
      <c r="C5789">
        <v>14000</v>
      </c>
      <c r="D5789" t="s">
        <v>71</v>
      </c>
      <c r="E5789" t="s">
        <v>72</v>
      </c>
      <c r="F5789" t="s">
        <v>81</v>
      </c>
    </row>
    <row r="5790" spans="1:6" x14ac:dyDescent="0.45">
      <c r="A5790">
        <v>40</v>
      </c>
      <c r="B5790">
        <v>10</v>
      </c>
      <c r="C5790">
        <v>14200</v>
      </c>
      <c r="D5790" t="s">
        <v>71</v>
      </c>
      <c r="E5790" t="s">
        <v>74</v>
      </c>
      <c r="F5790" t="s">
        <v>81</v>
      </c>
    </row>
    <row r="5791" spans="1:6" x14ac:dyDescent="0.45">
      <c r="A5791">
        <v>40</v>
      </c>
      <c r="B5791">
        <v>10</v>
      </c>
      <c r="C5791">
        <v>14200</v>
      </c>
      <c r="D5791" t="s">
        <v>71</v>
      </c>
      <c r="E5791" t="s">
        <v>74</v>
      </c>
      <c r="F5791" t="s">
        <v>81</v>
      </c>
    </row>
    <row r="5792" spans="1:6" x14ac:dyDescent="0.45">
      <c r="A5792">
        <v>40</v>
      </c>
      <c r="B5792">
        <v>10</v>
      </c>
      <c r="C5792">
        <v>14248</v>
      </c>
      <c r="D5792" t="s">
        <v>76</v>
      </c>
      <c r="E5792" t="s">
        <v>72</v>
      </c>
      <c r="F5792" t="s">
        <v>81</v>
      </c>
    </row>
    <row r="5793" spans="1:6" x14ac:dyDescent="0.45">
      <c r="A5793">
        <v>40</v>
      </c>
      <c r="B5793">
        <v>10</v>
      </c>
      <c r="C5793">
        <v>14560</v>
      </c>
      <c r="D5793" t="s">
        <v>71</v>
      </c>
      <c r="E5793" t="s">
        <v>72</v>
      </c>
      <c r="F5793" t="s">
        <v>81</v>
      </c>
    </row>
    <row r="5794" spans="1:6" x14ac:dyDescent="0.45">
      <c r="A5794">
        <v>40</v>
      </c>
      <c r="B5794">
        <v>10</v>
      </c>
      <c r="C5794">
        <v>15000</v>
      </c>
      <c r="D5794" t="s">
        <v>71</v>
      </c>
      <c r="E5794" t="s">
        <v>72</v>
      </c>
      <c r="F5794" t="s">
        <v>81</v>
      </c>
    </row>
    <row r="5795" spans="1:6" x14ac:dyDescent="0.45">
      <c r="A5795">
        <v>40</v>
      </c>
      <c r="B5795">
        <v>10</v>
      </c>
      <c r="C5795">
        <v>15000</v>
      </c>
      <c r="D5795" t="s">
        <v>76</v>
      </c>
      <c r="E5795" t="s">
        <v>74</v>
      </c>
      <c r="F5795" t="s">
        <v>81</v>
      </c>
    </row>
    <row r="5796" spans="1:6" x14ac:dyDescent="0.45">
      <c r="A5796">
        <v>40</v>
      </c>
      <c r="B5796">
        <v>10</v>
      </c>
      <c r="C5796">
        <v>15000</v>
      </c>
      <c r="D5796" t="s">
        <v>71</v>
      </c>
      <c r="E5796" t="s">
        <v>74</v>
      </c>
      <c r="F5796" t="s">
        <v>81</v>
      </c>
    </row>
    <row r="5797" spans="1:6" x14ac:dyDescent="0.45">
      <c r="A5797">
        <v>36</v>
      </c>
      <c r="B5797">
        <v>10</v>
      </c>
      <c r="C5797">
        <v>15360</v>
      </c>
      <c r="D5797" t="s">
        <v>71</v>
      </c>
      <c r="E5797" t="s">
        <v>74</v>
      </c>
      <c r="F5797" t="s">
        <v>81</v>
      </c>
    </row>
    <row r="5798" spans="1:6" x14ac:dyDescent="0.45">
      <c r="A5798">
        <v>40</v>
      </c>
      <c r="B5798">
        <v>10</v>
      </c>
      <c r="C5798">
        <v>16422</v>
      </c>
      <c r="D5798" t="s">
        <v>71</v>
      </c>
      <c r="E5798" t="s">
        <v>72</v>
      </c>
      <c r="F5798" t="s">
        <v>81</v>
      </c>
    </row>
    <row r="5799" spans="1:6" x14ac:dyDescent="0.45">
      <c r="A5799">
        <v>40</v>
      </c>
      <c r="B5799">
        <v>10</v>
      </c>
      <c r="C5799">
        <v>16640</v>
      </c>
      <c r="D5799" t="s">
        <v>71</v>
      </c>
      <c r="E5799" t="s">
        <v>72</v>
      </c>
      <c r="F5799" t="s">
        <v>81</v>
      </c>
    </row>
    <row r="5800" spans="1:6" x14ac:dyDescent="0.45">
      <c r="A5800">
        <v>0</v>
      </c>
      <c r="B5800">
        <v>10</v>
      </c>
      <c r="C5800">
        <v>17000</v>
      </c>
      <c r="D5800" t="s">
        <v>71</v>
      </c>
      <c r="E5800" t="s">
        <v>74</v>
      </c>
      <c r="F5800" t="s">
        <v>81</v>
      </c>
    </row>
    <row r="5801" spans="1:6" x14ac:dyDescent="0.45">
      <c r="A5801">
        <v>40</v>
      </c>
      <c r="B5801">
        <v>10</v>
      </c>
      <c r="C5801">
        <v>17000</v>
      </c>
      <c r="D5801" t="s">
        <v>76</v>
      </c>
      <c r="E5801" t="s">
        <v>72</v>
      </c>
      <c r="F5801" t="s">
        <v>81</v>
      </c>
    </row>
    <row r="5802" spans="1:6" x14ac:dyDescent="0.45">
      <c r="A5802">
        <v>45</v>
      </c>
      <c r="B5802">
        <v>10</v>
      </c>
      <c r="C5802">
        <v>17000</v>
      </c>
      <c r="D5802" t="s">
        <v>71</v>
      </c>
      <c r="E5802" t="s">
        <v>74</v>
      </c>
      <c r="F5802" t="s">
        <v>81</v>
      </c>
    </row>
    <row r="5803" spans="1:6" x14ac:dyDescent="0.45">
      <c r="A5803">
        <v>55</v>
      </c>
      <c r="B5803">
        <v>10</v>
      </c>
      <c r="C5803">
        <v>17500</v>
      </c>
      <c r="D5803" t="s">
        <v>71</v>
      </c>
      <c r="E5803" t="s">
        <v>72</v>
      </c>
      <c r="F5803" t="s">
        <v>81</v>
      </c>
    </row>
    <row r="5804" spans="1:6" x14ac:dyDescent="0.45">
      <c r="A5804">
        <v>40</v>
      </c>
      <c r="B5804">
        <v>10</v>
      </c>
      <c r="C5804">
        <v>17900</v>
      </c>
      <c r="D5804" t="s">
        <v>71</v>
      </c>
      <c r="E5804" t="s">
        <v>72</v>
      </c>
      <c r="F5804" t="s">
        <v>81</v>
      </c>
    </row>
    <row r="5805" spans="1:6" x14ac:dyDescent="0.45">
      <c r="A5805">
        <v>0</v>
      </c>
      <c r="B5805">
        <v>10</v>
      </c>
      <c r="C5805">
        <v>18000</v>
      </c>
      <c r="D5805" t="s">
        <v>71</v>
      </c>
      <c r="E5805" t="s">
        <v>72</v>
      </c>
      <c r="F5805" t="s">
        <v>81</v>
      </c>
    </row>
    <row r="5806" spans="1:6" x14ac:dyDescent="0.45">
      <c r="A5806">
        <v>50</v>
      </c>
      <c r="B5806">
        <v>10</v>
      </c>
      <c r="C5806">
        <v>18000</v>
      </c>
      <c r="D5806" t="s">
        <v>71</v>
      </c>
      <c r="E5806" t="s">
        <v>74</v>
      </c>
      <c r="F5806" t="s">
        <v>81</v>
      </c>
    </row>
    <row r="5807" spans="1:6" x14ac:dyDescent="0.45">
      <c r="A5807">
        <v>40</v>
      </c>
      <c r="B5807">
        <v>10</v>
      </c>
      <c r="C5807">
        <v>18000</v>
      </c>
      <c r="D5807" t="s">
        <v>76</v>
      </c>
      <c r="E5807" t="s">
        <v>74</v>
      </c>
      <c r="F5807" t="s">
        <v>81</v>
      </c>
    </row>
    <row r="5808" spans="1:6" x14ac:dyDescent="0.45">
      <c r="A5808">
        <v>40</v>
      </c>
      <c r="B5808">
        <v>10</v>
      </c>
      <c r="C5808">
        <v>18000</v>
      </c>
      <c r="D5808" t="s">
        <v>71</v>
      </c>
      <c r="E5808" t="s">
        <v>72</v>
      </c>
      <c r="F5808" t="s">
        <v>81</v>
      </c>
    </row>
    <row r="5809" spans="1:6" x14ac:dyDescent="0.45">
      <c r="A5809">
        <v>40</v>
      </c>
      <c r="B5809">
        <v>10</v>
      </c>
      <c r="C5809">
        <v>18000</v>
      </c>
      <c r="D5809" t="s">
        <v>71</v>
      </c>
      <c r="E5809" t="s">
        <v>74</v>
      </c>
      <c r="F5809" t="s">
        <v>81</v>
      </c>
    </row>
    <row r="5810" spans="1:6" x14ac:dyDescent="0.45">
      <c r="A5810">
        <v>40</v>
      </c>
      <c r="B5810">
        <v>10</v>
      </c>
      <c r="C5810">
        <v>18200</v>
      </c>
      <c r="D5810" t="s">
        <v>71</v>
      </c>
      <c r="E5810" t="s">
        <v>72</v>
      </c>
      <c r="F5810" t="s">
        <v>81</v>
      </c>
    </row>
    <row r="5811" spans="1:6" x14ac:dyDescent="0.45">
      <c r="A5811">
        <v>40</v>
      </c>
      <c r="B5811">
        <v>10</v>
      </c>
      <c r="C5811">
        <v>18720</v>
      </c>
      <c r="D5811" t="s">
        <v>71</v>
      </c>
      <c r="E5811" t="s">
        <v>74</v>
      </c>
      <c r="F5811" t="s">
        <v>81</v>
      </c>
    </row>
    <row r="5812" spans="1:6" x14ac:dyDescent="0.45">
      <c r="A5812">
        <v>40</v>
      </c>
      <c r="B5812">
        <v>10</v>
      </c>
      <c r="C5812">
        <v>18800</v>
      </c>
      <c r="D5812" t="s">
        <v>71</v>
      </c>
      <c r="E5812" t="s">
        <v>72</v>
      </c>
      <c r="F5812" t="s">
        <v>81</v>
      </c>
    </row>
    <row r="5813" spans="1:6" x14ac:dyDescent="0.45">
      <c r="A5813">
        <v>40</v>
      </c>
      <c r="B5813">
        <v>10</v>
      </c>
      <c r="C5813">
        <v>19000</v>
      </c>
      <c r="D5813" t="s">
        <v>71</v>
      </c>
      <c r="E5813" t="s">
        <v>74</v>
      </c>
      <c r="F5813" t="s">
        <v>81</v>
      </c>
    </row>
    <row r="5814" spans="1:6" x14ac:dyDescent="0.45">
      <c r="A5814">
        <v>52</v>
      </c>
      <c r="B5814">
        <v>10</v>
      </c>
      <c r="C5814">
        <v>19980</v>
      </c>
      <c r="D5814" t="s">
        <v>71</v>
      </c>
      <c r="E5814" t="s">
        <v>74</v>
      </c>
      <c r="F5814" t="s">
        <v>81</v>
      </c>
    </row>
    <row r="5815" spans="1:6" x14ac:dyDescent="0.45">
      <c r="A5815">
        <v>40</v>
      </c>
      <c r="B5815">
        <v>10</v>
      </c>
      <c r="C5815">
        <v>20000</v>
      </c>
      <c r="D5815" t="s">
        <v>71</v>
      </c>
      <c r="E5815" t="s">
        <v>72</v>
      </c>
      <c r="F5815" t="s">
        <v>81</v>
      </c>
    </row>
    <row r="5816" spans="1:6" x14ac:dyDescent="0.45">
      <c r="A5816">
        <v>40</v>
      </c>
      <c r="B5816">
        <v>10</v>
      </c>
      <c r="C5816">
        <v>20000</v>
      </c>
      <c r="D5816" t="s">
        <v>71</v>
      </c>
      <c r="E5816" t="s">
        <v>74</v>
      </c>
      <c r="F5816" t="s">
        <v>81</v>
      </c>
    </row>
    <row r="5817" spans="1:6" x14ac:dyDescent="0.45">
      <c r="A5817">
        <v>35</v>
      </c>
      <c r="B5817">
        <v>10</v>
      </c>
      <c r="C5817">
        <v>20000</v>
      </c>
      <c r="D5817" t="s">
        <v>71</v>
      </c>
      <c r="E5817" t="s">
        <v>74</v>
      </c>
      <c r="F5817" t="s">
        <v>81</v>
      </c>
    </row>
    <row r="5818" spans="1:6" x14ac:dyDescent="0.45">
      <c r="A5818">
        <v>45</v>
      </c>
      <c r="B5818">
        <v>10</v>
      </c>
      <c r="C5818">
        <v>21000</v>
      </c>
      <c r="D5818" t="s">
        <v>71</v>
      </c>
      <c r="E5818" t="s">
        <v>72</v>
      </c>
      <c r="F5818" t="s">
        <v>81</v>
      </c>
    </row>
    <row r="5819" spans="1:6" x14ac:dyDescent="0.45">
      <c r="A5819">
        <v>40</v>
      </c>
      <c r="B5819">
        <v>10</v>
      </c>
      <c r="C5819">
        <v>21000</v>
      </c>
      <c r="D5819" t="s">
        <v>71</v>
      </c>
      <c r="E5819" t="s">
        <v>74</v>
      </c>
      <c r="F5819" t="s">
        <v>81</v>
      </c>
    </row>
    <row r="5820" spans="1:6" x14ac:dyDescent="0.45">
      <c r="A5820">
        <v>48</v>
      </c>
      <c r="B5820">
        <v>10</v>
      </c>
      <c r="C5820">
        <v>21600</v>
      </c>
      <c r="D5820" t="s">
        <v>71</v>
      </c>
      <c r="E5820" t="s">
        <v>74</v>
      </c>
      <c r="F5820" t="s">
        <v>81</v>
      </c>
    </row>
    <row r="5821" spans="1:6" x14ac:dyDescent="0.45">
      <c r="A5821">
        <v>50</v>
      </c>
      <c r="B5821">
        <v>10</v>
      </c>
      <c r="C5821">
        <v>22000</v>
      </c>
      <c r="D5821" t="s">
        <v>71</v>
      </c>
      <c r="E5821" t="s">
        <v>74</v>
      </c>
      <c r="F5821" t="s">
        <v>81</v>
      </c>
    </row>
    <row r="5822" spans="1:6" x14ac:dyDescent="0.45">
      <c r="A5822">
        <v>40</v>
      </c>
      <c r="B5822">
        <v>10</v>
      </c>
      <c r="C5822">
        <v>22000</v>
      </c>
      <c r="D5822" t="s">
        <v>71</v>
      </c>
      <c r="E5822" t="s">
        <v>74</v>
      </c>
      <c r="F5822" t="s">
        <v>81</v>
      </c>
    </row>
    <row r="5823" spans="1:6" x14ac:dyDescent="0.45">
      <c r="A5823">
        <v>40</v>
      </c>
      <c r="B5823">
        <v>10</v>
      </c>
      <c r="C5823">
        <v>22100</v>
      </c>
      <c r="D5823" t="s">
        <v>71</v>
      </c>
      <c r="E5823" t="s">
        <v>74</v>
      </c>
      <c r="F5823" t="s">
        <v>81</v>
      </c>
    </row>
    <row r="5824" spans="1:6" x14ac:dyDescent="0.45">
      <c r="A5824">
        <v>40</v>
      </c>
      <c r="B5824">
        <v>10</v>
      </c>
      <c r="C5824">
        <v>23000</v>
      </c>
      <c r="D5824" t="s">
        <v>77</v>
      </c>
      <c r="E5824" t="s">
        <v>72</v>
      </c>
      <c r="F5824" t="s">
        <v>81</v>
      </c>
    </row>
    <row r="5825" spans="1:6" x14ac:dyDescent="0.45">
      <c r="A5825">
        <v>40</v>
      </c>
      <c r="B5825">
        <v>10</v>
      </c>
      <c r="C5825">
        <v>23000</v>
      </c>
      <c r="D5825" t="s">
        <v>71</v>
      </c>
      <c r="E5825" t="s">
        <v>74</v>
      </c>
      <c r="F5825" t="s">
        <v>81</v>
      </c>
    </row>
    <row r="5826" spans="1:6" x14ac:dyDescent="0.45">
      <c r="A5826">
        <v>0</v>
      </c>
      <c r="B5826">
        <v>10</v>
      </c>
      <c r="C5826">
        <v>23000</v>
      </c>
      <c r="D5826" t="s">
        <v>71</v>
      </c>
      <c r="E5826" t="s">
        <v>74</v>
      </c>
      <c r="F5826" t="s">
        <v>81</v>
      </c>
    </row>
    <row r="5827" spans="1:6" x14ac:dyDescent="0.45">
      <c r="A5827">
        <v>50</v>
      </c>
      <c r="B5827">
        <v>10</v>
      </c>
      <c r="C5827">
        <v>24000</v>
      </c>
      <c r="D5827" t="s">
        <v>71</v>
      </c>
      <c r="E5827" t="s">
        <v>74</v>
      </c>
      <c r="F5827" t="s">
        <v>81</v>
      </c>
    </row>
    <row r="5828" spans="1:6" x14ac:dyDescent="0.45">
      <c r="A5828">
        <v>55</v>
      </c>
      <c r="B5828">
        <v>10</v>
      </c>
      <c r="C5828">
        <v>24000</v>
      </c>
      <c r="D5828" t="s">
        <v>71</v>
      </c>
      <c r="E5828" t="s">
        <v>74</v>
      </c>
      <c r="F5828" t="s">
        <v>81</v>
      </c>
    </row>
    <row r="5829" spans="1:6" x14ac:dyDescent="0.45">
      <c r="A5829">
        <v>40</v>
      </c>
      <c r="B5829">
        <v>10</v>
      </c>
      <c r="C5829">
        <v>24400</v>
      </c>
      <c r="D5829" t="s">
        <v>71</v>
      </c>
      <c r="E5829" t="s">
        <v>74</v>
      </c>
      <c r="F5829" t="s">
        <v>81</v>
      </c>
    </row>
    <row r="5830" spans="1:6" x14ac:dyDescent="0.45">
      <c r="A5830">
        <v>40</v>
      </c>
      <c r="B5830">
        <v>10</v>
      </c>
      <c r="C5830">
        <v>25000</v>
      </c>
      <c r="D5830" t="s">
        <v>76</v>
      </c>
      <c r="E5830" t="s">
        <v>74</v>
      </c>
      <c r="F5830" t="s">
        <v>81</v>
      </c>
    </row>
    <row r="5831" spans="1:6" x14ac:dyDescent="0.45">
      <c r="A5831">
        <v>48</v>
      </c>
      <c r="B5831">
        <v>10</v>
      </c>
      <c r="C5831">
        <v>25000</v>
      </c>
      <c r="D5831" t="s">
        <v>71</v>
      </c>
      <c r="E5831" t="s">
        <v>74</v>
      </c>
      <c r="F5831" t="s">
        <v>81</v>
      </c>
    </row>
    <row r="5832" spans="1:6" x14ac:dyDescent="0.45">
      <c r="A5832">
        <v>50</v>
      </c>
      <c r="B5832">
        <v>10</v>
      </c>
      <c r="C5832">
        <v>25000</v>
      </c>
      <c r="D5832" t="s">
        <v>71</v>
      </c>
      <c r="E5832" t="s">
        <v>74</v>
      </c>
      <c r="F5832" t="s">
        <v>81</v>
      </c>
    </row>
    <row r="5833" spans="1:6" x14ac:dyDescent="0.45">
      <c r="A5833">
        <v>40</v>
      </c>
      <c r="B5833">
        <v>10</v>
      </c>
      <c r="C5833">
        <v>25000</v>
      </c>
      <c r="D5833" t="s">
        <v>71</v>
      </c>
      <c r="E5833" t="s">
        <v>72</v>
      </c>
      <c r="F5833" t="s">
        <v>81</v>
      </c>
    </row>
    <row r="5834" spans="1:6" x14ac:dyDescent="0.45">
      <c r="A5834">
        <v>40</v>
      </c>
      <c r="B5834">
        <v>10</v>
      </c>
      <c r="C5834">
        <v>25000</v>
      </c>
      <c r="D5834" t="s">
        <v>71</v>
      </c>
      <c r="E5834" t="s">
        <v>74</v>
      </c>
      <c r="F5834" t="s">
        <v>81</v>
      </c>
    </row>
    <row r="5835" spans="1:6" x14ac:dyDescent="0.45">
      <c r="A5835">
        <v>40</v>
      </c>
      <c r="B5835">
        <v>10</v>
      </c>
      <c r="C5835">
        <v>27200</v>
      </c>
      <c r="D5835" t="s">
        <v>71</v>
      </c>
      <c r="E5835" t="s">
        <v>74</v>
      </c>
      <c r="F5835" t="s">
        <v>81</v>
      </c>
    </row>
    <row r="5836" spans="1:6" x14ac:dyDescent="0.45">
      <c r="A5836">
        <v>0</v>
      </c>
      <c r="B5836">
        <v>10</v>
      </c>
      <c r="C5836">
        <v>27900</v>
      </c>
      <c r="D5836" t="s">
        <v>71</v>
      </c>
      <c r="E5836" t="s">
        <v>74</v>
      </c>
      <c r="F5836" t="s">
        <v>81</v>
      </c>
    </row>
    <row r="5837" spans="1:6" x14ac:dyDescent="0.45">
      <c r="A5837">
        <v>40</v>
      </c>
      <c r="B5837">
        <v>10</v>
      </c>
      <c r="C5837">
        <v>28000</v>
      </c>
      <c r="D5837" t="s">
        <v>71</v>
      </c>
      <c r="E5837" t="s">
        <v>74</v>
      </c>
      <c r="F5837" t="s">
        <v>81</v>
      </c>
    </row>
    <row r="5838" spans="1:6" x14ac:dyDescent="0.45">
      <c r="A5838">
        <v>55</v>
      </c>
      <c r="B5838">
        <v>10</v>
      </c>
      <c r="C5838">
        <v>28500</v>
      </c>
      <c r="D5838" t="s">
        <v>71</v>
      </c>
      <c r="E5838" t="s">
        <v>74</v>
      </c>
      <c r="F5838" t="s">
        <v>81</v>
      </c>
    </row>
    <row r="5839" spans="1:6" x14ac:dyDescent="0.45">
      <c r="A5839">
        <v>40</v>
      </c>
      <c r="B5839">
        <v>10</v>
      </c>
      <c r="C5839">
        <v>28800</v>
      </c>
      <c r="D5839" t="s">
        <v>71</v>
      </c>
      <c r="E5839" t="s">
        <v>74</v>
      </c>
      <c r="F5839" t="s">
        <v>81</v>
      </c>
    </row>
    <row r="5840" spans="1:6" x14ac:dyDescent="0.45">
      <c r="A5840">
        <v>40</v>
      </c>
      <c r="B5840">
        <v>10</v>
      </c>
      <c r="C5840">
        <v>30000</v>
      </c>
      <c r="D5840" t="s">
        <v>71</v>
      </c>
      <c r="E5840" t="s">
        <v>74</v>
      </c>
      <c r="F5840" t="s">
        <v>81</v>
      </c>
    </row>
    <row r="5841" spans="1:6" x14ac:dyDescent="0.45">
      <c r="A5841">
        <v>0</v>
      </c>
      <c r="B5841">
        <v>10</v>
      </c>
      <c r="C5841">
        <v>30000</v>
      </c>
      <c r="D5841" t="s">
        <v>71</v>
      </c>
      <c r="E5841" t="s">
        <v>74</v>
      </c>
      <c r="F5841" t="s">
        <v>81</v>
      </c>
    </row>
    <row r="5842" spans="1:6" x14ac:dyDescent="0.45">
      <c r="A5842">
        <v>40</v>
      </c>
      <c r="B5842">
        <v>10</v>
      </c>
      <c r="C5842">
        <v>30000</v>
      </c>
      <c r="D5842" t="s">
        <v>71</v>
      </c>
      <c r="E5842" t="s">
        <v>74</v>
      </c>
      <c r="F5842" t="s">
        <v>81</v>
      </c>
    </row>
    <row r="5843" spans="1:6" x14ac:dyDescent="0.45">
      <c r="A5843">
        <v>40</v>
      </c>
      <c r="B5843">
        <v>10</v>
      </c>
      <c r="C5843">
        <v>30000</v>
      </c>
      <c r="D5843" t="s">
        <v>71</v>
      </c>
      <c r="E5843" t="s">
        <v>74</v>
      </c>
      <c r="F5843" t="s">
        <v>81</v>
      </c>
    </row>
    <row r="5844" spans="1:6" x14ac:dyDescent="0.45">
      <c r="A5844">
        <v>50</v>
      </c>
      <c r="B5844">
        <v>10</v>
      </c>
      <c r="C5844">
        <v>30000</v>
      </c>
      <c r="D5844" t="s">
        <v>71</v>
      </c>
      <c r="E5844" t="s">
        <v>74</v>
      </c>
      <c r="F5844" t="s">
        <v>81</v>
      </c>
    </row>
    <row r="5845" spans="1:6" x14ac:dyDescent="0.45">
      <c r="A5845">
        <v>50</v>
      </c>
      <c r="B5845">
        <v>10</v>
      </c>
      <c r="C5845">
        <v>31000</v>
      </c>
      <c r="D5845" t="s">
        <v>71</v>
      </c>
      <c r="E5845" t="s">
        <v>74</v>
      </c>
      <c r="F5845" t="s">
        <v>81</v>
      </c>
    </row>
    <row r="5846" spans="1:6" x14ac:dyDescent="0.45">
      <c r="A5846">
        <v>40</v>
      </c>
      <c r="B5846">
        <v>10</v>
      </c>
      <c r="C5846">
        <v>31169</v>
      </c>
      <c r="D5846" t="s">
        <v>71</v>
      </c>
      <c r="E5846" t="s">
        <v>74</v>
      </c>
      <c r="F5846" t="s">
        <v>81</v>
      </c>
    </row>
    <row r="5847" spans="1:6" x14ac:dyDescent="0.45">
      <c r="A5847">
        <v>40</v>
      </c>
      <c r="B5847">
        <v>10</v>
      </c>
      <c r="C5847">
        <v>31200</v>
      </c>
      <c r="D5847" t="s">
        <v>76</v>
      </c>
      <c r="E5847" t="s">
        <v>72</v>
      </c>
      <c r="F5847" t="s">
        <v>81</v>
      </c>
    </row>
    <row r="5848" spans="1:6" x14ac:dyDescent="0.45">
      <c r="A5848">
        <v>40</v>
      </c>
      <c r="B5848">
        <v>10</v>
      </c>
      <c r="C5848">
        <v>31200</v>
      </c>
      <c r="D5848" t="s">
        <v>71</v>
      </c>
      <c r="E5848" t="s">
        <v>72</v>
      </c>
      <c r="F5848" t="s">
        <v>81</v>
      </c>
    </row>
    <row r="5849" spans="1:6" x14ac:dyDescent="0.45">
      <c r="A5849">
        <v>72</v>
      </c>
      <c r="B5849">
        <v>10</v>
      </c>
      <c r="C5849">
        <v>32000</v>
      </c>
      <c r="D5849" t="s">
        <v>71</v>
      </c>
      <c r="E5849" t="s">
        <v>74</v>
      </c>
      <c r="F5849" t="s">
        <v>81</v>
      </c>
    </row>
    <row r="5850" spans="1:6" x14ac:dyDescent="0.45">
      <c r="A5850">
        <v>75</v>
      </c>
      <c r="B5850">
        <v>10</v>
      </c>
      <c r="C5850">
        <v>32479</v>
      </c>
      <c r="D5850" t="s">
        <v>71</v>
      </c>
      <c r="E5850" t="s">
        <v>74</v>
      </c>
      <c r="F5850" t="s">
        <v>81</v>
      </c>
    </row>
    <row r="5851" spans="1:6" x14ac:dyDescent="0.45">
      <c r="A5851">
        <v>40</v>
      </c>
      <c r="B5851">
        <v>10</v>
      </c>
      <c r="C5851">
        <v>33000</v>
      </c>
      <c r="D5851" t="s">
        <v>71</v>
      </c>
      <c r="E5851" t="s">
        <v>74</v>
      </c>
      <c r="F5851" t="s">
        <v>81</v>
      </c>
    </row>
    <row r="5852" spans="1:6" x14ac:dyDescent="0.45">
      <c r="A5852">
        <v>45</v>
      </c>
      <c r="B5852">
        <v>10</v>
      </c>
      <c r="C5852">
        <v>33000</v>
      </c>
      <c r="D5852" t="s">
        <v>71</v>
      </c>
      <c r="E5852" t="s">
        <v>74</v>
      </c>
      <c r="F5852" t="s">
        <v>81</v>
      </c>
    </row>
    <row r="5853" spans="1:6" x14ac:dyDescent="0.45">
      <c r="A5853">
        <v>60</v>
      </c>
      <c r="B5853">
        <v>10</v>
      </c>
      <c r="C5853">
        <v>34000</v>
      </c>
      <c r="D5853" t="s">
        <v>77</v>
      </c>
      <c r="E5853" t="s">
        <v>74</v>
      </c>
      <c r="F5853" t="s">
        <v>81</v>
      </c>
    </row>
    <row r="5854" spans="1:6" x14ac:dyDescent="0.45">
      <c r="A5854">
        <v>40</v>
      </c>
      <c r="B5854">
        <v>10</v>
      </c>
      <c r="C5854">
        <v>34000</v>
      </c>
      <c r="D5854" t="s">
        <v>76</v>
      </c>
      <c r="E5854" t="s">
        <v>74</v>
      </c>
      <c r="F5854" t="s">
        <v>81</v>
      </c>
    </row>
    <row r="5855" spans="1:6" x14ac:dyDescent="0.45">
      <c r="A5855">
        <v>35</v>
      </c>
      <c r="B5855">
        <v>10</v>
      </c>
      <c r="C5855">
        <v>35000</v>
      </c>
      <c r="D5855" t="s">
        <v>71</v>
      </c>
      <c r="E5855" t="s">
        <v>74</v>
      </c>
      <c r="F5855" t="s">
        <v>81</v>
      </c>
    </row>
    <row r="5856" spans="1:6" x14ac:dyDescent="0.45">
      <c r="A5856">
        <v>40</v>
      </c>
      <c r="B5856">
        <v>10</v>
      </c>
      <c r="C5856">
        <v>35000</v>
      </c>
      <c r="D5856" t="s">
        <v>71</v>
      </c>
      <c r="E5856" t="s">
        <v>74</v>
      </c>
      <c r="F5856" t="s">
        <v>81</v>
      </c>
    </row>
    <row r="5857" spans="1:6" x14ac:dyDescent="0.45">
      <c r="A5857">
        <v>40</v>
      </c>
      <c r="B5857">
        <v>10</v>
      </c>
      <c r="C5857">
        <v>35000</v>
      </c>
      <c r="D5857" t="s">
        <v>71</v>
      </c>
      <c r="E5857" t="s">
        <v>74</v>
      </c>
      <c r="F5857" t="s">
        <v>81</v>
      </c>
    </row>
    <row r="5858" spans="1:6" x14ac:dyDescent="0.45">
      <c r="A5858">
        <v>40</v>
      </c>
      <c r="B5858">
        <v>10</v>
      </c>
      <c r="C5858">
        <v>36000</v>
      </c>
      <c r="D5858" t="s">
        <v>71</v>
      </c>
      <c r="E5858" t="s">
        <v>74</v>
      </c>
      <c r="F5858" t="s">
        <v>81</v>
      </c>
    </row>
    <row r="5859" spans="1:6" x14ac:dyDescent="0.45">
      <c r="A5859">
        <v>40</v>
      </c>
      <c r="B5859">
        <v>10</v>
      </c>
      <c r="C5859">
        <v>38000</v>
      </c>
      <c r="D5859" t="s">
        <v>71</v>
      </c>
      <c r="E5859" t="s">
        <v>74</v>
      </c>
      <c r="F5859" t="s">
        <v>81</v>
      </c>
    </row>
    <row r="5860" spans="1:6" x14ac:dyDescent="0.45">
      <c r="A5860">
        <v>40</v>
      </c>
      <c r="B5860">
        <v>10</v>
      </c>
      <c r="C5860">
        <v>38000</v>
      </c>
      <c r="D5860" t="s">
        <v>71</v>
      </c>
      <c r="E5860" t="s">
        <v>74</v>
      </c>
      <c r="F5860" t="s">
        <v>81</v>
      </c>
    </row>
    <row r="5861" spans="1:6" x14ac:dyDescent="0.45">
      <c r="A5861">
        <v>40</v>
      </c>
      <c r="B5861">
        <v>10</v>
      </c>
      <c r="C5861">
        <v>40000</v>
      </c>
      <c r="D5861" t="s">
        <v>71</v>
      </c>
      <c r="E5861" t="s">
        <v>72</v>
      </c>
      <c r="F5861" t="s">
        <v>81</v>
      </c>
    </row>
    <row r="5862" spans="1:6" x14ac:dyDescent="0.45">
      <c r="A5862">
        <v>40</v>
      </c>
      <c r="B5862">
        <v>10</v>
      </c>
      <c r="C5862">
        <v>40000</v>
      </c>
      <c r="D5862" t="s">
        <v>71</v>
      </c>
      <c r="E5862" t="s">
        <v>74</v>
      </c>
      <c r="F5862" t="s">
        <v>81</v>
      </c>
    </row>
    <row r="5863" spans="1:6" x14ac:dyDescent="0.45">
      <c r="A5863">
        <v>65</v>
      </c>
      <c r="B5863">
        <v>10</v>
      </c>
      <c r="C5863">
        <v>40000</v>
      </c>
      <c r="D5863" t="s">
        <v>77</v>
      </c>
      <c r="E5863" t="s">
        <v>74</v>
      </c>
      <c r="F5863" t="s">
        <v>81</v>
      </c>
    </row>
    <row r="5864" spans="1:6" x14ac:dyDescent="0.45">
      <c r="A5864">
        <v>40</v>
      </c>
      <c r="B5864">
        <v>10</v>
      </c>
      <c r="C5864">
        <v>40000</v>
      </c>
      <c r="D5864" t="s">
        <v>71</v>
      </c>
      <c r="E5864" t="s">
        <v>74</v>
      </c>
      <c r="F5864" t="s">
        <v>81</v>
      </c>
    </row>
    <row r="5865" spans="1:6" x14ac:dyDescent="0.45">
      <c r="A5865">
        <v>50</v>
      </c>
      <c r="B5865">
        <v>10</v>
      </c>
      <c r="C5865">
        <v>45000</v>
      </c>
      <c r="D5865" t="s">
        <v>71</v>
      </c>
      <c r="E5865" t="s">
        <v>74</v>
      </c>
      <c r="F5865" t="s">
        <v>81</v>
      </c>
    </row>
    <row r="5866" spans="1:6" x14ac:dyDescent="0.45">
      <c r="A5866">
        <v>35</v>
      </c>
      <c r="B5866">
        <v>10</v>
      </c>
      <c r="C5866">
        <v>51500</v>
      </c>
      <c r="D5866" t="s">
        <v>71</v>
      </c>
      <c r="E5866" t="s">
        <v>74</v>
      </c>
      <c r="F5866" t="s">
        <v>81</v>
      </c>
    </row>
    <row r="5867" spans="1:6" x14ac:dyDescent="0.45">
      <c r="A5867">
        <v>50</v>
      </c>
      <c r="B5867">
        <v>10</v>
      </c>
      <c r="C5867">
        <v>55000</v>
      </c>
      <c r="D5867" t="s">
        <v>71</v>
      </c>
      <c r="E5867" t="s">
        <v>74</v>
      </c>
      <c r="F5867" t="s">
        <v>81</v>
      </c>
    </row>
    <row r="5868" spans="1:6" x14ac:dyDescent="0.45">
      <c r="A5868">
        <v>40</v>
      </c>
      <c r="B5868">
        <v>10</v>
      </c>
      <c r="C5868">
        <v>64000</v>
      </c>
      <c r="D5868" t="s">
        <v>71</v>
      </c>
      <c r="E5868" t="s">
        <v>74</v>
      </c>
      <c r="F5868" t="s">
        <v>81</v>
      </c>
    </row>
    <row r="5869" spans="1:6" x14ac:dyDescent="0.45">
      <c r="A5869">
        <v>40</v>
      </c>
      <c r="B5869">
        <v>10</v>
      </c>
      <c r="C5869">
        <v>77005</v>
      </c>
      <c r="D5869" t="s">
        <v>71</v>
      </c>
      <c r="E5869" t="s">
        <v>74</v>
      </c>
      <c r="F5869" t="s">
        <v>81</v>
      </c>
    </row>
    <row r="5870" spans="1:6" x14ac:dyDescent="0.45">
      <c r="A5870">
        <v>35</v>
      </c>
      <c r="B5870">
        <v>10</v>
      </c>
      <c r="C5870">
        <v>94000</v>
      </c>
      <c r="D5870" t="s">
        <v>71</v>
      </c>
      <c r="E5870" t="s">
        <v>74</v>
      </c>
      <c r="F5870" t="s">
        <v>81</v>
      </c>
    </row>
    <row r="5871" spans="1:6" x14ac:dyDescent="0.45">
      <c r="A5871">
        <v>40</v>
      </c>
      <c r="B5871">
        <v>9</v>
      </c>
      <c r="C5871">
        <v>412</v>
      </c>
      <c r="D5871" t="s">
        <v>76</v>
      </c>
      <c r="E5871" t="s">
        <v>74</v>
      </c>
      <c r="F5871" t="s">
        <v>81</v>
      </c>
    </row>
    <row r="5872" spans="1:6" x14ac:dyDescent="0.45">
      <c r="A5872">
        <v>0</v>
      </c>
      <c r="B5872">
        <v>9</v>
      </c>
      <c r="C5872">
        <v>3000</v>
      </c>
      <c r="D5872" t="s">
        <v>71</v>
      </c>
      <c r="E5872" t="s">
        <v>74</v>
      </c>
      <c r="F5872" t="s">
        <v>81</v>
      </c>
    </row>
    <row r="5873" spans="1:6" x14ac:dyDescent="0.45">
      <c r="A5873">
        <v>45</v>
      </c>
      <c r="B5873">
        <v>9</v>
      </c>
      <c r="C5873">
        <v>4000</v>
      </c>
      <c r="D5873" t="s">
        <v>71</v>
      </c>
      <c r="E5873" t="s">
        <v>74</v>
      </c>
      <c r="F5873" t="s">
        <v>81</v>
      </c>
    </row>
    <row r="5874" spans="1:6" x14ac:dyDescent="0.45">
      <c r="A5874">
        <v>50</v>
      </c>
      <c r="B5874">
        <v>9</v>
      </c>
      <c r="C5874">
        <v>8000</v>
      </c>
      <c r="D5874" t="s">
        <v>71</v>
      </c>
      <c r="E5874" t="s">
        <v>72</v>
      </c>
      <c r="F5874" t="s">
        <v>81</v>
      </c>
    </row>
    <row r="5875" spans="1:6" x14ac:dyDescent="0.45">
      <c r="A5875">
        <v>40</v>
      </c>
      <c r="B5875">
        <v>9</v>
      </c>
      <c r="C5875">
        <v>9000</v>
      </c>
      <c r="D5875" t="s">
        <v>71</v>
      </c>
      <c r="E5875" t="s">
        <v>72</v>
      </c>
      <c r="F5875" t="s">
        <v>81</v>
      </c>
    </row>
    <row r="5876" spans="1:6" x14ac:dyDescent="0.45">
      <c r="A5876">
        <v>35</v>
      </c>
      <c r="B5876">
        <v>9</v>
      </c>
      <c r="C5876">
        <v>9079</v>
      </c>
      <c r="D5876" t="s">
        <v>71</v>
      </c>
      <c r="E5876" t="s">
        <v>72</v>
      </c>
      <c r="F5876" t="s">
        <v>81</v>
      </c>
    </row>
    <row r="5877" spans="1:6" x14ac:dyDescent="0.45">
      <c r="A5877">
        <v>40</v>
      </c>
      <c r="B5877">
        <v>9</v>
      </c>
      <c r="C5877">
        <v>10000</v>
      </c>
      <c r="D5877" t="s">
        <v>71</v>
      </c>
      <c r="E5877" t="s">
        <v>72</v>
      </c>
      <c r="F5877" t="s">
        <v>81</v>
      </c>
    </row>
    <row r="5878" spans="1:6" x14ac:dyDescent="0.45">
      <c r="A5878">
        <v>38</v>
      </c>
      <c r="B5878">
        <v>9</v>
      </c>
      <c r="C5878">
        <v>11000</v>
      </c>
      <c r="D5878" t="s">
        <v>71</v>
      </c>
      <c r="E5878" t="s">
        <v>72</v>
      </c>
      <c r="F5878" t="s">
        <v>81</v>
      </c>
    </row>
    <row r="5879" spans="1:6" x14ac:dyDescent="0.45">
      <c r="A5879">
        <v>38</v>
      </c>
      <c r="B5879">
        <v>9</v>
      </c>
      <c r="C5879">
        <v>11000</v>
      </c>
      <c r="D5879" t="s">
        <v>71</v>
      </c>
      <c r="E5879" t="s">
        <v>72</v>
      </c>
      <c r="F5879" t="s">
        <v>81</v>
      </c>
    </row>
    <row r="5880" spans="1:6" x14ac:dyDescent="0.45">
      <c r="A5880">
        <v>45</v>
      </c>
      <c r="B5880">
        <v>9</v>
      </c>
      <c r="C5880">
        <v>11000</v>
      </c>
      <c r="D5880" t="s">
        <v>76</v>
      </c>
      <c r="E5880" t="s">
        <v>72</v>
      </c>
      <c r="F5880" t="s">
        <v>81</v>
      </c>
    </row>
    <row r="5881" spans="1:6" x14ac:dyDescent="0.45">
      <c r="A5881">
        <v>40</v>
      </c>
      <c r="B5881">
        <v>9</v>
      </c>
      <c r="C5881">
        <v>11250</v>
      </c>
      <c r="D5881" t="s">
        <v>71</v>
      </c>
      <c r="E5881" t="s">
        <v>74</v>
      </c>
      <c r="F5881" t="s">
        <v>81</v>
      </c>
    </row>
    <row r="5882" spans="1:6" x14ac:dyDescent="0.45">
      <c r="A5882">
        <v>40</v>
      </c>
      <c r="B5882">
        <v>9</v>
      </c>
      <c r="C5882">
        <v>12000</v>
      </c>
      <c r="D5882" t="s">
        <v>71</v>
      </c>
      <c r="E5882" t="s">
        <v>74</v>
      </c>
      <c r="F5882" t="s">
        <v>81</v>
      </c>
    </row>
    <row r="5883" spans="1:6" x14ac:dyDescent="0.45">
      <c r="A5883">
        <v>40</v>
      </c>
      <c r="B5883">
        <v>9</v>
      </c>
      <c r="C5883">
        <v>12000</v>
      </c>
      <c r="D5883" t="s">
        <v>71</v>
      </c>
      <c r="E5883" t="s">
        <v>72</v>
      </c>
      <c r="F5883" t="s">
        <v>81</v>
      </c>
    </row>
    <row r="5884" spans="1:6" x14ac:dyDescent="0.45">
      <c r="A5884">
        <v>40</v>
      </c>
      <c r="B5884">
        <v>9</v>
      </c>
      <c r="C5884">
        <v>12480</v>
      </c>
      <c r="D5884" t="s">
        <v>71</v>
      </c>
      <c r="E5884" t="s">
        <v>74</v>
      </c>
      <c r="F5884" t="s">
        <v>81</v>
      </c>
    </row>
    <row r="5885" spans="1:6" x14ac:dyDescent="0.45">
      <c r="A5885">
        <v>38</v>
      </c>
      <c r="B5885">
        <v>9</v>
      </c>
      <c r="C5885">
        <v>12500</v>
      </c>
      <c r="D5885" t="s">
        <v>71</v>
      </c>
      <c r="E5885" t="s">
        <v>72</v>
      </c>
      <c r="F5885" t="s">
        <v>81</v>
      </c>
    </row>
    <row r="5886" spans="1:6" x14ac:dyDescent="0.45">
      <c r="A5886">
        <v>40</v>
      </c>
      <c r="B5886">
        <v>9</v>
      </c>
      <c r="C5886">
        <v>12500</v>
      </c>
      <c r="D5886" t="s">
        <v>71</v>
      </c>
      <c r="E5886" t="s">
        <v>72</v>
      </c>
      <c r="F5886" t="s">
        <v>81</v>
      </c>
    </row>
    <row r="5887" spans="1:6" x14ac:dyDescent="0.45">
      <c r="A5887">
        <v>40</v>
      </c>
      <c r="B5887">
        <v>9</v>
      </c>
      <c r="C5887">
        <v>13000</v>
      </c>
      <c r="D5887" t="s">
        <v>71</v>
      </c>
      <c r="E5887" t="s">
        <v>74</v>
      </c>
      <c r="F5887" t="s">
        <v>81</v>
      </c>
    </row>
    <row r="5888" spans="1:6" x14ac:dyDescent="0.45">
      <c r="A5888">
        <v>40</v>
      </c>
      <c r="B5888">
        <v>9</v>
      </c>
      <c r="C5888">
        <v>13520</v>
      </c>
      <c r="D5888" t="s">
        <v>75</v>
      </c>
      <c r="E5888" t="s">
        <v>74</v>
      </c>
      <c r="F5888" t="s">
        <v>81</v>
      </c>
    </row>
    <row r="5889" spans="1:6" x14ac:dyDescent="0.45">
      <c r="A5889">
        <v>40</v>
      </c>
      <c r="B5889">
        <v>9</v>
      </c>
      <c r="C5889">
        <v>14000</v>
      </c>
      <c r="D5889" t="s">
        <v>71</v>
      </c>
      <c r="E5889" t="s">
        <v>74</v>
      </c>
      <c r="F5889" t="s">
        <v>81</v>
      </c>
    </row>
    <row r="5890" spans="1:6" x14ac:dyDescent="0.45">
      <c r="A5890">
        <v>40</v>
      </c>
      <c r="B5890">
        <v>9</v>
      </c>
      <c r="C5890">
        <v>14700</v>
      </c>
      <c r="D5890" t="s">
        <v>76</v>
      </c>
      <c r="E5890" t="s">
        <v>74</v>
      </c>
      <c r="F5890" t="s">
        <v>81</v>
      </c>
    </row>
    <row r="5891" spans="1:6" x14ac:dyDescent="0.45">
      <c r="A5891">
        <v>40</v>
      </c>
      <c r="B5891">
        <v>9</v>
      </c>
      <c r="C5891">
        <v>15000</v>
      </c>
      <c r="D5891" t="s">
        <v>71</v>
      </c>
      <c r="E5891" t="s">
        <v>74</v>
      </c>
      <c r="F5891" t="s">
        <v>81</v>
      </c>
    </row>
    <row r="5892" spans="1:6" x14ac:dyDescent="0.45">
      <c r="A5892">
        <v>40</v>
      </c>
      <c r="B5892">
        <v>9</v>
      </c>
      <c r="C5892">
        <v>15400</v>
      </c>
      <c r="D5892" t="s">
        <v>75</v>
      </c>
      <c r="E5892" t="s">
        <v>74</v>
      </c>
      <c r="F5892" t="s">
        <v>81</v>
      </c>
    </row>
    <row r="5893" spans="1:6" x14ac:dyDescent="0.45">
      <c r="A5893">
        <v>40</v>
      </c>
      <c r="B5893">
        <v>9</v>
      </c>
      <c r="C5893">
        <v>15600</v>
      </c>
      <c r="D5893" t="s">
        <v>71</v>
      </c>
      <c r="E5893" t="s">
        <v>72</v>
      </c>
      <c r="F5893" t="s">
        <v>81</v>
      </c>
    </row>
    <row r="5894" spans="1:6" x14ac:dyDescent="0.45">
      <c r="A5894">
        <v>40</v>
      </c>
      <c r="B5894">
        <v>9</v>
      </c>
      <c r="C5894">
        <v>15600</v>
      </c>
      <c r="D5894" t="s">
        <v>71</v>
      </c>
      <c r="E5894" t="s">
        <v>74</v>
      </c>
      <c r="F5894" t="s">
        <v>81</v>
      </c>
    </row>
    <row r="5895" spans="1:6" x14ac:dyDescent="0.45">
      <c r="A5895">
        <v>40</v>
      </c>
      <c r="B5895">
        <v>9</v>
      </c>
      <c r="C5895">
        <v>16640</v>
      </c>
      <c r="D5895" t="s">
        <v>71</v>
      </c>
      <c r="E5895" t="s">
        <v>74</v>
      </c>
      <c r="F5895" t="s">
        <v>81</v>
      </c>
    </row>
    <row r="5896" spans="1:6" x14ac:dyDescent="0.45">
      <c r="A5896">
        <v>40</v>
      </c>
      <c r="B5896">
        <v>9</v>
      </c>
      <c r="C5896">
        <v>17850</v>
      </c>
      <c r="D5896" t="s">
        <v>71</v>
      </c>
      <c r="E5896" t="s">
        <v>74</v>
      </c>
      <c r="F5896" t="s">
        <v>81</v>
      </c>
    </row>
    <row r="5897" spans="1:6" x14ac:dyDescent="0.45">
      <c r="A5897">
        <v>40</v>
      </c>
      <c r="B5897">
        <v>9</v>
      </c>
      <c r="C5897">
        <v>18000</v>
      </c>
      <c r="D5897" t="s">
        <v>76</v>
      </c>
      <c r="E5897" t="s">
        <v>72</v>
      </c>
      <c r="F5897" t="s">
        <v>81</v>
      </c>
    </row>
    <row r="5898" spans="1:6" x14ac:dyDescent="0.45">
      <c r="A5898">
        <v>47</v>
      </c>
      <c r="B5898">
        <v>9</v>
      </c>
      <c r="C5898">
        <v>18000</v>
      </c>
      <c r="D5898" t="s">
        <v>71</v>
      </c>
      <c r="E5898" t="s">
        <v>72</v>
      </c>
      <c r="F5898" t="s">
        <v>81</v>
      </c>
    </row>
    <row r="5899" spans="1:6" x14ac:dyDescent="0.45">
      <c r="A5899">
        <v>40</v>
      </c>
      <c r="B5899">
        <v>9</v>
      </c>
      <c r="C5899">
        <v>18000</v>
      </c>
      <c r="D5899" t="s">
        <v>71</v>
      </c>
      <c r="E5899" t="s">
        <v>72</v>
      </c>
      <c r="F5899" t="s">
        <v>81</v>
      </c>
    </row>
    <row r="5900" spans="1:6" x14ac:dyDescent="0.45">
      <c r="A5900">
        <v>40</v>
      </c>
      <c r="B5900">
        <v>9</v>
      </c>
      <c r="C5900">
        <v>18300</v>
      </c>
      <c r="D5900" t="s">
        <v>71</v>
      </c>
      <c r="E5900" t="s">
        <v>74</v>
      </c>
      <c r="F5900" t="s">
        <v>81</v>
      </c>
    </row>
    <row r="5901" spans="1:6" x14ac:dyDescent="0.45">
      <c r="A5901">
        <v>40</v>
      </c>
      <c r="B5901">
        <v>9</v>
      </c>
      <c r="C5901">
        <v>20000</v>
      </c>
      <c r="D5901" t="s">
        <v>71</v>
      </c>
      <c r="E5901" t="s">
        <v>74</v>
      </c>
      <c r="F5901" t="s">
        <v>81</v>
      </c>
    </row>
    <row r="5902" spans="1:6" x14ac:dyDescent="0.45">
      <c r="A5902">
        <v>40</v>
      </c>
      <c r="B5902">
        <v>9</v>
      </c>
      <c r="C5902">
        <v>22000</v>
      </c>
      <c r="D5902" t="s">
        <v>71</v>
      </c>
      <c r="E5902" t="s">
        <v>72</v>
      </c>
      <c r="F5902" t="s">
        <v>81</v>
      </c>
    </row>
    <row r="5903" spans="1:6" x14ac:dyDescent="0.45">
      <c r="A5903">
        <v>40</v>
      </c>
      <c r="B5903">
        <v>9</v>
      </c>
      <c r="C5903">
        <v>22000</v>
      </c>
      <c r="D5903" t="s">
        <v>71</v>
      </c>
      <c r="E5903" t="s">
        <v>72</v>
      </c>
      <c r="F5903" t="s">
        <v>81</v>
      </c>
    </row>
    <row r="5904" spans="1:6" x14ac:dyDescent="0.45">
      <c r="A5904">
        <v>40</v>
      </c>
      <c r="B5904">
        <v>9</v>
      </c>
      <c r="C5904">
        <v>23000</v>
      </c>
      <c r="D5904" t="s">
        <v>71</v>
      </c>
      <c r="E5904" t="s">
        <v>74</v>
      </c>
      <c r="F5904" t="s">
        <v>81</v>
      </c>
    </row>
    <row r="5905" spans="1:6" x14ac:dyDescent="0.45">
      <c r="A5905">
        <v>40</v>
      </c>
      <c r="B5905">
        <v>9</v>
      </c>
      <c r="C5905">
        <v>26000</v>
      </c>
      <c r="D5905" t="s">
        <v>71</v>
      </c>
      <c r="E5905" t="s">
        <v>72</v>
      </c>
      <c r="F5905" t="s">
        <v>81</v>
      </c>
    </row>
    <row r="5906" spans="1:6" x14ac:dyDescent="0.45">
      <c r="A5906">
        <v>40</v>
      </c>
      <c r="B5906">
        <v>9</v>
      </c>
      <c r="C5906">
        <v>27000</v>
      </c>
      <c r="D5906" t="s">
        <v>71</v>
      </c>
      <c r="E5906" t="s">
        <v>72</v>
      </c>
      <c r="F5906" t="s">
        <v>81</v>
      </c>
    </row>
    <row r="5907" spans="1:6" x14ac:dyDescent="0.45">
      <c r="A5907">
        <v>60</v>
      </c>
      <c r="B5907">
        <v>9</v>
      </c>
      <c r="C5907">
        <v>29000</v>
      </c>
      <c r="D5907" t="s">
        <v>71</v>
      </c>
      <c r="E5907" t="s">
        <v>74</v>
      </c>
      <c r="F5907" t="s">
        <v>81</v>
      </c>
    </row>
    <row r="5908" spans="1:6" x14ac:dyDescent="0.45">
      <c r="A5908">
        <v>40</v>
      </c>
      <c r="B5908">
        <v>9</v>
      </c>
      <c r="C5908">
        <v>32000</v>
      </c>
      <c r="D5908" t="s">
        <v>71</v>
      </c>
      <c r="E5908" t="s">
        <v>74</v>
      </c>
      <c r="F5908" t="s">
        <v>81</v>
      </c>
    </row>
    <row r="5909" spans="1:6" x14ac:dyDescent="0.45">
      <c r="A5909">
        <v>40</v>
      </c>
      <c r="B5909">
        <v>9</v>
      </c>
      <c r="C5909">
        <v>35000</v>
      </c>
      <c r="D5909" t="s">
        <v>71</v>
      </c>
      <c r="E5909" t="s">
        <v>74</v>
      </c>
      <c r="F5909" t="s">
        <v>81</v>
      </c>
    </row>
    <row r="5910" spans="1:6" x14ac:dyDescent="0.45">
      <c r="A5910">
        <v>40</v>
      </c>
      <c r="B5910">
        <v>9</v>
      </c>
      <c r="C5910">
        <v>40631</v>
      </c>
      <c r="D5910" t="s">
        <v>71</v>
      </c>
      <c r="E5910" t="s">
        <v>74</v>
      </c>
      <c r="F5910" t="s">
        <v>81</v>
      </c>
    </row>
    <row r="5911" spans="1:6" x14ac:dyDescent="0.45">
      <c r="A5911">
        <v>40</v>
      </c>
      <c r="B5911">
        <v>9</v>
      </c>
      <c r="C5911">
        <v>41000</v>
      </c>
      <c r="D5911" t="s">
        <v>71</v>
      </c>
      <c r="E5911" t="s">
        <v>74</v>
      </c>
      <c r="F5911" t="s">
        <v>81</v>
      </c>
    </row>
    <row r="5912" spans="1:6" x14ac:dyDescent="0.45">
      <c r="A5912">
        <v>40</v>
      </c>
      <c r="B5912">
        <v>9</v>
      </c>
      <c r="C5912">
        <v>44000</v>
      </c>
      <c r="D5912" t="s">
        <v>71</v>
      </c>
      <c r="E5912" t="s">
        <v>74</v>
      </c>
      <c r="F5912" t="s">
        <v>81</v>
      </c>
    </row>
    <row r="5913" spans="1:6" x14ac:dyDescent="0.45">
      <c r="A5913">
        <v>55</v>
      </c>
      <c r="B5913">
        <v>9</v>
      </c>
      <c r="C5913">
        <v>45000</v>
      </c>
      <c r="D5913" t="s">
        <v>71</v>
      </c>
      <c r="E5913" t="s">
        <v>74</v>
      </c>
      <c r="F5913" t="s">
        <v>81</v>
      </c>
    </row>
    <row r="5914" spans="1:6" x14ac:dyDescent="0.45">
      <c r="A5914">
        <v>40</v>
      </c>
      <c r="B5914">
        <v>9</v>
      </c>
      <c r="C5914">
        <v>56000</v>
      </c>
      <c r="D5914" t="s">
        <v>71</v>
      </c>
      <c r="E5914" t="s">
        <v>74</v>
      </c>
      <c r="F5914" t="s">
        <v>81</v>
      </c>
    </row>
    <row r="5915" spans="1:6" x14ac:dyDescent="0.45">
      <c r="A5915">
        <v>40</v>
      </c>
      <c r="B5915">
        <v>9</v>
      </c>
      <c r="C5915">
        <v>60000</v>
      </c>
      <c r="D5915" t="s">
        <v>71</v>
      </c>
      <c r="E5915" t="s">
        <v>74</v>
      </c>
      <c r="F5915" t="s">
        <v>81</v>
      </c>
    </row>
    <row r="5916" spans="1:6" x14ac:dyDescent="0.45">
      <c r="A5916">
        <v>40</v>
      </c>
      <c r="B5916">
        <v>9</v>
      </c>
      <c r="C5916">
        <v>306731</v>
      </c>
      <c r="D5916" t="s">
        <v>71</v>
      </c>
      <c r="E5916" t="s">
        <v>74</v>
      </c>
      <c r="F5916" t="s">
        <v>81</v>
      </c>
    </row>
    <row r="5917" spans="1:6" x14ac:dyDescent="0.45">
      <c r="A5917">
        <v>40</v>
      </c>
      <c r="B5917">
        <v>8</v>
      </c>
      <c r="C5917">
        <v>2000</v>
      </c>
      <c r="D5917" t="s">
        <v>71</v>
      </c>
      <c r="E5917" t="s">
        <v>74</v>
      </c>
      <c r="F5917" t="s">
        <v>81</v>
      </c>
    </row>
    <row r="5918" spans="1:6" x14ac:dyDescent="0.45">
      <c r="A5918">
        <v>47</v>
      </c>
      <c r="B5918">
        <v>8</v>
      </c>
      <c r="C5918">
        <v>2000</v>
      </c>
      <c r="D5918" t="s">
        <v>71</v>
      </c>
      <c r="E5918" t="s">
        <v>72</v>
      </c>
      <c r="F5918" t="s">
        <v>81</v>
      </c>
    </row>
    <row r="5919" spans="1:6" x14ac:dyDescent="0.45">
      <c r="A5919">
        <v>50</v>
      </c>
      <c r="B5919">
        <v>8</v>
      </c>
      <c r="C5919">
        <v>2500</v>
      </c>
      <c r="D5919" t="s">
        <v>71</v>
      </c>
      <c r="E5919" t="s">
        <v>74</v>
      </c>
      <c r="F5919" t="s">
        <v>81</v>
      </c>
    </row>
    <row r="5920" spans="1:6" x14ac:dyDescent="0.45">
      <c r="A5920">
        <v>40</v>
      </c>
      <c r="B5920">
        <v>8</v>
      </c>
      <c r="C5920">
        <v>3000</v>
      </c>
      <c r="D5920" t="s">
        <v>71</v>
      </c>
      <c r="E5920" t="s">
        <v>72</v>
      </c>
      <c r="F5920" t="s">
        <v>81</v>
      </c>
    </row>
    <row r="5921" spans="1:6" x14ac:dyDescent="0.45">
      <c r="A5921">
        <v>48</v>
      </c>
      <c r="B5921">
        <v>8</v>
      </c>
      <c r="C5921">
        <v>3000</v>
      </c>
      <c r="D5921" t="s">
        <v>71</v>
      </c>
      <c r="E5921" t="s">
        <v>74</v>
      </c>
      <c r="F5921" t="s">
        <v>81</v>
      </c>
    </row>
    <row r="5922" spans="1:6" x14ac:dyDescent="0.45">
      <c r="A5922">
        <v>40</v>
      </c>
      <c r="B5922">
        <v>8</v>
      </c>
      <c r="C5922">
        <v>3500</v>
      </c>
      <c r="D5922" t="s">
        <v>71</v>
      </c>
      <c r="E5922" t="s">
        <v>72</v>
      </c>
      <c r="F5922" t="s">
        <v>81</v>
      </c>
    </row>
    <row r="5923" spans="1:6" x14ac:dyDescent="0.45">
      <c r="A5923">
        <v>35</v>
      </c>
      <c r="B5923">
        <v>8</v>
      </c>
      <c r="C5923">
        <v>3600</v>
      </c>
      <c r="D5923" t="s">
        <v>71</v>
      </c>
      <c r="E5923" t="s">
        <v>72</v>
      </c>
      <c r="F5923" t="s">
        <v>81</v>
      </c>
    </row>
    <row r="5924" spans="1:6" x14ac:dyDescent="0.45">
      <c r="A5924">
        <v>48</v>
      </c>
      <c r="B5924">
        <v>8</v>
      </c>
      <c r="C5924">
        <v>4500</v>
      </c>
      <c r="D5924" t="s">
        <v>71</v>
      </c>
      <c r="E5924" t="s">
        <v>74</v>
      </c>
      <c r="F5924" t="s">
        <v>81</v>
      </c>
    </row>
    <row r="5925" spans="1:6" x14ac:dyDescent="0.45">
      <c r="A5925">
        <v>40</v>
      </c>
      <c r="B5925">
        <v>8</v>
      </c>
      <c r="C5925">
        <v>5000</v>
      </c>
      <c r="D5925" t="s">
        <v>71</v>
      </c>
      <c r="E5925" t="s">
        <v>74</v>
      </c>
      <c r="F5925" t="s">
        <v>81</v>
      </c>
    </row>
    <row r="5926" spans="1:6" x14ac:dyDescent="0.45">
      <c r="A5926">
        <v>40</v>
      </c>
      <c r="B5926">
        <v>8</v>
      </c>
      <c r="C5926">
        <v>5200</v>
      </c>
      <c r="D5926" t="s">
        <v>71</v>
      </c>
      <c r="E5926" t="s">
        <v>74</v>
      </c>
      <c r="F5926" t="s">
        <v>81</v>
      </c>
    </row>
    <row r="5927" spans="1:6" x14ac:dyDescent="0.45">
      <c r="A5927">
        <v>45</v>
      </c>
      <c r="B5927">
        <v>8</v>
      </c>
      <c r="C5927">
        <v>6000</v>
      </c>
      <c r="D5927" t="s">
        <v>71</v>
      </c>
      <c r="E5927" t="s">
        <v>74</v>
      </c>
      <c r="F5927" t="s">
        <v>81</v>
      </c>
    </row>
    <row r="5928" spans="1:6" x14ac:dyDescent="0.45">
      <c r="A5928">
        <v>40</v>
      </c>
      <c r="B5928">
        <v>8</v>
      </c>
      <c r="C5928">
        <v>6400</v>
      </c>
      <c r="D5928" t="s">
        <v>71</v>
      </c>
      <c r="E5928" t="s">
        <v>72</v>
      </c>
      <c r="F5928" t="s">
        <v>81</v>
      </c>
    </row>
    <row r="5929" spans="1:6" x14ac:dyDescent="0.45">
      <c r="A5929">
        <v>40</v>
      </c>
      <c r="B5929">
        <v>8</v>
      </c>
      <c r="C5929">
        <v>6510</v>
      </c>
      <c r="D5929" t="s">
        <v>71</v>
      </c>
      <c r="E5929" t="s">
        <v>74</v>
      </c>
      <c r="F5929" t="s">
        <v>81</v>
      </c>
    </row>
    <row r="5930" spans="1:6" x14ac:dyDescent="0.45">
      <c r="A5930">
        <v>40</v>
      </c>
      <c r="B5930">
        <v>8</v>
      </c>
      <c r="C5930">
        <v>7000</v>
      </c>
      <c r="D5930" t="s">
        <v>71</v>
      </c>
      <c r="E5930" t="s">
        <v>72</v>
      </c>
      <c r="F5930" t="s">
        <v>81</v>
      </c>
    </row>
    <row r="5931" spans="1:6" x14ac:dyDescent="0.45">
      <c r="A5931">
        <v>40</v>
      </c>
      <c r="B5931">
        <v>8</v>
      </c>
      <c r="C5931">
        <v>7000</v>
      </c>
      <c r="D5931" t="s">
        <v>71</v>
      </c>
      <c r="E5931" t="s">
        <v>74</v>
      </c>
      <c r="F5931" t="s">
        <v>81</v>
      </c>
    </row>
    <row r="5932" spans="1:6" x14ac:dyDescent="0.45">
      <c r="A5932">
        <v>40</v>
      </c>
      <c r="B5932">
        <v>8</v>
      </c>
      <c r="C5932">
        <v>7000</v>
      </c>
      <c r="D5932" t="s">
        <v>71</v>
      </c>
      <c r="E5932" t="s">
        <v>74</v>
      </c>
      <c r="F5932" t="s">
        <v>81</v>
      </c>
    </row>
    <row r="5933" spans="1:6" x14ac:dyDescent="0.45">
      <c r="A5933">
        <v>40</v>
      </c>
      <c r="B5933">
        <v>8</v>
      </c>
      <c r="C5933">
        <v>7000</v>
      </c>
      <c r="D5933" t="s">
        <v>71</v>
      </c>
      <c r="E5933" t="s">
        <v>74</v>
      </c>
      <c r="F5933" t="s">
        <v>81</v>
      </c>
    </row>
    <row r="5934" spans="1:6" x14ac:dyDescent="0.45">
      <c r="A5934">
        <v>40</v>
      </c>
      <c r="B5934">
        <v>8</v>
      </c>
      <c r="C5934">
        <v>8000</v>
      </c>
      <c r="D5934" t="s">
        <v>71</v>
      </c>
      <c r="E5934" t="s">
        <v>72</v>
      </c>
      <c r="F5934" t="s">
        <v>81</v>
      </c>
    </row>
    <row r="5935" spans="1:6" x14ac:dyDescent="0.45">
      <c r="A5935">
        <v>40</v>
      </c>
      <c r="B5935">
        <v>8</v>
      </c>
      <c r="C5935">
        <v>9000</v>
      </c>
      <c r="D5935" t="s">
        <v>71</v>
      </c>
      <c r="E5935" t="s">
        <v>74</v>
      </c>
      <c r="F5935" t="s">
        <v>81</v>
      </c>
    </row>
    <row r="5936" spans="1:6" x14ac:dyDescent="0.45">
      <c r="A5936">
        <v>40</v>
      </c>
      <c r="B5936">
        <v>8</v>
      </c>
      <c r="C5936">
        <v>9520</v>
      </c>
      <c r="D5936" t="s">
        <v>71</v>
      </c>
      <c r="E5936" t="s">
        <v>72</v>
      </c>
      <c r="F5936" t="s">
        <v>81</v>
      </c>
    </row>
    <row r="5937" spans="1:6" x14ac:dyDescent="0.45">
      <c r="A5937">
        <v>40</v>
      </c>
      <c r="B5937">
        <v>8</v>
      </c>
      <c r="C5937">
        <v>9600</v>
      </c>
      <c r="D5937" t="s">
        <v>71</v>
      </c>
      <c r="E5937" t="s">
        <v>74</v>
      </c>
      <c r="F5937" t="s">
        <v>81</v>
      </c>
    </row>
    <row r="5938" spans="1:6" x14ac:dyDescent="0.45">
      <c r="A5938">
        <v>36</v>
      </c>
      <c r="B5938">
        <v>8</v>
      </c>
      <c r="C5938">
        <v>10000</v>
      </c>
      <c r="D5938" t="s">
        <v>71</v>
      </c>
      <c r="E5938" t="s">
        <v>72</v>
      </c>
      <c r="F5938" t="s">
        <v>81</v>
      </c>
    </row>
    <row r="5939" spans="1:6" x14ac:dyDescent="0.45">
      <c r="A5939">
        <v>40</v>
      </c>
      <c r="B5939">
        <v>8</v>
      </c>
      <c r="C5939">
        <v>10000</v>
      </c>
      <c r="D5939" t="s">
        <v>71</v>
      </c>
      <c r="E5939" t="s">
        <v>74</v>
      </c>
      <c r="F5939" t="s">
        <v>81</v>
      </c>
    </row>
    <row r="5940" spans="1:6" x14ac:dyDescent="0.45">
      <c r="A5940">
        <v>40</v>
      </c>
      <c r="B5940">
        <v>8</v>
      </c>
      <c r="C5940">
        <v>10000</v>
      </c>
      <c r="D5940" t="s">
        <v>71</v>
      </c>
      <c r="E5940" t="s">
        <v>72</v>
      </c>
      <c r="F5940" t="s">
        <v>81</v>
      </c>
    </row>
    <row r="5941" spans="1:6" x14ac:dyDescent="0.45">
      <c r="A5941">
        <v>40</v>
      </c>
      <c r="B5941">
        <v>8</v>
      </c>
      <c r="C5941">
        <v>10000</v>
      </c>
      <c r="D5941" t="s">
        <v>71</v>
      </c>
      <c r="E5941" t="s">
        <v>74</v>
      </c>
      <c r="F5941" t="s">
        <v>81</v>
      </c>
    </row>
    <row r="5942" spans="1:6" x14ac:dyDescent="0.45">
      <c r="A5942">
        <v>40</v>
      </c>
      <c r="B5942">
        <v>8</v>
      </c>
      <c r="C5942">
        <v>10000</v>
      </c>
      <c r="D5942" t="s">
        <v>71</v>
      </c>
      <c r="E5942" t="s">
        <v>72</v>
      </c>
      <c r="F5942" t="s">
        <v>81</v>
      </c>
    </row>
    <row r="5943" spans="1:6" x14ac:dyDescent="0.45">
      <c r="A5943">
        <v>40</v>
      </c>
      <c r="B5943">
        <v>8</v>
      </c>
      <c r="C5943">
        <v>10000</v>
      </c>
      <c r="D5943" t="s">
        <v>75</v>
      </c>
      <c r="E5943" t="s">
        <v>74</v>
      </c>
      <c r="F5943" t="s">
        <v>81</v>
      </c>
    </row>
    <row r="5944" spans="1:6" x14ac:dyDescent="0.45">
      <c r="A5944">
        <v>50</v>
      </c>
      <c r="B5944">
        <v>8</v>
      </c>
      <c r="C5944">
        <v>10000</v>
      </c>
      <c r="D5944" t="s">
        <v>71</v>
      </c>
      <c r="E5944" t="s">
        <v>74</v>
      </c>
      <c r="F5944" t="s">
        <v>81</v>
      </c>
    </row>
    <row r="5945" spans="1:6" x14ac:dyDescent="0.45">
      <c r="A5945">
        <v>50</v>
      </c>
      <c r="B5945">
        <v>8</v>
      </c>
      <c r="C5945">
        <v>10000</v>
      </c>
      <c r="D5945" t="s">
        <v>71</v>
      </c>
      <c r="E5945" t="s">
        <v>74</v>
      </c>
      <c r="F5945" t="s">
        <v>81</v>
      </c>
    </row>
    <row r="5946" spans="1:6" x14ac:dyDescent="0.45">
      <c r="A5946">
        <v>50</v>
      </c>
      <c r="B5946">
        <v>8</v>
      </c>
      <c r="C5946">
        <v>10000</v>
      </c>
      <c r="D5946" t="s">
        <v>71</v>
      </c>
      <c r="E5946" t="s">
        <v>74</v>
      </c>
      <c r="F5946" t="s">
        <v>81</v>
      </c>
    </row>
    <row r="5947" spans="1:6" x14ac:dyDescent="0.45">
      <c r="A5947">
        <v>40</v>
      </c>
      <c r="B5947">
        <v>8</v>
      </c>
      <c r="C5947">
        <v>10400</v>
      </c>
      <c r="D5947" t="s">
        <v>71</v>
      </c>
      <c r="E5947" t="s">
        <v>72</v>
      </c>
      <c r="F5947" t="s">
        <v>81</v>
      </c>
    </row>
    <row r="5948" spans="1:6" x14ac:dyDescent="0.45">
      <c r="A5948">
        <v>60</v>
      </c>
      <c r="B5948">
        <v>8</v>
      </c>
      <c r="C5948">
        <v>11000</v>
      </c>
      <c r="D5948" t="s">
        <v>71</v>
      </c>
      <c r="E5948" t="s">
        <v>74</v>
      </c>
      <c r="F5948" t="s">
        <v>81</v>
      </c>
    </row>
    <row r="5949" spans="1:6" x14ac:dyDescent="0.45">
      <c r="A5949">
        <v>40</v>
      </c>
      <c r="B5949">
        <v>8</v>
      </c>
      <c r="C5949">
        <v>11000</v>
      </c>
      <c r="D5949" t="s">
        <v>71</v>
      </c>
      <c r="E5949" t="s">
        <v>72</v>
      </c>
      <c r="F5949" t="s">
        <v>81</v>
      </c>
    </row>
    <row r="5950" spans="1:6" x14ac:dyDescent="0.45">
      <c r="A5950">
        <v>36</v>
      </c>
      <c r="B5950">
        <v>8</v>
      </c>
      <c r="C5950">
        <v>11000</v>
      </c>
      <c r="D5950" t="s">
        <v>71</v>
      </c>
      <c r="E5950" t="s">
        <v>72</v>
      </c>
      <c r="F5950" t="s">
        <v>81</v>
      </c>
    </row>
    <row r="5951" spans="1:6" x14ac:dyDescent="0.45">
      <c r="A5951">
        <v>0</v>
      </c>
      <c r="B5951">
        <v>8</v>
      </c>
      <c r="C5951">
        <v>11000</v>
      </c>
      <c r="D5951" t="s">
        <v>71</v>
      </c>
      <c r="E5951" t="s">
        <v>72</v>
      </c>
      <c r="F5951" t="s">
        <v>81</v>
      </c>
    </row>
    <row r="5952" spans="1:6" x14ac:dyDescent="0.45">
      <c r="A5952">
        <v>40</v>
      </c>
      <c r="B5952">
        <v>8</v>
      </c>
      <c r="C5952">
        <v>11167</v>
      </c>
      <c r="D5952" t="s">
        <v>71</v>
      </c>
      <c r="E5952" t="s">
        <v>72</v>
      </c>
      <c r="F5952" t="s">
        <v>81</v>
      </c>
    </row>
    <row r="5953" spans="1:6" x14ac:dyDescent="0.45">
      <c r="A5953">
        <v>40</v>
      </c>
      <c r="B5953">
        <v>8</v>
      </c>
      <c r="C5953">
        <v>11240</v>
      </c>
      <c r="D5953" t="s">
        <v>71</v>
      </c>
      <c r="E5953" t="s">
        <v>74</v>
      </c>
      <c r="F5953" t="s">
        <v>81</v>
      </c>
    </row>
    <row r="5954" spans="1:6" x14ac:dyDescent="0.45">
      <c r="A5954">
        <v>40</v>
      </c>
      <c r="B5954">
        <v>8</v>
      </c>
      <c r="C5954">
        <v>11544</v>
      </c>
      <c r="D5954" t="s">
        <v>71</v>
      </c>
      <c r="E5954" t="s">
        <v>72</v>
      </c>
      <c r="F5954" t="s">
        <v>81</v>
      </c>
    </row>
    <row r="5955" spans="1:6" x14ac:dyDescent="0.45">
      <c r="A5955">
        <v>40</v>
      </c>
      <c r="B5955">
        <v>8</v>
      </c>
      <c r="C5955">
        <v>12000</v>
      </c>
      <c r="D5955" t="s">
        <v>71</v>
      </c>
      <c r="E5955" t="s">
        <v>72</v>
      </c>
      <c r="F5955" t="s">
        <v>81</v>
      </c>
    </row>
    <row r="5956" spans="1:6" x14ac:dyDescent="0.45">
      <c r="A5956">
        <v>40</v>
      </c>
      <c r="B5956">
        <v>8</v>
      </c>
      <c r="C5956">
        <v>12000</v>
      </c>
      <c r="D5956" t="s">
        <v>71</v>
      </c>
      <c r="E5956" t="s">
        <v>74</v>
      </c>
      <c r="F5956" t="s">
        <v>81</v>
      </c>
    </row>
    <row r="5957" spans="1:6" x14ac:dyDescent="0.45">
      <c r="A5957">
        <v>45</v>
      </c>
      <c r="B5957">
        <v>8</v>
      </c>
      <c r="C5957">
        <v>12000</v>
      </c>
      <c r="D5957" t="s">
        <v>71</v>
      </c>
      <c r="E5957" t="s">
        <v>74</v>
      </c>
      <c r="F5957" t="s">
        <v>81</v>
      </c>
    </row>
    <row r="5958" spans="1:6" x14ac:dyDescent="0.45">
      <c r="A5958">
        <v>48</v>
      </c>
      <c r="B5958">
        <v>8</v>
      </c>
      <c r="C5958">
        <v>12000</v>
      </c>
      <c r="D5958" t="s">
        <v>71</v>
      </c>
      <c r="E5958" t="s">
        <v>74</v>
      </c>
      <c r="F5958" t="s">
        <v>81</v>
      </c>
    </row>
    <row r="5959" spans="1:6" x14ac:dyDescent="0.45">
      <c r="A5959">
        <v>50</v>
      </c>
      <c r="B5959">
        <v>8</v>
      </c>
      <c r="C5959">
        <v>12000</v>
      </c>
      <c r="D5959" t="s">
        <v>71</v>
      </c>
      <c r="E5959" t="s">
        <v>74</v>
      </c>
      <c r="F5959" t="s">
        <v>81</v>
      </c>
    </row>
    <row r="5960" spans="1:6" x14ac:dyDescent="0.45">
      <c r="A5960">
        <v>35</v>
      </c>
      <c r="B5960">
        <v>8</v>
      </c>
      <c r="C5960">
        <v>12000</v>
      </c>
      <c r="D5960" t="s">
        <v>71</v>
      </c>
      <c r="E5960" t="s">
        <v>74</v>
      </c>
      <c r="F5960" t="s">
        <v>81</v>
      </c>
    </row>
    <row r="5961" spans="1:6" x14ac:dyDescent="0.45">
      <c r="A5961">
        <v>40</v>
      </c>
      <c r="B5961">
        <v>8</v>
      </c>
      <c r="C5961">
        <v>12000</v>
      </c>
      <c r="D5961" t="s">
        <v>71</v>
      </c>
      <c r="E5961" t="s">
        <v>72</v>
      </c>
      <c r="F5961" t="s">
        <v>81</v>
      </c>
    </row>
    <row r="5962" spans="1:6" x14ac:dyDescent="0.45">
      <c r="A5962">
        <v>40</v>
      </c>
      <c r="B5962">
        <v>8</v>
      </c>
      <c r="C5962">
        <v>12240</v>
      </c>
      <c r="D5962" t="s">
        <v>71</v>
      </c>
      <c r="E5962" t="s">
        <v>74</v>
      </c>
      <c r="F5962" t="s">
        <v>81</v>
      </c>
    </row>
    <row r="5963" spans="1:6" x14ac:dyDescent="0.45">
      <c r="A5963">
        <v>40</v>
      </c>
      <c r="B5963">
        <v>8</v>
      </c>
      <c r="C5963">
        <v>12500</v>
      </c>
      <c r="D5963" t="s">
        <v>71</v>
      </c>
      <c r="E5963" t="s">
        <v>72</v>
      </c>
      <c r="F5963" t="s">
        <v>81</v>
      </c>
    </row>
    <row r="5964" spans="1:6" x14ac:dyDescent="0.45">
      <c r="A5964">
        <v>40</v>
      </c>
      <c r="B5964">
        <v>8</v>
      </c>
      <c r="C5964">
        <v>12500</v>
      </c>
      <c r="D5964" t="s">
        <v>71</v>
      </c>
      <c r="E5964" t="s">
        <v>74</v>
      </c>
      <c r="F5964" t="s">
        <v>81</v>
      </c>
    </row>
    <row r="5965" spans="1:6" x14ac:dyDescent="0.45">
      <c r="A5965">
        <v>35</v>
      </c>
      <c r="B5965">
        <v>8</v>
      </c>
      <c r="C5965">
        <v>13000</v>
      </c>
      <c r="D5965" t="s">
        <v>71</v>
      </c>
      <c r="E5965" t="s">
        <v>72</v>
      </c>
      <c r="F5965" t="s">
        <v>81</v>
      </c>
    </row>
    <row r="5966" spans="1:6" x14ac:dyDescent="0.45">
      <c r="A5966">
        <v>40</v>
      </c>
      <c r="B5966">
        <v>8</v>
      </c>
      <c r="C5966">
        <v>13000</v>
      </c>
      <c r="D5966" t="s">
        <v>76</v>
      </c>
      <c r="E5966" t="s">
        <v>72</v>
      </c>
      <c r="F5966" t="s">
        <v>81</v>
      </c>
    </row>
    <row r="5967" spans="1:6" x14ac:dyDescent="0.45">
      <c r="A5967">
        <v>42</v>
      </c>
      <c r="B5967">
        <v>8</v>
      </c>
      <c r="C5967">
        <v>13000</v>
      </c>
      <c r="D5967" t="s">
        <v>71</v>
      </c>
      <c r="E5967" t="s">
        <v>72</v>
      </c>
      <c r="F5967" t="s">
        <v>81</v>
      </c>
    </row>
    <row r="5968" spans="1:6" x14ac:dyDescent="0.45">
      <c r="A5968">
        <v>40</v>
      </c>
      <c r="B5968">
        <v>8</v>
      </c>
      <c r="C5968">
        <v>13000</v>
      </c>
      <c r="D5968" t="s">
        <v>71</v>
      </c>
      <c r="E5968" t="s">
        <v>74</v>
      </c>
      <c r="F5968" t="s">
        <v>81</v>
      </c>
    </row>
    <row r="5969" spans="1:6" x14ac:dyDescent="0.45">
      <c r="A5969">
        <v>40</v>
      </c>
      <c r="B5969">
        <v>8</v>
      </c>
      <c r="C5969">
        <v>13000</v>
      </c>
      <c r="D5969" t="s">
        <v>71</v>
      </c>
      <c r="E5969" t="s">
        <v>74</v>
      </c>
      <c r="F5969" t="s">
        <v>81</v>
      </c>
    </row>
    <row r="5970" spans="1:6" x14ac:dyDescent="0.45">
      <c r="A5970">
        <v>40</v>
      </c>
      <c r="B5970">
        <v>8</v>
      </c>
      <c r="C5970">
        <v>13000</v>
      </c>
      <c r="D5970" t="s">
        <v>71</v>
      </c>
      <c r="E5970" t="s">
        <v>74</v>
      </c>
      <c r="F5970" t="s">
        <v>81</v>
      </c>
    </row>
    <row r="5971" spans="1:6" x14ac:dyDescent="0.45">
      <c r="A5971">
        <v>40</v>
      </c>
      <c r="B5971">
        <v>8</v>
      </c>
      <c r="C5971">
        <v>13000</v>
      </c>
      <c r="D5971" t="s">
        <v>71</v>
      </c>
      <c r="E5971" t="s">
        <v>72</v>
      </c>
      <c r="F5971" t="s">
        <v>81</v>
      </c>
    </row>
    <row r="5972" spans="1:6" x14ac:dyDescent="0.45">
      <c r="A5972">
        <v>40</v>
      </c>
      <c r="B5972">
        <v>8</v>
      </c>
      <c r="C5972">
        <v>13000</v>
      </c>
      <c r="D5972" t="s">
        <v>71</v>
      </c>
      <c r="E5972" t="s">
        <v>74</v>
      </c>
      <c r="F5972" t="s">
        <v>81</v>
      </c>
    </row>
    <row r="5973" spans="1:6" x14ac:dyDescent="0.45">
      <c r="A5973">
        <v>40</v>
      </c>
      <c r="B5973">
        <v>8</v>
      </c>
      <c r="C5973">
        <v>13500</v>
      </c>
      <c r="D5973" t="s">
        <v>71</v>
      </c>
      <c r="E5973" t="s">
        <v>74</v>
      </c>
      <c r="F5973" t="s">
        <v>81</v>
      </c>
    </row>
    <row r="5974" spans="1:6" x14ac:dyDescent="0.45">
      <c r="A5974">
        <v>40</v>
      </c>
      <c r="B5974">
        <v>8</v>
      </c>
      <c r="C5974">
        <v>13945</v>
      </c>
      <c r="D5974" t="s">
        <v>71</v>
      </c>
      <c r="E5974" t="s">
        <v>74</v>
      </c>
      <c r="F5974" t="s">
        <v>81</v>
      </c>
    </row>
    <row r="5975" spans="1:6" x14ac:dyDescent="0.45">
      <c r="A5975">
        <v>40</v>
      </c>
      <c r="B5975">
        <v>8</v>
      </c>
      <c r="C5975">
        <v>14000</v>
      </c>
      <c r="D5975" t="s">
        <v>71</v>
      </c>
      <c r="E5975" t="s">
        <v>72</v>
      </c>
      <c r="F5975" t="s">
        <v>81</v>
      </c>
    </row>
    <row r="5976" spans="1:6" x14ac:dyDescent="0.45">
      <c r="A5976">
        <v>40</v>
      </c>
      <c r="B5976">
        <v>8</v>
      </c>
      <c r="C5976">
        <v>15000</v>
      </c>
      <c r="D5976" t="s">
        <v>71</v>
      </c>
      <c r="E5976" t="s">
        <v>74</v>
      </c>
      <c r="F5976" t="s">
        <v>81</v>
      </c>
    </row>
    <row r="5977" spans="1:6" x14ac:dyDescent="0.45">
      <c r="A5977">
        <v>40</v>
      </c>
      <c r="B5977">
        <v>8</v>
      </c>
      <c r="C5977">
        <v>15000</v>
      </c>
      <c r="D5977" t="s">
        <v>71</v>
      </c>
      <c r="E5977" t="s">
        <v>74</v>
      </c>
      <c r="F5977" t="s">
        <v>81</v>
      </c>
    </row>
    <row r="5978" spans="1:6" x14ac:dyDescent="0.45">
      <c r="A5978">
        <v>40</v>
      </c>
      <c r="B5978">
        <v>8</v>
      </c>
      <c r="C5978">
        <v>15000</v>
      </c>
      <c r="D5978" t="s">
        <v>71</v>
      </c>
      <c r="E5978" t="s">
        <v>72</v>
      </c>
      <c r="F5978" t="s">
        <v>81</v>
      </c>
    </row>
    <row r="5979" spans="1:6" x14ac:dyDescent="0.45">
      <c r="A5979">
        <v>40</v>
      </c>
      <c r="B5979">
        <v>8</v>
      </c>
      <c r="C5979">
        <v>15000</v>
      </c>
      <c r="D5979" t="s">
        <v>71</v>
      </c>
      <c r="E5979" t="s">
        <v>74</v>
      </c>
      <c r="F5979" t="s">
        <v>81</v>
      </c>
    </row>
    <row r="5980" spans="1:6" x14ac:dyDescent="0.45">
      <c r="A5980">
        <v>35</v>
      </c>
      <c r="B5980">
        <v>8</v>
      </c>
      <c r="C5980">
        <v>15600</v>
      </c>
      <c r="D5980" t="s">
        <v>71</v>
      </c>
      <c r="E5980" t="s">
        <v>74</v>
      </c>
      <c r="F5980" t="s">
        <v>81</v>
      </c>
    </row>
    <row r="5981" spans="1:6" x14ac:dyDescent="0.45">
      <c r="A5981">
        <v>40</v>
      </c>
      <c r="B5981">
        <v>8</v>
      </c>
      <c r="C5981">
        <v>15600</v>
      </c>
      <c r="D5981" t="s">
        <v>71</v>
      </c>
      <c r="E5981" t="s">
        <v>74</v>
      </c>
      <c r="F5981" t="s">
        <v>81</v>
      </c>
    </row>
    <row r="5982" spans="1:6" x14ac:dyDescent="0.45">
      <c r="A5982">
        <v>40</v>
      </c>
      <c r="B5982">
        <v>8</v>
      </c>
      <c r="C5982">
        <v>15900</v>
      </c>
      <c r="D5982" t="s">
        <v>75</v>
      </c>
      <c r="E5982" t="s">
        <v>72</v>
      </c>
      <c r="F5982" t="s">
        <v>81</v>
      </c>
    </row>
    <row r="5983" spans="1:6" x14ac:dyDescent="0.45">
      <c r="A5983">
        <v>40</v>
      </c>
      <c r="B5983">
        <v>8</v>
      </c>
      <c r="C5983">
        <v>16000</v>
      </c>
      <c r="D5983" t="s">
        <v>71</v>
      </c>
      <c r="E5983" t="s">
        <v>74</v>
      </c>
      <c r="F5983" t="s">
        <v>81</v>
      </c>
    </row>
    <row r="5984" spans="1:6" x14ac:dyDescent="0.45">
      <c r="A5984">
        <v>35</v>
      </c>
      <c r="B5984">
        <v>8</v>
      </c>
      <c r="C5984">
        <v>16000</v>
      </c>
      <c r="D5984" t="s">
        <v>71</v>
      </c>
      <c r="E5984" t="s">
        <v>72</v>
      </c>
      <c r="F5984" t="s">
        <v>81</v>
      </c>
    </row>
    <row r="5985" spans="1:6" x14ac:dyDescent="0.45">
      <c r="A5985">
        <v>45</v>
      </c>
      <c r="B5985">
        <v>8</v>
      </c>
      <c r="C5985">
        <v>16000</v>
      </c>
      <c r="D5985" t="s">
        <v>71</v>
      </c>
      <c r="E5985" t="s">
        <v>74</v>
      </c>
      <c r="F5985" t="s">
        <v>81</v>
      </c>
    </row>
    <row r="5986" spans="1:6" x14ac:dyDescent="0.45">
      <c r="A5986">
        <v>40</v>
      </c>
      <c r="B5986">
        <v>8</v>
      </c>
      <c r="C5986">
        <v>16000</v>
      </c>
      <c r="D5986" t="s">
        <v>71</v>
      </c>
      <c r="E5986" t="s">
        <v>74</v>
      </c>
      <c r="F5986" t="s">
        <v>81</v>
      </c>
    </row>
    <row r="5987" spans="1:6" x14ac:dyDescent="0.45">
      <c r="A5987">
        <v>42</v>
      </c>
      <c r="B5987">
        <v>8</v>
      </c>
      <c r="C5987">
        <v>16000</v>
      </c>
      <c r="D5987" t="s">
        <v>71</v>
      </c>
      <c r="E5987" t="s">
        <v>72</v>
      </c>
      <c r="F5987" t="s">
        <v>81</v>
      </c>
    </row>
    <row r="5988" spans="1:6" x14ac:dyDescent="0.45">
      <c r="A5988">
        <v>40</v>
      </c>
      <c r="B5988">
        <v>8</v>
      </c>
      <c r="C5988">
        <v>16900</v>
      </c>
      <c r="D5988" t="s">
        <v>71</v>
      </c>
      <c r="E5988" t="s">
        <v>74</v>
      </c>
      <c r="F5988" t="s">
        <v>81</v>
      </c>
    </row>
    <row r="5989" spans="1:6" x14ac:dyDescent="0.45">
      <c r="A5989">
        <v>40</v>
      </c>
      <c r="B5989">
        <v>8</v>
      </c>
      <c r="C5989">
        <v>17000</v>
      </c>
      <c r="D5989" t="s">
        <v>71</v>
      </c>
      <c r="E5989" t="s">
        <v>74</v>
      </c>
      <c r="F5989" t="s">
        <v>81</v>
      </c>
    </row>
    <row r="5990" spans="1:6" x14ac:dyDescent="0.45">
      <c r="A5990">
        <v>40</v>
      </c>
      <c r="B5990">
        <v>8</v>
      </c>
      <c r="C5990">
        <v>17000</v>
      </c>
      <c r="D5990" t="s">
        <v>71</v>
      </c>
      <c r="E5990" t="s">
        <v>72</v>
      </c>
      <c r="F5990" t="s">
        <v>81</v>
      </c>
    </row>
    <row r="5991" spans="1:6" x14ac:dyDescent="0.45">
      <c r="A5991">
        <v>40</v>
      </c>
      <c r="B5991">
        <v>8</v>
      </c>
      <c r="C5991">
        <v>17000</v>
      </c>
      <c r="D5991" t="s">
        <v>71</v>
      </c>
      <c r="E5991" t="s">
        <v>72</v>
      </c>
      <c r="F5991" t="s">
        <v>81</v>
      </c>
    </row>
    <row r="5992" spans="1:6" x14ac:dyDescent="0.45">
      <c r="A5992">
        <v>40</v>
      </c>
      <c r="B5992">
        <v>8</v>
      </c>
      <c r="C5992">
        <v>17000</v>
      </c>
      <c r="D5992" t="s">
        <v>71</v>
      </c>
      <c r="E5992" t="s">
        <v>74</v>
      </c>
      <c r="F5992" t="s">
        <v>81</v>
      </c>
    </row>
    <row r="5993" spans="1:6" x14ac:dyDescent="0.45">
      <c r="A5993">
        <v>35</v>
      </c>
      <c r="B5993">
        <v>8</v>
      </c>
      <c r="C5993">
        <v>17500</v>
      </c>
      <c r="D5993" t="s">
        <v>71</v>
      </c>
      <c r="E5993" t="s">
        <v>72</v>
      </c>
      <c r="F5993" t="s">
        <v>81</v>
      </c>
    </row>
    <row r="5994" spans="1:6" x14ac:dyDescent="0.45">
      <c r="A5994">
        <v>40</v>
      </c>
      <c r="B5994">
        <v>8</v>
      </c>
      <c r="C5994">
        <v>17600</v>
      </c>
      <c r="D5994" t="s">
        <v>71</v>
      </c>
      <c r="E5994" t="s">
        <v>74</v>
      </c>
      <c r="F5994" t="s">
        <v>81</v>
      </c>
    </row>
    <row r="5995" spans="1:6" x14ac:dyDescent="0.45">
      <c r="A5995">
        <v>40</v>
      </c>
      <c r="B5995">
        <v>8</v>
      </c>
      <c r="C5995">
        <v>17680</v>
      </c>
      <c r="D5995" t="s">
        <v>71</v>
      </c>
      <c r="E5995" t="s">
        <v>72</v>
      </c>
      <c r="F5995" t="s">
        <v>81</v>
      </c>
    </row>
    <row r="5996" spans="1:6" x14ac:dyDescent="0.45">
      <c r="A5996">
        <v>40</v>
      </c>
      <c r="B5996">
        <v>8</v>
      </c>
      <c r="C5996">
        <v>18000</v>
      </c>
      <c r="D5996" t="s">
        <v>71</v>
      </c>
      <c r="E5996" t="s">
        <v>74</v>
      </c>
      <c r="F5996" t="s">
        <v>81</v>
      </c>
    </row>
    <row r="5997" spans="1:6" x14ac:dyDescent="0.45">
      <c r="A5997">
        <v>40</v>
      </c>
      <c r="B5997">
        <v>8</v>
      </c>
      <c r="C5997">
        <v>18000</v>
      </c>
      <c r="D5997" t="s">
        <v>71</v>
      </c>
      <c r="E5997" t="s">
        <v>74</v>
      </c>
      <c r="F5997" t="s">
        <v>81</v>
      </c>
    </row>
    <row r="5998" spans="1:6" x14ac:dyDescent="0.45">
      <c r="A5998">
        <v>40</v>
      </c>
      <c r="B5998">
        <v>8</v>
      </c>
      <c r="C5998">
        <v>18000</v>
      </c>
      <c r="D5998" t="s">
        <v>71</v>
      </c>
      <c r="E5998" t="s">
        <v>72</v>
      </c>
      <c r="F5998" t="s">
        <v>81</v>
      </c>
    </row>
    <row r="5999" spans="1:6" x14ac:dyDescent="0.45">
      <c r="A5999">
        <v>48</v>
      </c>
      <c r="B5999">
        <v>8</v>
      </c>
      <c r="C5999">
        <v>18000</v>
      </c>
      <c r="D5999" t="s">
        <v>71</v>
      </c>
      <c r="E5999" t="s">
        <v>74</v>
      </c>
      <c r="F5999" t="s">
        <v>81</v>
      </c>
    </row>
    <row r="6000" spans="1:6" x14ac:dyDescent="0.45">
      <c r="A6000">
        <v>40</v>
      </c>
      <c r="B6000">
        <v>8</v>
      </c>
      <c r="C6000">
        <v>18000</v>
      </c>
      <c r="D6000" t="s">
        <v>71</v>
      </c>
      <c r="E6000" t="s">
        <v>74</v>
      </c>
      <c r="F6000" t="s">
        <v>81</v>
      </c>
    </row>
    <row r="6001" spans="1:6" x14ac:dyDescent="0.45">
      <c r="A6001">
        <v>40</v>
      </c>
      <c r="B6001">
        <v>8</v>
      </c>
      <c r="C6001">
        <v>18000</v>
      </c>
      <c r="D6001" t="s">
        <v>71</v>
      </c>
      <c r="E6001" t="s">
        <v>74</v>
      </c>
      <c r="F6001" t="s">
        <v>81</v>
      </c>
    </row>
    <row r="6002" spans="1:6" x14ac:dyDescent="0.45">
      <c r="A6002">
        <v>40</v>
      </c>
      <c r="B6002">
        <v>8</v>
      </c>
      <c r="C6002">
        <v>19000</v>
      </c>
      <c r="D6002" t="s">
        <v>71</v>
      </c>
      <c r="E6002" t="s">
        <v>72</v>
      </c>
      <c r="F6002" t="s">
        <v>81</v>
      </c>
    </row>
    <row r="6003" spans="1:6" x14ac:dyDescent="0.45">
      <c r="A6003">
        <v>40</v>
      </c>
      <c r="B6003">
        <v>8</v>
      </c>
      <c r="C6003">
        <v>19000</v>
      </c>
      <c r="D6003" t="s">
        <v>71</v>
      </c>
      <c r="E6003" t="s">
        <v>72</v>
      </c>
      <c r="F6003" t="s">
        <v>81</v>
      </c>
    </row>
    <row r="6004" spans="1:6" x14ac:dyDescent="0.45">
      <c r="A6004">
        <v>40</v>
      </c>
      <c r="B6004">
        <v>8</v>
      </c>
      <c r="C6004">
        <v>19000</v>
      </c>
      <c r="D6004" t="s">
        <v>71</v>
      </c>
      <c r="E6004" t="s">
        <v>72</v>
      </c>
      <c r="F6004" t="s">
        <v>81</v>
      </c>
    </row>
    <row r="6005" spans="1:6" x14ac:dyDescent="0.45">
      <c r="A6005">
        <v>40</v>
      </c>
      <c r="B6005">
        <v>8</v>
      </c>
      <c r="C6005">
        <v>19000</v>
      </c>
      <c r="D6005" t="s">
        <v>71</v>
      </c>
      <c r="E6005" t="s">
        <v>74</v>
      </c>
      <c r="F6005" t="s">
        <v>81</v>
      </c>
    </row>
    <row r="6006" spans="1:6" x14ac:dyDescent="0.45">
      <c r="A6006">
        <v>40</v>
      </c>
      <c r="B6006">
        <v>8</v>
      </c>
      <c r="C6006">
        <v>20000</v>
      </c>
      <c r="D6006" t="s">
        <v>71</v>
      </c>
      <c r="E6006" t="s">
        <v>74</v>
      </c>
      <c r="F6006" t="s">
        <v>81</v>
      </c>
    </row>
    <row r="6007" spans="1:6" x14ac:dyDescent="0.45">
      <c r="A6007">
        <v>50</v>
      </c>
      <c r="B6007">
        <v>8</v>
      </c>
      <c r="C6007">
        <v>20000</v>
      </c>
      <c r="D6007" t="s">
        <v>71</v>
      </c>
      <c r="E6007" t="s">
        <v>74</v>
      </c>
      <c r="F6007" t="s">
        <v>81</v>
      </c>
    </row>
    <row r="6008" spans="1:6" x14ac:dyDescent="0.45">
      <c r="A6008">
        <v>40</v>
      </c>
      <c r="B6008">
        <v>8</v>
      </c>
      <c r="C6008">
        <v>20000</v>
      </c>
      <c r="D6008" t="s">
        <v>71</v>
      </c>
      <c r="E6008" t="s">
        <v>74</v>
      </c>
      <c r="F6008" t="s">
        <v>81</v>
      </c>
    </row>
    <row r="6009" spans="1:6" x14ac:dyDescent="0.45">
      <c r="A6009">
        <v>40</v>
      </c>
      <c r="B6009">
        <v>8</v>
      </c>
      <c r="C6009">
        <v>21000</v>
      </c>
      <c r="D6009" t="s">
        <v>71</v>
      </c>
      <c r="E6009" t="s">
        <v>72</v>
      </c>
      <c r="F6009" t="s">
        <v>81</v>
      </c>
    </row>
    <row r="6010" spans="1:6" x14ac:dyDescent="0.45">
      <c r="A6010">
        <v>40</v>
      </c>
      <c r="B6010">
        <v>8</v>
      </c>
      <c r="C6010">
        <v>22000</v>
      </c>
      <c r="D6010" t="s">
        <v>71</v>
      </c>
      <c r="E6010" t="s">
        <v>74</v>
      </c>
      <c r="F6010" t="s">
        <v>81</v>
      </c>
    </row>
    <row r="6011" spans="1:6" x14ac:dyDescent="0.45">
      <c r="A6011">
        <v>40</v>
      </c>
      <c r="B6011">
        <v>8</v>
      </c>
      <c r="C6011">
        <v>22000</v>
      </c>
      <c r="D6011" t="s">
        <v>71</v>
      </c>
      <c r="E6011" t="s">
        <v>74</v>
      </c>
      <c r="F6011" t="s">
        <v>81</v>
      </c>
    </row>
    <row r="6012" spans="1:6" x14ac:dyDescent="0.45">
      <c r="A6012">
        <v>40</v>
      </c>
      <c r="B6012">
        <v>8</v>
      </c>
      <c r="C6012">
        <v>22360</v>
      </c>
      <c r="D6012" t="s">
        <v>71</v>
      </c>
      <c r="E6012" t="s">
        <v>74</v>
      </c>
      <c r="F6012" t="s">
        <v>81</v>
      </c>
    </row>
    <row r="6013" spans="1:6" x14ac:dyDescent="0.45">
      <c r="A6013">
        <v>60</v>
      </c>
      <c r="B6013">
        <v>8</v>
      </c>
      <c r="C6013">
        <v>23000</v>
      </c>
      <c r="D6013" t="s">
        <v>71</v>
      </c>
      <c r="E6013" t="s">
        <v>74</v>
      </c>
      <c r="F6013" t="s">
        <v>81</v>
      </c>
    </row>
    <row r="6014" spans="1:6" x14ac:dyDescent="0.45">
      <c r="A6014">
        <v>40</v>
      </c>
      <c r="B6014">
        <v>8</v>
      </c>
      <c r="C6014">
        <v>24000</v>
      </c>
      <c r="D6014" t="s">
        <v>71</v>
      </c>
      <c r="E6014" t="s">
        <v>74</v>
      </c>
      <c r="F6014" t="s">
        <v>81</v>
      </c>
    </row>
    <row r="6015" spans="1:6" x14ac:dyDescent="0.45">
      <c r="A6015">
        <v>40</v>
      </c>
      <c r="B6015">
        <v>8</v>
      </c>
      <c r="C6015">
        <v>24300</v>
      </c>
      <c r="D6015" t="s">
        <v>71</v>
      </c>
      <c r="E6015" t="s">
        <v>74</v>
      </c>
      <c r="F6015" t="s">
        <v>81</v>
      </c>
    </row>
    <row r="6016" spans="1:6" x14ac:dyDescent="0.45">
      <c r="A6016">
        <v>50</v>
      </c>
      <c r="B6016">
        <v>8</v>
      </c>
      <c r="C6016">
        <v>25000</v>
      </c>
      <c r="D6016" t="s">
        <v>76</v>
      </c>
      <c r="E6016" t="s">
        <v>74</v>
      </c>
      <c r="F6016" t="s">
        <v>81</v>
      </c>
    </row>
    <row r="6017" spans="1:6" x14ac:dyDescent="0.45">
      <c r="A6017">
        <v>40</v>
      </c>
      <c r="B6017">
        <v>8</v>
      </c>
      <c r="C6017">
        <v>25000</v>
      </c>
      <c r="D6017" t="s">
        <v>71</v>
      </c>
      <c r="E6017" t="s">
        <v>74</v>
      </c>
      <c r="F6017" t="s">
        <v>81</v>
      </c>
    </row>
    <row r="6018" spans="1:6" x14ac:dyDescent="0.45">
      <c r="A6018">
        <v>40</v>
      </c>
      <c r="B6018">
        <v>8</v>
      </c>
      <c r="C6018">
        <v>25000</v>
      </c>
      <c r="D6018" t="s">
        <v>71</v>
      </c>
      <c r="E6018" t="s">
        <v>74</v>
      </c>
      <c r="F6018" t="s">
        <v>81</v>
      </c>
    </row>
    <row r="6019" spans="1:6" x14ac:dyDescent="0.45">
      <c r="A6019">
        <v>40</v>
      </c>
      <c r="B6019">
        <v>8</v>
      </c>
      <c r="C6019">
        <v>25000</v>
      </c>
      <c r="D6019" t="s">
        <v>71</v>
      </c>
      <c r="E6019" t="s">
        <v>74</v>
      </c>
      <c r="F6019" t="s">
        <v>81</v>
      </c>
    </row>
    <row r="6020" spans="1:6" x14ac:dyDescent="0.45">
      <c r="A6020">
        <v>40</v>
      </c>
      <c r="B6020">
        <v>8</v>
      </c>
      <c r="C6020">
        <v>25000</v>
      </c>
      <c r="D6020" t="s">
        <v>71</v>
      </c>
      <c r="E6020" t="s">
        <v>74</v>
      </c>
      <c r="F6020" t="s">
        <v>81</v>
      </c>
    </row>
    <row r="6021" spans="1:6" x14ac:dyDescent="0.45">
      <c r="A6021">
        <v>39</v>
      </c>
      <c r="B6021">
        <v>8</v>
      </c>
      <c r="C6021">
        <v>25000</v>
      </c>
      <c r="D6021" t="s">
        <v>71</v>
      </c>
      <c r="E6021" t="s">
        <v>74</v>
      </c>
      <c r="F6021" t="s">
        <v>81</v>
      </c>
    </row>
    <row r="6022" spans="1:6" x14ac:dyDescent="0.45">
      <c r="A6022">
        <v>40</v>
      </c>
      <c r="B6022">
        <v>8</v>
      </c>
      <c r="C6022">
        <v>25627</v>
      </c>
      <c r="D6022" t="s">
        <v>71</v>
      </c>
      <c r="E6022" t="s">
        <v>74</v>
      </c>
      <c r="F6022" t="s">
        <v>81</v>
      </c>
    </row>
    <row r="6023" spans="1:6" x14ac:dyDescent="0.45">
      <c r="A6023">
        <v>45</v>
      </c>
      <c r="B6023">
        <v>8</v>
      </c>
      <c r="C6023">
        <v>27000</v>
      </c>
      <c r="D6023" t="s">
        <v>71</v>
      </c>
      <c r="E6023" t="s">
        <v>74</v>
      </c>
      <c r="F6023" t="s">
        <v>81</v>
      </c>
    </row>
    <row r="6024" spans="1:6" x14ac:dyDescent="0.45">
      <c r="A6024">
        <v>0</v>
      </c>
      <c r="B6024">
        <v>8</v>
      </c>
      <c r="C6024">
        <v>28000</v>
      </c>
      <c r="D6024" t="s">
        <v>71</v>
      </c>
      <c r="E6024" t="s">
        <v>74</v>
      </c>
      <c r="F6024" t="s">
        <v>81</v>
      </c>
    </row>
    <row r="6025" spans="1:6" x14ac:dyDescent="0.45">
      <c r="A6025">
        <v>40</v>
      </c>
      <c r="B6025">
        <v>8</v>
      </c>
      <c r="C6025">
        <v>28800</v>
      </c>
      <c r="D6025" t="s">
        <v>71</v>
      </c>
      <c r="E6025" t="s">
        <v>74</v>
      </c>
      <c r="F6025" t="s">
        <v>81</v>
      </c>
    </row>
    <row r="6026" spans="1:6" x14ac:dyDescent="0.45">
      <c r="A6026">
        <v>40</v>
      </c>
      <c r="B6026">
        <v>8</v>
      </c>
      <c r="C6026">
        <v>29000</v>
      </c>
      <c r="D6026" t="s">
        <v>71</v>
      </c>
      <c r="E6026" t="s">
        <v>74</v>
      </c>
      <c r="F6026" t="s">
        <v>81</v>
      </c>
    </row>
    <row r="6027" spans="1:6" x14ac:dyDescent="0.45">
      <c r="A6027">
        <v>40</v>
      </c>
      <c r="B6027">
        <v>8</v>
      </c>
      <c r="C6027">
        <v>30000</v>
      </c>
      <c r="D6027" t="s">
        <v>71</v>
      </c>
      <c r="E6027" t="s">
        <v>74</v>
      </c>
      <c r="F6027" t="s">
        <v>81</v>
      </c>
    </row>
    <row r="6028" spans="1:6" x14ac:dyDescent="0.45">
      <c r="A6028">
        <v>40</v>
      </c>
      <c r="B6028">
        <v>8</v>
      </c>
      <c r="C6028">
        <v>30000</v>
      </c>
      <c r="D6028" t="s">
        <v>71</v>
      </c>
      <c r="E6028" t="s">
        <v>74</v>
      </c>
      <c r="F6028" t="s">
        <v>81</v>
      </c>
    </row>
    <row r="6029" spans="1:6" x14ac:dyDescent="0.45">
      <c r="A6029">
        <v>50</v>
      </c>
      <c r="B6029">
        <v>8</v>
      </c>
      <c r="C6029">
        <v>30000</v>
      </c>
      <c r="D6029" t="s">
        <v>71</v>
      </c>
      <c r="E6029" t="s">
        <v>74</v>
      </c>
      <c r="F6029" t="s">
        <v>81</v>
      </c>
    </row>
    <row r="6030" spans="1:6" x14ac:dyDescent="0.45">
      <c r="A6030">
        <v>42</v>
      </c>
      <c r="B6030">
        <v>8</v>
      </c>
      <c r="C6030">
        <v>30000</v>
      </c>
      <c r="D6030" t="s">
        <v>71</v>
      </c>
      <c r="E6030" t="s">
        <v>74</v>
      </c>
      <c r="F6030" t="s">
        <v>81</v>
      </c>
    </row>
    <row r="6031" spans="1:6" x14ac:dyDescent="0.45">
      <c r="A6031">
        <v>40</v>
      </c>
      <c r="B6031">
        <v>8</v>
      </c>
      <c r="C6031">
        <v>30000</v>
      </c>
      <c r="D6031" t="s">
        <v>71</v>
      </c>
      <c r="E6031" t="s">
        <v>74</v>
      </c>
      <c r="F6031" t="s">
        <v>81</v>
      </c>
    </row>
    <row r="6032" spans="1:6" x14ac:dyDescent="0.45">
      <c r="A6032">
        <v>40</v>
      </c>
      <c r="B6032">
        <v>8</v>
      </c>
      <c r="C6032">
        <v>30000</v>
      </c>
      <c r="D6032" t="s">
        <v>76</v>
      </c>
      <c r="E6032" t="s">
        <v>74</v>
      </c>
      <c r="F6032" t="s">
        <v>81</v>
      </c>
    </row>
    <row r="6033" spans="1:6" x14ac:dyDescent="0.45">
      <c r="A6033">
        <v>40</v>
      </c>
      <c r="B6033">
        <v>8</v>
      </c>
      <c r="C6033">
        <v>31169</v>
      </c>
      <c r="D6033" t="s">
        <v>71</v>
      </c>
      <c r="E6033" t="s">
        <v>74</v>
      </c>
      <c r="F6033" t="s">
        <v>81</v>
      </c>
    </row>
    <row r="6034" spans="1:6" x14ac:dyDescent="0.45">
      <c r="A6034">
        <v>40</v>
      </c>
      <c r="B6034">
        <v>8</v>
      </c>
      <c r="C6034">
        <v>32000</v>
      </c>
      <c r="D6034" t="s">
        <v>71</v>
      </c>
      <c r="E6034" t="s">
        <v>74</v>
      </c>
      <c r="F6034" t="s">
        <v>81</v>
      </c>
    </row>
    <row r="6035" spans="1:6" x14ac:dyDescent="0.45">
      <c r="A6035">
        <v>45</v>
      </c>
      <c r="B6035">
        <v>8</v>
      </c>
      <c r="C6035">
        <v>33000</v>
      </c>
      <c r="D6035" t="s">
        <v>71</v>
      </c>
      <c r="E6035" t="s">
        <v>74</v>
      </c>
      <c r="F6035" t="s">
        <v>81</v>
      </c>
    </row>
    <row r="6036" spans="1:6" x14ac:dyDescent="0.45">
      <c r="A6036">
        <v>50</v>
      </c>
      <c r="B6036">
        <v>8</v>
      </c>
      <c r="C6036">
        <v>34324</v>
      </c>
      <c r="D6036" t="s">
        <v>71</v>
      </c>
      <c r="E6036" t="s">
        <v>74</v>
      </c>
      <c r="F6036" t="s">
        <v>81</v>
      </c>
    </row>
    <row r="6037" spans="1:6" x14ac:dyDescent="0.45">
      <c r="A6037">
        <v>40</v>
      </c>
      <c r="B6037">
        <v>8</v>
      </c>
      <c r="C6037">
        <v>35000</v>
      </c>
      <c r="D6037" t="s">
        <v>71</v>
      </c>
      <c r="E6037" t="s">
        <v>74</v>
      </c>
      <c r="F6037" t="s">
        <v>81</v>
      </c>
    </row>
    <row r="6038" spans="1:6" x14ac:dyDescent="0.45">
      <c r="A6038">
        <v>40</v>
      </c>
      <c r="B6038">
        <v>8</v>
      </c>
      <c r="C6038">
        <v>36000</v>
      </c>
      <c r="D6038" t="s">
        <v>71</v>
      </c>
      <c r="E6038" t="s">
        <v>74</v>
      </c>
      <c r="F6038" t="s">
        <v>81</v>
      </c>
    </row>
    <row r="6039" spans="1:6" x14ac:dyDescent="0.45">
      <c r="A6039">
        <v>40</v>
      </c>
      <c r="B6039">
        <v>8</v>
      </c>
      <c r="C6039">
        <v>38000</v>
      </c>
      <c r="D6039" t="s">
        <v>71</v>
      </c>
      <c r="E6039" t="s">
        <v>72</v>
      </c>
      <c r="F6039" t="s">
        <v>81</v>
      </c>
    </row>
    <row r="6040" spans="1:6" x14ac:dyDescent="0.45">
      <c r="A6040">
        <v>40</v>
      </c>
      <c r="B6040">
        <v>8</v>
      </c>
      <c r="C6040">
        <v>41600</v>
      </c>
      <c r="D6040" t="s">
        <v>71</v>
      </c>
      <c r="E6040" t="s">
        <v>74</v>
      </c>
      <c r="F6040" t="s">
        <v>81</v>
      </c>
    </row>
    <row r="6041" spans="1:6" x14ac:dyDescent="0.45">
      <c r="A6041">
        <v>40</v>
      </c>
      <c r="B6041">
        <v>8</v>
      </c>
      <c r="C6041">
        <v>43000</v>
      </c>
      <c r="D6041" t="s">
        <v>71</v>
      </c>
      <c r="E6041" t="s">
        <v>74</v>
      </c>
      <c r="F6041" t="s">
        <v>81</v>
      </c>
    </row>
    <row r="6042" spans="1:6" x14ac:dyDescent="0.45">
      <c r="A6042">
        <v>0</v>
      </c>
      <c r="B6042">
        <v>8</v>
      </c>
      <c r="C6042">
        <v>45000</v>
      </c>
      <c r="D6042" t="s">
        <v>71</v>
      </c>
      <c r="E6042" t="s">
        <v>74</v>
      </c>
      <c r="F6042" t="s">
        <v>81</v>
      </c>
    </row>
    <row r="6043" spans="1:6" x14ac:dyDescent="0.45">
      <c r="A6043">
        <v>50</v>
      </c>
      <c r="B6043">
        <v>8</v>
      </c>
      <c r="C6043">
        <v>46000</v>
      </c>
      <c r="D6043" t="s">
        <v>71</v>
      </c>
      <c r="E6043" t="s">
        <v>74</v>
      </c>
      <c r="F6043" t="s">
        <v>81</v>
      </c>
    </row>
    <row r="6044" spans="1:6" x14ac:dyDescent="0.45">
      <c r="A6044">
        <v>40</v>
      </c>
      <c r="B6044">
        <v>8</v>
      </c>
      <c r="C6044">
        <v>46000</v>
      </c>
      <c r="D6044" t="s">
        <v>71</v>
      </c>
      <c r="E6044" t="s">
        <v>74</v>
      </c>
      <c r="F6044" t="s">
        <v>81</v>
      </c>
    </row>
    <row r="6045" spans="1:6" x14ac:dyDescent="0.45">
      <c r="A6045">
        <v>55</v>
      </c>
      <c r="B6045">
        <v>8</v>
      </c>
      <c r="C6045">
        <v>47000</v>
      </c>
      <c r="D6045" t="s">
        <v>71</v>
      </c>
      <c r="E6045" t="s">
        <v>74</v>
      </c>
      <c r="F6045" t="s">
        <v>81</v>
      </c>
    </row>
    <row r="6046" spans="1:6" x14ac:dyDescent="0.45">
      <c r="A6046">
        <v>40</v>
      </c>
      <c r="B6046">
        <v>8</v>
      </c>
      <c r="C6046">
        <v>50000</v>
      </c>
      <c r="D6046" t="s">
        <v>71</v>
      </c>
      <c r="E6046" t="s">
        <v>74</v>
      </c>
      <c r="F6046" t="s">
        <v>81</v>
      </c>
    </row>
    <row r="6047" spans="1:6" x14ac:dyDescent="0.45">
      <c r="A6047">
        <v>55</v>
      </c>
      <c r="B6047">
        <v>8</v>
      </c>
      <c r="C6047">
        <v>50000</v>
      </c>
      <c r="D6047" t="s">
        <v>71</v>
      </c>
      <c r="E6047" t="s">
        <v>74</v>
      </c>
      <c r="F6047" t="s">
        <v>81</v>
      </c>
    </row>
    <row r="6048" spans="1:6" x14ac:dyDescent="0.45">
      <c r="A6048">
        <v>66</v>
      </c>
      <c r="B6048">
        <v>8</v>
      </c>
      <c r="C6048">
        <v>52000</v>
      </c>
      <c r="D6048" t="s">
        <v>71</v>
      </c>
      <c r="E6048" t="s">
        <v>74</v>
      </c>
      <c r="F6048" t="s">
        <v>81</v>
      </c>
    </row>
    <row r="6049" spans="1:6" x14ac:dyDescent="0.45">
      <c r="A6049">
        <v>40</v>
      </c>
      <c r="B6049">
        <v>8</v>
      </c>
      <c r="C6049">
        <v>58000</v>
      </c>
      <c r="D6049" t="s">
        <v>71</v>
      </c>
      <c r="E6049" t="s">
        <v>72</v>
      </c>
      <c r="F6049" t="s">
        <v>81</v>
      </c>
    </row>
    <row r="6050" spans="1:6" x14ac:dyDescent="0.45">
      <c r="A6050">
        <v>40</v>
      </c>
      <c r="B6050">
        <v>8</v>
      </c>
      <c r="C6050">
        <v>60000</v>
      </c>
      <c r="D6050" t="s">
        <v>71</v>
      </c>
      <c r="E6050" t="s">
        <v>74</v>
      </c>
      <c r="F6050" t="s">
        <v>81</v>
      </c>
    </row>
    <row r="6051" spans="1:6" x14ac:dyDescent="0.45">
      <c r="A6051">
        <v>40</v>
      </c>
      <c r="B6051">
        <v>8</v>
      </c>
      <c r="C6051">
        <v>60000</v>
      </c>
      <c r="D6051" t="s">
        <v>71</v>
      </c>
      <c r="E6051" t="s">
        <v>74</v>
      </c>
      <c r="F605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2B4D-A96B-4EF4-8668-45C53ECA3D02}">
  <dimension ref="A1:D25"/>
  <sheetViews>
    <sheetView showGridLines="0" zoomScale="170" zoomScaleNormal="170" workbookViewId="0"/>
  </sheetViews>
  <sheetFormatPr defaultRowHeight="14.25" x14ac:dyDescent="0.45"/>
  <cols>
    <col min="1" max="1" width="45.06640625" bestFit="1" customWidth="1"/>
    <col min="2" max="2" width="12.53125" bestFit="1" customWidth="1"/>
    <col min="3" max="3" width="6.33203125" bestFit="1" customWidth="1"/>
    <col min="4" max="4" width="9.86328125" bestFit="1" customWidth="1"/>
  </cols>
  <sheetData>
    <row r="1" spans="1:4" x14ac:dyDescent="0.45">
      <c r="A1" s="1" t="s">
        <v>60</v>
      </c>
    </row>
    <row r="2" spans="1:4" x14ac:dyDescent="0.45">
      <c r="A2" s="6" t="s">
        <v>59</v>
      </c>
      <c r="B2" s="6" t="s">
        <v>58</v>
      </c>
    </row>
    <row r="3" spans="1:4" x14ac:dyDescent="0.45">
      <c r="A3" s="6" t="s">
        <v>56</v>
      </c>
      <c r="B3" t="s">
        <v>51</v>
      </c>
      <c r="C3" t="s">
        <v>48</v>
      </c>
      <c r="D3" t="s">
        <v>57</v>
      </c>
    </row>
    <row r="4" spans="1:4" x14ac:dyDescent="0.45">
      <c r="A4" s="7" t="s">
        <v>55</v>
      </c>
      <c r="B4" s="8">
        <v>23</v>
      </c>
      <c r="C4" s="8">
        <v>862</v>
      </c>
      <c r="D4" s="8">
        <v>885</v>
      </c>
    </row>
    <row r="5" spans="1:4" x14ac:dyDescent="0.45">
      <c r="A5" s="7" t="s">
        <v>46</v>
      </c>
      <c r="B5" s="8">
        <v>145</v>
      </c>
      <c r="C5" s="8">
        <v>180</v>
      </c>
      <c r="D5" s="8">
        <v>325</v>
      </c>
    </row>
    <row r="6" spans="1:4" x14ac:dyDescent="0.45">
      <c r="A6" s="7" t="s">
        <v>53</v>
      </c>
      <c r="B6" s="8">
        <v>106</v>
      </c>
      <c r="C6" s="8">
        <v>179</v>
      </c>
      <c r="D6" s="8">
        <v>285</v>
      </c>
    </row>
    <row r="7" spans="1:4" x14ac:dyDescent="0.45">
      <c r="A7" s="7" t="s">
        <v>54</v>
      </c>
      <c r="B7" s="8">
        <v>196</v>
      </c>
      <c r="C7" s="8">
        <v>510</v>
      </c>
      <c r="D7" s="8">
        <v>706</v>
      </c>
    </row>
    <row r="8" spans="1:4" x14ac:dyDescent="0.45">
      <c r="A8" s="7" t="s">
        <v>57</v>
      </c>
      <c r="B8" s="8">
        <v>470</v>
      </c>
      <c r="C8" s="8">
        <v>1731</v>
      </c>
      <c r="D8" s="8">
        <v>2201</v>
      </c>
    </row>
    <row r="11" spans="1:4" x14ac:dyDescent="0.45">
      <c r="A11" s="1" t="s">
        <v>62</v>
      </c>
    </row>
    <row r="12" spans="1:4" x14ac:dyDescent="0.45">
      <c r="A12" s="6" t="s">
        <v>61</v>
      </c>
      <c r="B12" s="6" t="s">
        <v>58</v>
      </c>
    </row>
    <row r="13" spans="1:4" x14ac:dyDescent="0.45">
      <c r="A13" s="6" t="s">
        <v>56</v>
      </c>
      <c r="B13" t="s">
        <v>51</v>
      </c>
      <c r="C13" t="s">
        <v>48</v>
      </c>
      <c r="D13" t="s">
        <v>57</v>
      </c>
    </row>
    <row r="14" spans="1:4" x14ac:dyDescent="0.45">
      <c r="A14" s="7" t="s">
        <v>55</v>
      </c>
      <c r="B14" s="9">
        <v>0.86956521739130432</v>
      </c>
      <c r="C14" s="9">
        <v>0.22273781902552203</v>
      </c>
      <c r="D14" s="9">
        <v>0.23954802259887006</v>
      </c>
    </row>
    <row r="15" spans="1:4" x14ac:dyDescent="0.45">
      <c r="A15" s="7" t="s">
        <v>46</v>
      </c>
      <c r="B15" s="9">
        <v>0.97241379310344822</v>
      </c>
      <c r="C15" s="9">
        <v>0.34444444444444444</v>
      </c>
      <c r="D15" s="9">
        <v>0.62461538461538457</v>
      </c>
    </row>
    <row r="16" spans="1:4" x14ac:dyDescent="0.45">
      <c r="A16" s="7" t="s">
        <v>53</v>
      </c>
      <c r="B16" s="9">
        <v>0.87735849056603776</v>
      </c>
      <c r="C16" s="9">
        <v>0.13966480446927373</v>
      </c>
      <c r="D16" s="9">
        <v>0.41403508771929826</v>
      </c>
    </row>
    <row r="17" spans="1:4" x14ac:dyDescent="0.45">
      <c r="A17" s="7" t="s">
        <v>54</v>
      </c>
      <c r="B17" s="9">
        <v>0.45918367346938777</v>
      </c>
      <c r="C17" s="9">
        <v>0.17254901960784313</v>
      </c>
      <c r="D17" s="9">
        <v>0.25212464589235128</v>
      </c>
    </row>
    <row r="18" spans="1:4" x14ac:dyDescent="0.45">
      <c r="A18" s="7" t="s">
        <v>57</v>
      </c>
      <c r="B18" s="9">
        <v>0.73191489361702122</v>
      </c>
      <c r="C18" s="9">
        <v>0.21201617562102831</v>
      </c>
      <c r="D18" s="9">
        <v>0.32303498409813719</v>
      </c>
    </row>
    <row r="21" spans="1:4" x14ac:dyDescent="0.45">
      <c r="A21" s="1" t="s">
        <v>64</v>
      </c>
    </row>
    <row r="22" spans="1:4" x14ac:dyDescent="0.45">
      <c r="A22" s="6" t="s">
        <v>56</v>
      </c>
      <c r="B22" t="s">
        <v>61</v>
      </c>
      <c r="C22" t="s">
        <v>63</v>
      </c>
    </row>
    <row r="23" spans="1:4" x14ac:dyDescent="0.45">
      <c r="A23" s="7" t="s">
        <v>51</v>
      </c>
      <c r="B23" s="9">
        <v>0.73191489361702122</v>
      </c>
      <c r="C23" s="8">
        <v>470</v>
      </c>
    </row>
    <row r="24" spans="1:4" x14ac:dyDescent="0.45">
      <c r="A24" s="7" t="s">
        <v>48</v>
      </c>
      <c r="B24" s="9">
        <v>0.21201617562102831</v>
      </c>
      <c r="C24" s="8">
        <v>1731</v>
      </c>
    </row>
    <row r="25" spans="1:4" x14ac:dyDescent="0.45">
      <c r="A25" s="7" t="s">
        <v>57</v>
      </c>
      <c r="B25" s="9">
        <v>0.32303498409813719</v>
      </c>
      <c r="C25" s="8">
        <v>2201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3737-08BC-4827-B432-91A210B82E50}">
  <dimension ref="A1:E2202"/>
  <sheetViews>
    <sheetView showGridLines="0" zoomScale="170" zoomScaleNormal="170" workbookViewId="0"/>
  </sheetViews>
  <sheetFormatPr defaultRowHeight="14.25" x14ac:dyDescent="0.45"/>
  <cols>
    <col min="1" max="1" width="10.86328125" bestFit="1" customWidth="1"/>
    <col min="2" max="2" width="5.3984375" bestFit="1" customWidth="1"/>
    <col min="3" max="3" width="6.06640625" bestFit="1" customWidth="1"/>
    <col min="4" max="4" width="6.6640625" bestFit="1" customWidth="1"/>
    <col min="5" max="5" width="7.19921875" bestFit="1" customWidth="1"/>
  </cols>
  <sheetData>
    <row r="1" spans="1:5" x14ac:dyDescent="0.4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45">
      <c r="A2" t="s">
        <v>46</v>
      </c>
      <c r="B2" t="s">
        <v>47</v>
      </c>
      <c r="C2" t="s">
        <v>48</v>
      </c>
      <c r="D2" t="s">
        <v>49</v>
      </c>
      <c r="E2">
        <v>1</v>
      </c>
    </row>
    <row r="3" spans="1:5" x14ac:dyDescent="0.45">
      <c r="A3" t="s">
        <v>46</v>
      </c>
      <c r="B3" t="s">
        <v>47</v>
      </c>
      <c r="C3" t="s">
        <v>48</v>
      </c>
      <c r="D3" t="s">
        <v>49</v>
      </c>
      <c r="E3">
        <v>1</v>
      </c>
    </row>
    <row r="4" spans="1:5" x14ac:dyDescent="0.45">
      <c r="A4" t="s">
        <v>46</v>
      </c>
      <c r="B4" t="s">
        <v>47</v>
      </c>
      <c r="C4" t="s">
        <v>48</v>
      </c>
      <c r="D4" t="s">
        <v>49</v>
      </c>
      <c r="E4">
        <v>1</v>
      </c>
    </row>
    <row r="5" spans="1:5" x14ac:dyDescent="0.45">
      <c r="A5" t="s">
        <v>46</v>
      </c>
      <c r="B5" t="s">
        <v>47</v>
      </c>
      <c r="C5" t="s">
        <v>48</v>
      </c>
      <c r="D5" t="s">
        <v>49</v>
      </c>
      <c r="E5">
        <v>1</v>
      </c>
    </row>
    <row r="6" spans="1:5" x14ac:dyDescent="0.45">
      <c r="A6" t="s">
        <v>46</v>
      </c>
      <c r="B6" t="s">
        <v>47</v>
      </c>
      <c r="C6" t="s">
        <v>48</v>
      </c>
      <c r="D6" t="s">
        <v>49</v>
      </c>
      <c r="E6">
        <v>1</v>
      </c>
    </row>
    <row r="7" spans="1:5" x14ac:dyDescent="0.45">
      <c r="A7" t="s">
        <v>46</v>
      </c>
      <c r="B7" t="s">
        <v>47</v>
      </c>
      <c r="C7" t="s">
        <v>48</v>
      </c>
      <c r="D7" t="s">
        <v>49</v>
      </c>
      <c r="E7">
        <v>1</v>
      </c>
    </row>
    <row r="8" spans="1:5" x14ac:dyDescent="0.45">
      <c r="A8" t="s">
        <v>46</v>
      </c>
      <c r="B8" t="s">
        <v>47</v>
      </c>
      <c r="C8" t="s">
        <v>48</v>
      </c>
      <c r="D8" t="s">
        <v>49</v>
      </c>
      <c r="E8">
        <v>1</v>
      </c>
    </row>
    <row r="9" spans="1:5" x14ac:dyDescent="0.45">
      <c r="A9" t="s">
        <v>46</v>
      </c>
      <c r="B9" t="s">
        <v>47</v>
      </c>
      <c r="C9" t="s">
        <v>48</v>
      </c>
      <c r="D9" t="s">
        <v>49</v>
      </c>
      <c r="E9">
        <v>1</v>
      </c>
    </row>
    <row r="10" spans="1:5" x14ac:dyDescent="0.45">
      <c r="A10" t="s">
        <v>46</v>
      </c>
      <c r="B10" t="s">
        <v>47</v>
      </c>
      <c r="C10" t="s">
        <v>48</v>
      </c>
      <c r="D10" t="s">
        <v>49</v>
      </c>
      <c r="E10">
        <v>1</v>
      </c>
    </row>
    <row r="11" spans="1:5" x14ac:dyDescent="0.45">
      <c r="A11" t="s">
        <v>46</v>
      </c>
      <c r="B11" t="s">
        <v>47</v>
      </c>
      <c r="C11" t="s">
        <v>48</v>
      </c>
      <c r="D11" t="s">
        <v>49</v>
      </c>
      <c r="E11">
        <v>1</v>
      </c>
    </row>
    <row r="12" spans="1:5" x14ac:dyDescent="0.45">
      <c r="A12" t="s">
        <v>46</v>
      </c>
      <c r="B12" t="s">
        <v>47</v>
      </c>
      <c r="C12" t="s">
        <v>48</v>
      </c>
      <c r="D12" t="s">
        <v>49</v>
      </c>
      <c r="E12">
        <v>1</v>
      </c>
    </row>
    <row r="13" spans="1:5" x14ac:dyDescent="0.45">
      <c r="A13" t="s">
        <v>46</v>
      </c>
      <c r="B13" t="s">
        <v>47</v>
      </c>
      <c r="C13" t="s">
        <v>48</v>
      </c>
      <c r="D13" t="s">
        <v>49</v>
      </c>
      <c r="E13">
        <v>1</v>
      </c>
    </row>
    <row r="14" spans="1:5" x14ac:dyDescent="0.45">
      <c r="A14" t="s">
        <v>46</v>
      </c>
      <c r="B14" t="s">
        <v>47</v>
      </c>
      <c r="C14" t="s">
        <v>48</v>
      </c>
      <c r="D14" t="s">
        <v>49</v>
      </c>
      <c r="E14">
        <v>1</v>
      </c>
    </row>
    <row r="15" spans="1:5" x14ac:dyDescent="0.45">
      <c r="A15" t="s">
        <v>46</v>
      </c>
      <c r="B15" t="s">
        <v>47</v>
      </c>
      <c r="C15" t="s">
        <v>48</v>
      </c>
      <c r="D15" t="s">
        <v>49</v>
      </c>
      <c r="E15">
        <v>1</v>
      </c>
    </row>
    <row r="16" spans="1:5" x14ac:dyDescent="0.45">
      <c r="A16" t="s">
        <v>46</v>
      </c>
      <c r="B16" t="s">
        <v>47</v>
      </c>
      <c r="C16" t="s">
        <v>48</v>
      </c>
      <c r="D16" t="s">
        <v>49</v>
      </c>
      <c r="E16">
        <v>1</v>
      </c>
    </row>
    <row r="17" spans="1:5" x14ac:dyDescent="0.45">
      <c r="A17" t="s">
        <v>46</v>
      </c>
      <c r="B17" t="s">
        <v>47</v>
      </c>
      <c r="C17" t="s">
        <v>48</v>
      </c>
      <c r="D17" t="s">
        <v>49</v>
      </c>
      <c r="E17">
        <v>1</v>
      </c>
    </row>
    <row r="18" spans="1:5" x14ac:dyDescent="0.45">
      <c r="A18" t="s">
        <v>46</v>
      </c>
      <c r="B18" t="s">
        <v>47</v>
      </c>
      <c r="C18" t="s">
        <v>48</v>
      </c>
      <c r="D18" t="s">
        <v>49</v>
      </c>
      <c r="E18">
        <v>1</v>
      </c>
    </row>
    <row r="19" spans="1:5" x14ac:dyDescent="0.45">
      <c r="A19" t="s">
        <v>46</v>
      </c>
      <c r="B19" t="s">
        <v>47</v>
      </c>
      <c r="C19" t="s">
        <v>48</v>
      </c>
      <c r="D19" t="s">
        <v>49</v>
      </c>
      <c r="E19">
        <v>1</v>
      </c>
    </row>
    <row r="20" spans="1:5" x14ac:dyDescent="0.45">
      <c r="A20" t="s">
        <v>46</v>
      </c>
      <c r="B20" t="s">
        <v>47</v>
      </c>
      <c r="C20" t="s">
        <v>48</v>
      </c>
      <c r="D20" t="s">
        <v>49</v>
      </c>
      <c r="E20">
        <v>1</v>
      </c>
    </row>
    <row r="21" spans="1:5" x14ac:dyDescent="0.45">
      <c r="A21" t="s">
        <v>46</v>
      </c>
      <c r="B21" t="s">
        <v>47</v>
      </c>
      <c r="C21" t="s">
        <v>48</v>
      </c>
      <c r="D21" t="s">
        <v>49</v>
      </c>
      <c r="E21">
        <v>1</v>
      </c>
    </row>
    <row r="22" spans="1:5" x14ac:dyDescent="0.45">
      <c r="A22" t="s">
        <v>46</v>
      </c>
      <c r="B22" t="s">
        <v>47</v>
      </c>
      <c r="C22" t="s">
        <v>48</v>
      </c>
      <c r="D22" t="s">
        <v>49</v>
      </c>
      <c r="E22">
        <v>1</v>
      </c>
    </row>
    <row r="23" spans="1:5" x14ac:dyDescent="0.45">
      <c r="A23" t="s">
        <v>46</v>
      </c>
      <c r="B23" t="s">
        <v>47</v>
      </c>
      <c r="C23" t="s">
        <v>48</v>
      </c>
      <c r="D23" t="s">
        <v>49</v>
      </c>
      <c r="E23">
        <v>1</v>
      </c>
    </row>
    <row r="24" spans="1:5" x14ac:dyDescent="0.45">
      <c r="A24" t="s">
        <v>46</v>
      </c>
      <c r="B24" t="s">
        <v>47</v>
      </c>
      <c r="C24" t="s">
        <v>48</v>
      </c>
      <c r="D24" t="s">
        <v>49</v>
      </c>
      <c r="E24">
        <v>1</v>
      </c>
    </row>
    <row r="25" spans="1:5" x14ac:dyDescent="0.45">
      <c r="A25" t="s">
        <v>46</v>
      </c>
      <c r="B25" t="s">
        <v>47</v>
      </c>
      <c r="C25" t="s">
        <v>48</v>
      </c>
      <c r="D25" t="s">
        <v>49</v>
      </c>
      <c r="E25">
        <v>1</v>
      </c>
    </row>
    <row r="26" spans="1:5" x14ac:dyDescent="0.45">
      <c r="A26" t="s">
        <v>46</v>
      </c>
      <c r="B26" t="s">
        <v>47</v>
      </c>
      <c r="C26" t="s">
        <v>48</v>
      </c>
      <c r="D26" t="s">
        <v>49</v>
      </c>
      <c r="E26">
        <v>1</v>
      </c>
    </row>
    <row r="27" spans="1:5" x14ac:dyDescent="0.45">
      <c r="A27" t="s">
        <v>46</v>
      </c>
      <c r="B27" t="s">
        <v>47</v>
      </c>
      <c r="C27" t="s">
        <v>48</v>
      </c>
      <c r="D27" t="s">
        <v>49</v>
      </c>
      <c r="E27">
        <v>1</v>
      </c>
    </row>
    <row r="28" spans="1:5" x14ac:dyDescent="0.45">
      <c r="A28" t="s">
        <v>46</v>
      </c>
      <c r="B28" t="s">
        <v>47</v>
      </c>
      <c r="C28" t="s">
        <v>48</v>
      </c>
      <c r="D28" t="s">
        <v>49</v>
      </c>
      <c r="E28">
        <v>1</v>
      </c>
    </row>
    <row r="29" spans="1:5" x14ac:dyDescent="0.45">
      <c r="A29" t="s">
        <v>46</v>
      </c>
      <c r="B29" t="s">
        <v>47</v>
      </c>
      <c r="C29" t="s">
        <v>48</v>
      </c>
      <c r="D29" t="s">
        <v>49</v>
      </c>
      <c r="E29">
        <v>1</v>
      </c>
    </row>
    <row r="30" spans="1:5" x14ac:dyDescent="0.45">
      <c r="A30" t="s">
        <v>46</v>
      </c>
      <c r="B30" t="s">
        <v>47</v>
      </c>
      <c r="C30" t="s">
        <v>48</v>
      </c>
      <c r="D30" t="s">
        <v>49</v>
      </c>
      <c r="E30">
        <v>1</v>
      </c>
    </row>
    <row r="31" spans="1:5" x14ac:dyDescent="0.45">
      <c r="A31" t="s">
        <v>46</v>
      </c>
      <c r="B31" t="s">
        <v>47</v>
      </c>
      <c r="C31" t="s">
        <v>48</v>
      </c>
      <c r="D31" t="s">
        <v>49</v>
      </c>
      <c r="E31">
        <v>1</v>
      </c>
    </row>
    <row r="32" spans="1:5" x14ac:dyDescent="0.45">
      <c r="A32" t="s">
        <v>46</v>
      </c>
      <c r="B32" t="s">
        <v>47</v>
      </c>
      <c r="C32" t="s">
        <v>48</v>
      </c>
      <c r="D32" t="s">
        <v>49</v>
      </c>
      <c r="E32">
        <v>1</v>
      </c>
    </row>
    <row r="33" spans="1:5" x14ac:dyDescent="0.45">
      <c r="A33" t="s">
        <v>46</v>
      </c>
      <c r="B33" t="s">
        <v>47</v>
      </c>
      <c r="C33" t="s">
        <v>48</v>
      </c>
      <c r="D33" t="s">
        <v>49</v>
      </c>
      <c r="E33">
        <v>1</v>
      </c>
    </row>
    <row r="34" spans="1:5" x14ac:dyDescent="0.45">
      <c r="A34" t="s">
        <v>46</v>
      </c>
      <c r="B34" t="s">
        <v>47</v>
      </c>
      <c r="C34" t="s">
        <v>48</v>
      </c>
      <c r="D34" t="s">
        <v>49</v>
      </c>
      <c r="E34">
        <v>1</v>
      </c>
    </row>
    <row r="35" spans="1:5" x14ac:dyDescent="0.45">
      <c r="A35" t="s">
        <v>46</v>
      </c>
      <c r="B35" t="s">
        <v>47</v>
      </c>
      <c r="C35" t="s">
        <v>48</v>
      </c>
      <c r="D35" t="s">
        <v>49</v>
      </c>
      <c r="E35">
        <v>1</v>
      </c>
    </row>
    <row r="36" spans="1:5" x14ac:dyDescent="0.45">
      <c r="A36" t="s">
        <v>46</v>
      </c>
      <c r="B36" t="s">
        <v>47</v>
      </c>
      <c r="C36" t="s">
        <v>48</v>
      </c>
      <c r="D36" t="s">
        <v>49</v>
      </c>
      <c r="E36">
        <v>1</v>
      </c>
    </row>
    <row r="37" spans="1:5" x14ac:dyDescent="0.45">
      <c r="A37" t="s">
        <v>46</v>
      </c>
      <c r="B37" t="s">
        <v>47</v>
      </c>
      <c r="C37" t="s">
        <v>48</v>
      </c>
      <c r="D37" t="s">
        <v>49</v>
      </c>
      <c r="E37">
        <v>1</v>
      </c>
    </row>
    <row r="38" spans="1:5" x14ac:dyDescent="0.45">
      <c r="A38" t="s">
        <v>46</v>
      </c>
      <c r="B38" t="s">
        <v>47</v>
      </c>
      <c r="C38" t="s">
        <v>48</v>
      </c>
      <c r="D38" t="s">
        <v>49</v>
      </c>
      <c r="E38">
        <v>1</v>
      </c>
    </row>
    <row r="39" spans="1:5" x14ac:dyDescent="0.45">
      <c r="A39" t="s">
        <v>46</v>
      </c>
      <c r="B39" t="s">
        <v>47</v>
      </c>
      <c r="C39" t="s">
        <v>48</v>
      </c>
      <c r="D39" t="s">
        <v>49</v>
      </c>
      <c r="E39">
        <v>1</v>
      </c>
    </row>
    <row r="40" spans="1:5" x14ac:dyDescent="0.45">
      <c r="A40" t="s">
        <v>46</v>
      </c>
      <c r="B40" t="s">
        <v>47</v>
      </c>
      <c r="C40" t="s">
        <v>48</v>
      </c>
      <c r="D40" t="s">
        <v>49</v>
      </c>
      <c r="E40">
        <v>1</v>
      </c>
    </row>
    <row r="41" spans="1:5" x14ac:dyDescent="0.45">
      <c r="A41" t="s">
        <v>46</v>
      </c>
      <c r="B41" t="s">
        <v>47</v>
      </c>
      <c r="C41" t="s">
        <v>48</v>
      </c>
      <c r="D41" t="s">
        <v>49</v>
      </c>
      <c r="E41">
        <v>1</v>
      </c>
    </row>
    <row r="42" spans="1:5" x14ac:dyDescent="0.45">
      <c r="A42" t="s">
        <v>46</v>
      </c>
      <c r="B42" t="s">
        <v>47</v>
      </c>
      <c r="C42" t="s">
        <v>48</v>
      </c>
      <c r="D42" t="s">
        <v>49</v>
      </c>
      <c r="E42">
        <v>1</v>
      </c>
    </row>
    <row r="43" spans="1:5" x14ac:dyDescent="0.45">
      <c r="A43" t="s">
        <v>46</v>
      </c>
      <c r="B43" t="s">
        <v>47</v>
      </c>
      <c r="C43" t="s">
        <v>48</v>
      </c>
      <c r="D43" t="s">
        <v>49</v>
      </c>
      <c r="E43">
        <v>1</v>
      </c>
    </row>
    <row r="44" spans="1:5" x14ac:dyDescent="0.45">
      <c r="A44" t="s">
        <v>46</v>
      </c>
      <c r="B44" t="s">
        <v>47</v>
      </c>
      <c r="C44" t="s">
        <v>48</v>
      </c>
      <c r="D44" t="s">
        <v>49</v>
      </c>
      <c r="E44">
        <v>1</v>
      </c>
    </row>
    <row r="45" spans="1:5" x14ac:dyDescent="0.45">
      <c r="A45" t="s">
        <v>46</v>
      </c>
      <c r="B45" t="s">
        <v>47</v>
      </c>
      <c r="C45" t="s">
        <v>48</v>
      </c>
      <c r="D45" t="s">
        <v>49</v>
      </c>
      <c r="E45">
        <v>1</v>
      </c>
    </row>
    <row r="46" spans="1:5" x14ac:dyDescent="0.45">
      <c r="A46" t="s">
        <v>46</v>
      </c>
      <c r="B46" t="s">
        <v>47</v>
      </c>
      <c r="C46" t="s">
        <v>48</v>
      </c>
      <c r="D46" t="s">
        <v>49</v>
      </c>
      <c r="E46">
        <v>1</v>
      </c>
    </row>
    <row r="47" spans="1:5" x14ac:dyDescent="0.45">
      <c r="A47" t="s">
        <v>46</v>
      </c>
      <c r="B47" t="s">
        <v>47</v>
      </c>
      <c r="C47" t="s">
        <v>48</v>
      </c>
      <c r="D47" t="s">
        <v>49</v>
      </c>
      <c r="E47">
        <v>1</v>
      </c>
    </row>
    <row r="48" spans="1:5" x14ac:dyDescent="0.45">
      <c r="A48" t="s">
        <v>46</v>
      </c>
      <c r="B48" t="s">
        <v>47</v>
      </c>
      <c r="C48" t="s">
        <v>48</v>
      </c>
      <c r="D48" t="s">
        <v>49</v>
      </c>
      <c r="E48">
        <v>1</v>
      </c>
    </row>
    <row r="49" spans="1:5" x14ac:dyDescent="0.45">
      <c r="A49" t="s">
        <v>46</v>
      </c>
      <c r="B49" t="s">
        <v>47</v>
      </c>
      <c r="C49" t="s">
        <v>48</v>
      </c>
      <c r="D49" t="s">
        <v>49</v>
      </c>
      <c r="E49">
        <v>1</v>
      </c>
    </row>
    <row r="50" spans="1:5" x14ac:dyDescent="0.45">
      <c r="A50" t="s">
        <v>46</v>
      </c>
      <c r="B50" t="s">
        <v>47</v>
      </c>
      <c r="C50" t="s">
        <v>48</v>
      </c>
      <c r="D50" t="s">
        <v>49</v>
      </c>
      <c r="E50">
        <v>1</v>
      </c>
    </row>
    <row r="51" spans="1:5" x14ac:dyDescent="0.45">
      <c r="A51" t="s">
        <v>46</v>
      </c>
      <c r="B51" t="s">
        <v>47</v>
      </c>
      <c r="C51" t="s">
        <v>48</v>
      </c>
      <c r="D51" t="s">
        <v>49</v>
      </c>
      <c r="E51">
        <v>1</v>
      </c>
    </row>
    <row r="52" spans="1:5" x14ac:dyDescent="0.45">
      <c r="A52" t="s">
        <v>46</v>
      </c>
      <c r="B52" t="s">
        <v>47</v>
      </c>
      <c r="C52" t="s">
        <v>48</v>
      </c>
      <c r="D52" t="s">
        <v>49</v>
      </c>
      <c r="E52">
        <v>1</v>
      </c>
    </row>
    <row r="53" spans="1:5" x14ac:dyDescent="0.45">
      <c r="A53" t="s">
        <v>46</v>
      </c>
      <c r="B53" t="s">
        <v>47</v>
      </c>
      <c r="C53" t="s">
        <v>48</v>
      </c>
      <c r="D53" t="s">
        <v>49</v>
      </c>
      <c r="E53">
        <v>1</v>
      </c>
    </row>
    <row r="54" spans="1:5" x14ac:dyDescent="0.45">
      <c r="A54" t="s">
        <v>46</v>
      </c>
      <c r="B54" t="s">
        <v>47</v>
      </c>
      <c r="C54" t="s">
        <v>48</v>
      </c>
      <c r="D54" t="s">
        <v>49</v>
      </c>
      <c r="E54">
        <v>1</v>
      </c>
    </row>
    <row r="55" spans="1:5" x14ac:dyDescent="0.45">
      <c r="A55" t="s">
        <v>46</v>
      </c>
      <c r="B55" t="s">
        <v>47</v>
      </c>
      <c r="C55" t="s">
        <v>48</v>
      </c>
      <c r="D55" t="s">
        <v>49</v>
      </c>
      <c r="E55">
        <v>1</v>
      </c>
    </row>
    <row r="56" spans="1:5" x14ac:dyDescent="0.45">
      <c r="A56" t="s">
        <v>46</v>
      </c>
      <c r="B56" t="s">
        <v>47</v>
      </c>
      <c r="C56" t="s">
        <v>48</v>
      </c>
      <c r="D56" t="s">
        <v>49</v>
      </c>
      <c r="E56">
        <v>1</v>
      </c>
    </row>
    <row r="57" spans="1:5" x14ac:dyDescent="0.45">
      <c r="A57" t="s">
        <v>46</v>
      </c>
      <c r="B57" t="s">
        <v>47</v>
      </c>
      <c r="C57" t="s">
        <v>48</v>
      </c>
      <c r="D57" t="s">
        <v>49</v>
      </c>
      <c r="E57">
        <v>1</v>
      </c>
    </row>
    <row r="58" spans="1:5" x14ac:dyDescent="0.45">
      <c r="A58" t="s">
        <v>46</v>
      </c>
      <c r="B58" t="s">
        <v>47</v>
      </c>
      <c r="C58" t="s">
        <v>48</v>
      </c>
      <c r="D58" t="s">
        <v>49</v>
      </c>
      <c r="E58">
        <v>1</v>
      </c>
    </row>
    <row r="59" spans="1:5" x14ac:dyDescent="0.45">
      <c r="A59" t="s">
        <v>46</v>
      </c>
      <c r="B59" t="s">
        <v>47</v>
      </c>
      <c r="C59" t="s">
        <v>48</v>
      </c>
      <c r="D59" t="s">
        <v>50</v>
      </c>
      <c r="E59">
        <v>0</v>
      </c>
    </row>
    <row r="60" spans="1:5" x14ac:dyDescent="0.45">
      <c r="A60" t="s">
        <v>46</v>
      </c>
      <c r="B60" t="s">
        <v>47</v>
      </c>
      <c r="C60" t="s">
        <v>48</v>
      </c>
      <c r="D60" t="s">
        <v>50</v>
      </c>
      <c r="E60">
        <v>0</v>
      </c>
    </row>
    <row r="61" spans="1:5" x14ac:dyDescent="0.45">
      <c r="A61" t="s">
        <v>46</v>
      </c>
      <c r="B61" t="s">
        <v>47</v>
      </c>
      <c r="C61" t="s">
        <v>48</v>
      </c>
      <c r="D61" t="s">
        <v>50</v>
      </c>
      <c r="E61">
        <v>0</v>
      </c>
    </row>
    <row r="62" spans="1:5" x14ac:dyDescent="0.45">
      <c r="A62" t="s">
        <v>46</v>
      </c>
      <c r="B62" t="s">
        <v>47</v>
      </c>
      <c r="C62" t="s">
        <v>48</v>
      </c>
      <c r="D62" t="s">
        <v>50</v>
      </c>
      <c r="E62">
        <v>0</v>
      </c>
    </row>
    <row r="63" spans="1:5" x14ac:dyDescent="0.45">
      <c r="A63" t="s">
        <v>46</v>
      </c>
      <c r="B63" t="s">
        <v>47</v>
      </c>
      <c r="C63" t="s">
        <v>48</v>
      </c>
      <c r="D63" t="s">
        <v>50</v>
      </c>
      <c r="E63">
        <v>0</v>
      </c>
    </row>
    <row r="64" spans="1:5" x14ac:dyDescent="0.45">
      <c r="A64" t="s">
        <v>46</v>
      </c>
      <c r="B64" t="s">
        <v>47</v>
      </c>
      <c r="C64" t="s">
        <v>48</v>
      </c>
      <c r="D64" t="s">
        <v>50</v>
      </c>
      <c r="E64">
        <v>0</v>
      </c>
    </row>
    <row r="65" spans="1:5" x14ac:dyDescent="0.45">
      <c r="A65" t="s">
        <v>46</v>
      </c>
      <c r="B65" t="s">
        <v>47</v>
      </c>
      <c r="C65" t="s">
        <v>48</v>
      </c>
      <c r="D65" t="s">
        <v>50</v>
      </c>
      <c r="E65">
        <v>0</v>
      </c>
    </row>
    <row r="66" spans="1:5" x14ac:dyDescent="0.45">
      <c r="A66" t="s">
        <v>46</v>
      </c>
      <c r="B66" t="s">
        <v>47</v>
      </c>
      <c r="C66" t="s">
        <v>48</v>
      </c>
      <c r="D66" t="s">
        <v>50</v>
      </c>
      <c r="E66">
        <v>0</v>
      </c>
    </row>
    <row r="67" spans="1:5" x14ac:dyDescent="0.45">
      <c r="A67" t="s">
        <v>46</v>
      </c>
      <c r="B67" t="s">
        <v>47</v>
      </c>
      <c r="C67" t="s">
        <v>48</v>
      </c>
      <c r="D67" t="s">
        <v>50</v>
      </c>
      <c r="E67">
        <v>0</v>
      </c>
    </row>
    <row r="68" spans="1:5" x14ac:dyDescent="0.45">
      <c r="A68" t="s">
        <v>46</v>
      </c>
      <c r="B68" t="s">
        <v>47</v>
      </c>
      <c r="C68" t="s">
        <v>48</v>
      </c>
      <c r="D68" t="s">
        <v>50</v>
      </c>
      <c r="E68">
        <v>0</v>
      </c>
    </row>
    <row r="69" spans="1:5" x14ac:dyDescent="0.45">
      <c r="A69" t="s">
        <v>46</v>
      </c>
      <c r="B69" t="s">
        <v>47</v>
      </c>
      <c r="C69" t="s">
        <v>48</v>
      </c>
      <c r="D69" t="s">
        <v>50</v>
      </c>
      <c r="E69">
        <v>0</v>
      </c>
    </row>
    <row r="70" spans="1:5" x14ac:dyDescent="0.45">
      <c r="A70" t="s">
        <v>46</v>
      </c>
      <c r="B70" t="s">
        <v>47</v>
      </c>
      <c r="C70" t="s">
        <v>48</v>
      </c>
      <c r="D70" t="s">
        <v>50</v>
      </c>
      <c r="E70">
        <v>0</v>
      </c>
    </row>
    <row r="71" spans="1:5" x14ac:dyDescent="0.45">
      <c r="A71" t="s">
        <v>46</v>
      </c>
      <c r="B71" t="s">
        <v>47</v>
      </c>
      <c r="C71" t="s">
        <v>48</v>
      </c>
      <c r="D71" t="s">
        <v>50</v>
      </c>
      <c r="E71">
        <v>0</v>
      </c>
    </row>
    <row r="72" spans="1:5" x14ac:dyDescent="0.45">
      <c r="A72" t="s">
        <v>46</v>
      </c>
      <c r="B72" t="s">
        <v>47</v>
      </c>
      <c r="C72" t="s">
        <v>48</v>
      </c>
      <c r="D72" t="s">
        <v>50</v>
      </c>
      <c r="E72">
        <v>0</v>
      </c>
    </row>
    <row r="73" spans="1:5" x14ac:dyDescent="0.45">
      <c r="A73" t="s">
        <v>46</v>
      </c>
      <c r="B73" t="s">
        <v>47</v>
      </c>
      <c r="C73" t="s">
        <v>48</v>
      </c>
      <c r="D73" t="s">
        <v>50</v>
      </c>
      <c r="E73">
        <v>0</v>
      </c>
    </row>
    <row r="74" spans="1:5" x14ac:dyDescent="0.45">
      <c r="A74" t="s">
        <v>46</v>
      </c>
      <c r="B74" t="s">
        <v>47</v>
      </c>
      <c r="C74" t="s">
        <v>48</v>
      </c>
      <c r="D74" t="s">
        <v>50</v>
      </c>
      <c r="E74">
        <v>0</v>
      </c>
    </row>
    <row r="75" spans="1:5" x14ac:dyDescent="0.45">
      <c r="A75" t="s">
        <v>46</v>
      </c>
      <c r="B75" t="s">
        <v>47</v>
      </c>
      <c r="C75" t="s">
        <v>48</v>
      </c>
      <c r="D75" t="s">
        <v>50</v>
      </c>
      <c r="E75">
        <v>0</v>
      </c>
    </row>
    <row r="76" spans="1:5" x14ac:dyDescent="0.45">
      <c r="A76" t="s">
        <v>46</v>
      </c>
      <c r="B76" t="s">
        <v>47</v>
      </c>
      <c r="C76" t="s">
        <v>48</v>
      </c>
      <c r="D76" t="s">
        <v>50</v>
      </c>
      <c r="E76">
        <v>0</v>
      </c>
    </row>
    <row r="77" spans="1:5" x14ac:dyDescent="0.45">
      <c r="A77" t="s">
        <v>46</v>
      </c>
      <c r="B77" t="s">
        <v>47</v>
      </c>
      <c r="C77" t="s">
        <v>48</v>
      </c>
      <c r="D77" t="s">
        <v>50</v>
      </c>
      <c r="E77">
        <v>0</v>
      </c>
    </row>
    <row r="78" spans="1:5" x14ac:dyDescent="0.45">
      <c r="A78" t="s">
        <v>46</v>
      </c>
      <c r="B78" t="s">
        <v>47</v>
      </c>
      <c r="C78" t="s">
        <v>48</v>
      </c>
      <c r="D78" t="s">
        <v>50</v>
      </c>
      <c r="E78">
        <v>0</v>
      </c>
    </row>
    <row r="79" spans="1:5" x14ac:dyDescent="0.45">
      <c r="A79" t="s">
        <v>46</v>
      </c>
      <c r="B79" t="s">
        <v>47</v>
      </c>
      <c r="C79" t="s">
        <v>48</v>
      </c>
      <c r="D79" t="s">
        <v>50</v>
      </c>
      <c r="E79">
        <v>0</v>
      </c>
    </row>
    <row r="80" spans="1:5" x14ac:dyDescent="0.45">
      <c r="A80" t="s">
        <v>46</v>
      </c>
      <c r="B80" t="s">
        <v>47</v>
      </c>
      <c r="C80" t="s">
        <v>48</v>
      </c>
      <c r="D80" t="s">
        <v>50</v>
      </c>
      <c r="E80">
        <v>0</v>
      </c>
    </row>
    <row r="81" spans="1:5" x14ac:dyDescent="0.45">
      <c r="A81" t="s">
        <v>46</v>
      </c>
      <c r="B81" t="s">
        <v>47</v>
      </c>
      <c r="C81" t="s">
        <v>48</v>
      </c>
      <c r="D81" t="s">
        <v>50</v>
      </c>
      <c r="E81">
        <v>0</v>
      </c>
    </row>
    <row r="82" spans="1:5" x14ac:dyDescent="0.45">
      <c r="A82" t="s">
        <v>46</v>
      </c>
      <c r="B82" t="s">
        <v>47</v>
      </c>
      <c r="C82" t="s">
        <v>48</v>
      </c>
      <c r="D82" t="s">
        <v>50</v>
      </c>
      <c r="E82">
        <v>0</v>
      </c>
    </row>
    <row r="83" spans="1:5" x14ac:dyDescent="0.45">
      <c r="A83" t="s">
        <v>46</v>
      </c>
      <c r="B83" t="s">
        <v>47</v>
      </c>
      <c r="C83" t="s">
        <v>48</v>
      </c>
      <c r="D83" t="s">
        <v>50</v>
      </c>
      <c r="E83">
        <v>0</v>
      </c>
    </row>
    <row r="84" spans="1:5" x14ac:dyDescent="0.45">
      <c r="A84" t="s">
        <v>46</v>
      </c>
      <c r="B84" t="s">
        <v>47</v>
      </c>
      <c r="C84" t="s">
        <v>48</v>
      </c>
      <c r="D84" t="s">
        <v>50</v>
      </c>
      <c r="E84">
        <v>0</v>
      </c>
    </row>
    <row r="85" spans="1:5" x14ac:dyDescent="0.45">
      <c r="A85" t="s">
        <v>46</v>
      </c>
      <c r="B85" t="s">
        <v>47</v>
      </c>
      <c r="C85" t="s">
        <v>48</v>
      </c>
      <c r="D85" t="s">
        <v>50</v>
      </c>
      <c r="E85">
        <v>0</v>
      </c>
    </row>
    <row r="86" spans="1:5" x14ac:dyDescent="0.45">
      <c r="A86" t="s">
        <v>46</v>
      </c>
      <c r="B86" t="s">
        <v>47</v>
      </c>
      <c r="C86" t="s">
        <v>48</v>
      </c>
      <c r="D86" t="s">
        <v>50</v>
      </c>
      <c r="E86">
        <v>0</v>
      </c>
    </row>
    <row r="87" spans="1:5" x14ac:dyDescent="0.45">
      <c r="A87" t="s">
        <v>46</v>
      </c>
      <c r="B87" t="s">
        <v>47</v>
      </c>
      <c r="C87" t="s">
        <v>48</v>
      </c>
      <c r="D87" t="s">
        <v>50</v>
      </c>
      <c r="E87">
        <v>0</v>
      </c>
    </row>
    <row r="88" spans="1:5" x14ac:dyDescent="0.45">
      <c r="A88" t="s">
        <v>46</v>
      </c>
      <c r="B88" t="s">
        <v>47</v>
      </c>
      <c r="C88" t="s">
        <v>48</v>
      </c>
      <c r="D88" t="s">
        <v>50</v>
      </c>
      <c r="E88">
        <v>0</v>
      </c>
    </row>
    <row r="89" spans="1:5" x14ac:dyDescent="0.45">
      <c r="A89" t="s">
        <v>46</v>
      </c>
      <c r="B89" t="s">
        <v>47</v>
      </c>
      <c r="C89" t="s">
        <v>48</v>
      </c>
      <c r="D89" t="s">
        <v>50</v>
      </c>
      <c r="E89">
        <v>0</v>
      </c>
    </row>
    <row r="90" spans="1:5" x14ac:dyDescent="0.45">
      <c r="A90" t="s">
        <v>46</v>
      </c>
      <c r="B90" t="s">
        <v>47</v>
      </c>
      <c r="C90" t="s">
        <v>48</v>
      </c>
      <c r="D90" t="s">
        <v>50</v>
      </c>
      <c r="E90">
        <v>0</v>
      </c>
    </row>
    <row r="91" spans="1:5" x14ac:dyDescent="0.45">
      <c r="A91" t="s">
        <v>46</v>
      </c>
      <c r="B91" t="s">
        <v>47</v>
      </c>
      <c r="C91" t="s">
        <v>48</v>
      </c>
      <c r="D91" t="s">
        <v>50</v>
      </c>
      <c r="E91">
        <v>0</v>
      </c>
    </row>
    <row r="92" spans="1:5" x14ac:dyDescent="0.45">
      <c r="A92" t="s">
        <v>46</v>
      </c>
      <c r="B92" t="s">
        <v>47</v>
      </c>
      <c r="C92" t="s">
        <v>48</v>
      </c>
      <c r="D92" t="s">
        <v>50</v>
      </c>
      <c r="E92">
        <v>0</v>
      </c>
    </row>
    <row r="93" spans="1:5" x14ac:dyDescent="0.45">
      <c r="A93" t="s">
        <v>46</v>
      </c>
      <c r="B93" t="s">
        <v>47</v>
      </c>
      <c r="C93" t="s">
        <v>48</v>
      </c>
      <c r="D93" t="s">
        <v>50</v>
      </c>
      <c r="E93">
        <v>0</v>
      </c>
    </row>
    <row r="94" spans="1:5" x14ac:dyDescent="0.45">
      <c r="A94" t="s">
        <v>46</v>
      </c>
      <c r="B94" t="s">
        <v>47</v>
      </c>
      <c r="C94" t="s">
        <v>48</v>
      </c>
      <c r="D94" t="s">
        <v>50</v>
      </c>
      <c r="E94">
        <v>0</v>
      </c>
    </row>
    <row r="95" spans="1:5" x14ac:dyDescent="0.45">
      <c r="A95" t="s">
        <v>46</v>
      </c>
      <c r="B95" t="s">
        <v>47</v>
      </c>
      <c r="C95" t="s">
        <v>48</v>
      </c>
      <c r="D95" t="s">
        <v>50</v>
      </c>
      <c r="E95">
        <v>0</v>
      </c>
    </row>
    <row r="96" spans="1:5" x14ac:dyDescent="0.45">
      <c r="A96" t="s">
        <v>46</v>
      </c>
      <c r="B96" t="s">
        <v>47</v>
      </c>
      <c r="C96" t="s">
        <v>48</v>
      </c>
      <c r="D96" t="s">
        <v>50</v>
      </c>
      <c r="E96">
        <v>0</v>
      </c>
    </row>
    <row r="97" spans="1:5" x14ac:dyDescent="0.45">
      <c r="A97" t="s">
        <v>46</v>
      </c>
      <c r="B97" t="s">
        <v>47</v>
      </c>
      <c r="C97" t="s">
        <v>48</v>
      </c>
      <c r="D97" t="s">
        <v>50</v>
      </c>
      <c r="E97">
        <v>0</v>
      </c>
    </row>
    <row r="98" spans="1:5" x14ac:dyDescent="0.45">
      <c r="A98" t="s">
        <v>46</v>
      </c>
      <c r="B98" t="s">
        <v>47</v>
      </c>
      <c r="C98" t="s">
        <v>48</v>
      </c>
      <c r="D98" t="s">
        <v>50</v>
      </c>
      <c r="E98">
        <v>0</v>
      </c>
    </row>
    <row r="99" spans="1:5" x14ac:dyDescent="0.45">
      <c r="A99" t="s">
        <v>46</v>
      </c>
      <c r="B99" t="s">
        <v>47</v>
      </c>
      <c r="C99" t="s">
        <v>48</v>
      </c>
      <c r="D99" t="s">
        <v>50</v>
      </c>
      <c r="E99">
        <v>0</v>
      </c>
    </row>
    <row r="100" spans="1:5" x14ac:dyDescent="0.45">
      <c r="A100" t="s">
        <v>46</v>
      </c>
      <c r="B100" t="s">
        <v>47</v>
      </c>
      <c r="C100" t="s">
        <v>48</v>
      </c>
      <c r="D100" t="s">
        <v>50</v>
      </c>
      <c r="E100">
        <v>0</v>
      </c>
    </row>
    <row r="101" spans="1:5" x14ac:dyDescent="0.45">
      <c r="A101" t="s">
        <v>46</v>
      </c>
      <c r="B101" t="s">
        <v>47</v>
      </c>
      <c r="C101" t="s">
        <v>48</v>
      </c>
      <c r="D101" t="s">
        <v>50</v>
      </c>
      <c r="E101">
        <v>0</v>
      </c>
    </row>
    <row r="102" spans="1:5" x14ac:dyDescent="0.45">
      <c r="A102" t="s">
        <v>46</v>
      </c>
      <c r="B102" t="s">
        <v>47</v>
      </c>
      <c r="C102" t="s">
        <v>48</v>
      </c>
      <c r="D102" t="s">
        <v>50</v>
      </c>
      <c r="E102">
        <v>0</v>
      </c>
    </row>
    <row r="103" spans="1:5" x14ac:dyDescent="0.45">
      <c r="A103" t="s">
        <v>46</v>
      </c>
      <c r="B103" t="s">
        <v>47</v>
      </c>
      <c r="C103" t="s">
        <v>48</v>
      </c>
      <c r="D103" t="s">
        <v>50</v>
      </c>
      <c r="E103">
        <v>0</v>
      </c>
    </row>
    <row r="104" spans="1:5" x14ac:dyDescent="0.45">
      <c r="A104" t="s">
        <v>46</v>
      </c>
      <c r="B104" t="s">
        <v>47</v>
      </c>
      <c r="C104" t="s">
        <v>48</v>
      </c>
      <c r="D104" t="s">
        <v>50</v>
      </c>
      <c r="E104">
        <v>0</v>
      </c>
    </row>
    <row r="105" spans="1:5" x14ac:dyDescent="0.45">
      <c r="A105" t="s">
        <v>46</v>
      </c>
      <c r="B105" t="s">
        <v>47</v>
      </c>
      <c r="C105" t="s">
        <v>48</v>
      </c>
      <c r="D105" t="s">
        <v>50</v>
      </c>
      <c r="E105">
        <v>0</v>
      </c>
    </row>
    <row r="106" spans="1:5" x14ac:dyDescent="0.45">
      <c r="A106" t="s">
        <v>46</v>
      </c>
      <c r="B106" t="s">
        <v>47</v>
      </c>
      <c r="C106" t="s">
        <v>48</v>
      </c>
      <c r="D106" t="s">
        <v>50</v>
      </c>
      <c r="E106">
        <v>0</v>
      </c>
    </row>
    <row r="107" spans="1:5" x14ac:dyDescent="0.45">
      <c r="A107" t="s">
        <v>46</v>
      </c>
      <c r="B107" t="s">
        <v>47</v>
      </c>
      <c r="C107" t="s">
        <v>48</v>
      </c>
      <c r="D107" t="s">
        <v>50</v>
      </c>
      <c r="E107">
        <v>0</v>
      </c>
    </row>
    <row r="108" spans="1:5" x14ac:dyDescent="0.45">
      <c r="A108" t="s">
        <v>46</v>
      </c>
      <c r="B108" t="s">
        <v>47</v>
      </c>
      <c r="C108" t="s">
        <v>48</v>
      </c>
      <c r="D108" t="s">
        <v>50</v>
      </c>
      <c r="E108">
        <v>0</v>
      </c>
    </row>
    <row r="109" spans="1:5" x14ac:dyDescent="0.45">
      <c r="A109" t="s">
        <v>46</v>
      </c>
      <c r="B109" t="s">
        <v>47</v>
      </c>
      <c r="C109" t="s">
        <v>48</v>
      </c>
      <c r="D109" t="s">
        <v>50</v>
      </c>
      <c r="E109">
        <v>0</v>
      </c>
    </row>
    <row r="110" spans="1:5" x14ac:dyDescent="0.45">
      <c r="A110" t="s">
        <v>46</v>
      </c>
      <c r="B110" t="s">
        <v>47</v>
      </c>
      <c r="C110" t="s">
        <v>48</v>
      </c>
      <c r="D110" t="s">
        <v>50</v>
      </c>
      <c r="E110">
        <v>0</v>
      </c>
    </row>
    <row r="111" spans="1:5" x14ac:dyDescent="0.45">
      <c r="A111" t="s">
        <v>46</v>
      </c>
      <c r="B111" t="s">
        <v>47</v>
      </c>
      <c r="C111" t="s">
        <v>48</v>
      </c>
      <c r="D111" t="s">
        <v>50</v>
      </c>
      <c r="E111">
        <v>0</v>
      </c>
    </row>
    <row r="112" spans="1:5" x14ac:dyDescent="0.45">
      <c r="A112" t="s">
        <v>46</v>
      </c>
      <c r="B112" t="s">
        <v>47</v>
      </c>
      <c r="C112" t="s">
        <v>48</v>
      </c>
      <c r="D112" t="s">
        <v>50</v>
      </c>
      <c r="E112">
        <v>0</v>
      </c>
    </row>
    <row r="113" spans="1:5" x14ac:dyDescent="0.45">
      <c r="A113" t="s">
        <v>46</v>
      </c>
      <c r="B113" t="s">
        <v>47</v>
      </c>
      <c r="C113" t="s">
        <v>48</v>
      </c>
      <c r="D113" t="s">
        <v>50</v>
      </c>
      <c r="E113">
        <v>0</v>
      </c>
    </row>
    <row r="114" spans="1:5" x14ac:dyDescent="0.45">
      <c r="A114" t="s">
        <v>46</v>
      </c>
      <c r="B114" t="s">
        <v>47</v>
      </c>
      <c r="C114" t="s">
        <v>48</v>
      </c>
      <c r="D114" t="s">
        <v>50</v>
      </c>
      <c r="E114">
        <v>0</v>
      </c>
    </row>
    <row r="115" spans="1:5" x14ac:dyDescent="0.45">
      <c r="A115" t="s">
        <v>46</v>
      </c>
      <c r="B115" t="s">
        <v>47</v>
      </c>
      <c r="C115" t="s">
        <v>48</v>
      </c>
      <c r="D115" t="s">
        <v>50</v>
      </c>
      <c r="E115">
        <v>0</v>
      </c>
    </row>
    <row r="116" spans="1:5" x14ac:dyDescent="0.45">
      <c r="A116" t="s">
        <v>46</v>
      </c>
      <c r="B116" t="s">
        <v>47</v>
      </c>
      <c r="C116" t="s">
        <v>48</v>
      </c>
      <c r="D116" t="s">
        <v>50</v>
      </c>
      <c r="E116">
        <v>0</v>
      </c>
    </row>
    <row r="117" spans="1:5" x14ac:dyDescent="0.45">
      <c r="A117" t="s">
        <v>46</v>
      </c>
      <c r="B117" t="s">
        <v>47</v>
      </c>
      <c r="C117" t="s">
        <v>48</v>
      </c>
      <c r="D117" t="s">
        <v>50</v>
      </c>
      <c r="E117">
        <v>0</v>
      </c>
    </row>
    <row r="118" spans="1:5" x14ac:dyDescent="0.45">
      <c r="A118" t="s">
        <v>46</v>
      </c>
      <c r="B118" t="s">
        <v>47</v>
      </c>
      <c r="C118" t="s">
        <v>48</v>
      </c>
      <c r="D118" t="s">
        <v>50</v>
      </c>
      <c r="E118">
        <v>0</v>
      </c>
    </row>
    <row r="119" spans="1:5" x14ac:dyDescent="0.45">
      <c r="A119" t="s">
        <v>46</v>
      </c>
      <c r="B119" t="s">
        <v>47</v>
      </c>
      <c r="C119" t="s">
        <v>48</v>
      </c>
      <c r="D119" t="s">
        <v>50</v>
      </c>
      <c r="E119">
        <v>0</v>
      </c>
    </row>
    <row r="120" spans="1:5" x14ac:dyDescent="0.45">
      <c r="A120" t="s">
        <v>46</v>
      </c>
      <c r="B120" t="s">
        <v>47</v>
      </c>
      <c r="C120" t="s">
        <v>48</v>
      </c>
      <c r="D120" t="s">
        <v>50</v>
      </c>
      <c r="E120">
        <v>0</v>
      </c>
    </row>
    <row r="121" spans="1:5" x14ac:dyDescent="0.45">
      <c r="A121" t="s">
        <v>46</v>
      </c>
      <c r="B121" t="s">
        <v>47</v>
      </c>
      <c r="C121" t="s">
        <v>48</v>
      </c>
      <c r="D121" t="s">
        <v>50</v>
      </c>
      <c r="E121">
        <v>0</v>
      </c>
    </row>
    <row r="122" spans="1:5" x14ac:dyDescent="0.45">
      <c r="A122" t="s">
        <v>46</v>
      </c>
      <c r="B122" t="s">
        <v>47</v>
      </c>
      <c r="C122" t="s">
        <v>48</v>
      </c>
      <c r="D122" t="s">
        <v>50</v>
      </c>
      <c r="E122">
        <v>0</v>
      </c>
    </row>
    <row r="123" spans="1:5" x14ac:dyDescent="0.45">
      <c r="A123" t="s">
        <v>46</v>
      </c>
      <c r="B123" t="s">
        <v>47</v>
      </c>
      <c r="C123" t="s">
        <v>48</v>
      </c>
      <c r="D123" t="s">
        <v>50</v>
      </c>
      <c r="E123">
        <v>0</v>
      </c>
    </row>
    <row r="124" spans="1:5" x14ac:dyDescent="0.45">
      <c r="A124" t="s">
        <v>46</v>
      </c>
      <c r="B124" t="s">
        <v>47</v>
      </c>
      <c r="C124" t="s">
        <v>48</v>
      </c>
      <c r="D124" t="s">
        <v>50</v>
      </c>
      <c r="E124">
        <v>0</v>
      </c>
    </row>
    <row r="125" spans="1:5" x14ac:dyDescent="0.45">
      <c r="A125" t="s">
        <v>46</v>
      </c>
      <c r="B125" t="s">
        <v>47</v>
      </c>
      <c r="C125" t="s">
        <v>48</v>
      </c>
      <c r="D125" t="s">
        <v>50</v>
      </c>
      <c r="E125">
        <v>0</v>
      </c>
    </row>
    <row r="126" spans="1:5" x14ac:dyDescent="0.45">
      <c r="A126" t="s">
        <v>46</v>
      </c>
      <c r="B126" t="s">
        <v>47</v>
      </c>
      <c r="C126" t="s">
        <v>48</v>
      </c>
      <c r="D126" t="s">
        <v>50</v>
      </c>
      <c r="E126">
        <v>0</v>
      </c>
    </row>
    <row r="127" spans="1:5" x14ac:dyDescent="0.45">
      <c r="A127" t="s">
        <v>46</v>
      </c>
      <c r="B127" t="s">
        <v>47</v>
      </c>
      <c r="C127" t="s">
        <v>48</v>
      </c>
      <c r="D127" t="s">
        <v>50</v>
      </c>
      <c r="E127">
        <v>0</v>
      </c>
    </row>
    <row r="128" spans="1:5" x14ac:dyDescent="0.45">
      <c r="A128" t="s">
        <v>46</v>
      </c>
      <c r="B128" t="s">
        <v>47</v>
      </c>
      <c r="C128" t="s">
        <v>48</v>
      </c>
      <c r="D128" t="s">
        <v>50</v>
      </c>
      <c r="E128">
        <v>0</v>
      </c>
    </row>
    <row r="129" spans="1:5" x14ac:dyDescent="0.45">
      <c r="A129" t="s">
        <v>46</v>
      </c>
      <c r="B129" t="s">
        <v>47</v>
      </c>
      <c r="C129" t="s">
        <v>48</v>
      </c>
      <c r="D129" t="s">
        <v>50</v>
      </c>
      <c r="E129">
        <v>0</v>
      </c>
    </row>
    <row r="130" spans="1:5" x14ac:dyDescent="0.45">
      <c r="A130" t="s">
        <v>46</v>
      </c>
      <c r="B130" t="s">
        <v>47</v>
      </c>
      <c r="C130" t="s">
        <v>48</v>
      </c>
      <c r="D130" t="s">
        <v>50</v>
      </c>
      <c r="E130">
        <v>0</v>
      </c>
    </row>
    <row r="131" spans="1:5" x14ac:dyDescent="0.45">
      <c r="A131" t="s">
        <v>46</v>
      </c>
      <c r="B131" t="s">
        <v>47</v>
      </c>
      <c r="C131" t="s">
        <v>48</v>
      </c>
      <c r="D131" t="s">
        <v>50</v>
      </c>
      <c r="E131">
        <v>0</v>
      </c>
    </row>
    <row r="132" spans="1:5" x14ac:dyDescent="0.45">
      <c r="A132" t="s">
        <v>46</v>
      </c>
      <c r="B132" t="s">
        <v>47</v>
      </c>
      <c r="C132" t="s">
        <v>48</v>
      </c>
      <c r="D132" t="s">
        <v>50</v>
      </c>
      <c r="E132">
        <v>0</v>
      </c>
    </row>
    <row r="133" spans="1:5" x14ac:dyDescent="0.45">
      <c r="A133" t="s">
        <v>46</v>
      </c>
      <c r="B133" t="s">
        <v>47</v>
      </c>
      <c r="C133" t="s">
        <v>48</v>
      </c>
      <c r="D133" t="s">
        <v>50</v>
      </c>
      <c r="E133">
        <v>0</v>
      </c>
    </row>
    <row r="134" spans="1:5" x14ac:dyDescent="0.45">
      <c r="A134" t="s">
        <v>46</v>
      </c>
      <c r="B134" t="s">
        <v>47</v>
      </c>
      <c r="C134" t="s">
        <v>48</v>
      </c>
      <c r="D134" t="s">
        <v>50</v>
      </c>
      <c r="E134">
        <v>0</v>
      </c>
    </row>
    <row r="135" spans="1:5" x14ac:dyDescent="0.45">
      <c r="A135" t="s">
        <v>46</v>
      </c>
      <c r="B135" t="s">
        <v>47</v>
      </c>
      <c r="C135" t="s">
        <v>48</v>
      </c>
      <c r="D135" t="s">
        <v>50</v>
      </c>
      <c r="E135">
        <v>0</v>
      </c>
    </row>
    <row r="136" spans="1:5" x14ac:dyDescent="0.45">
      <c r="A136" t="s">
        <v>46</v>
      </c>
      <c r="B136" t="s">
        <v>47</v>
      </c>
      <c r="C136" t="s">
        <v>48</v>
      </c>
      <c r="D136" t="s">
        <v>50</v>
      </c>
      <c r="E136">
        <v>0</v>
      </c>
    </row>
    <row r="137" spans="1:5" x14ac:dyDescent="0.45">
      <c r="A137" t="s">
        <v>46</v>
      </c>
      <c r="B137" t="s">
        <v>47</v>
      </c>
      <c r="C137" t="s">
        <v>48</v>
      </c>
      <c r="D137" t="s">
        <v>50</v>
      </c>
      <c r="E137">
        <v>0</v>
      </c>
    </row>
    <row r="138" spans="1:5" x14ac:dyDescent="0.45">
      <c r="A138" t="s">
        <v>46</v>
      </c>
      <c r="B138" t="s">
        <v>47</v>
      </c>
      <c r="C138" t="s">
        <v>48</v>
      </c>
      <c r="D138" t="s">
        <v>50</v>
      </c>
      <c r="E138">
        <v>0</v>
      </c>
    </row>
    <row r="139" spans="1:5" x14ac:dyDescent="0.45">
      <c r="A139" t="s">
        <v>46</v>
      </c>
      <c r="B139" t="s">
        <v>47</v>
      </c>
      <c r="C139" t="s">
        <v>48</v>
      </c>
      <c r="D139" t="s">
        <v>50</v>
      </c>
      <c r="E139">
        <v>0</v>
      </c>
    </row>
    <row r="140" spans="1:5" x14ac:dyDescent="0.45">
      <c r="A140" t="s">
        <v>46</v>
      </c>
      <c r="B140" t="s">
        <v>47</v>
      </c>
      <c r="C140" t="s">
        <v>48</v>
      </c>
      <c r="D140" t="s">
        <v>50</v>
      </c>
      <c r="E140">
        <v>0</v>
      </c>
    </row>
    <row r="141" spans="1:5" x14ac:dyDescent="0.45">
      <c r="A141" t="s">
        <v>46</v>
      </c>
      <c r="B141" t="s">
        <v>47</v>
      </c>
      <c r="C141" t="s">
        <v>48</v>
      </c>
      <c r="D141" t="s">
        <v>50</v>
      </c>
      <c r="E141">
        <v>0</v>
      </c>
    </row>
    <row r="142" spans="1:5" x14ac:dyDescent="0.45">
      <c r="A142" t="s">
        <v>46</v>
      </c>
      <c r="B142" t="s">
        <v>47</v>
      </c>
      <c r="C142" t="s">
        <v>48</v>
      </c>
      <c r="D142" t="s">
        <v>50</v>
      </c>
      <c r="E142">
        <v>0</v>
      </c>
    </row>
    <row r="143" spans="1:5" x14ac:dyDescent="0.45">
      <c r="A143" t="s">
        <v>46</v>
      </c>
      <c r="B143" t="s">
        <v>47</v>
      </c>
      <c r="C143" t="s">
        <v>48</v>
      </c>
      <c r="D143" t="s">
        <v>50</v>
      </c>
      <c r="E143">
        <v>0</v>
      </c>
    </row>
    <row r="144" spans="1:5" x14ac:dyDescent="0.45">
      <c r="A144" t="s">
        <v>46</v>
      </c>
      <c r="B144" t="s">
        <v>47</v>
      </c>
      <c r="C144" t="s">
        <v>48</v>
      </c>
      <c r="D144" t="s">
        <v>50</v>
      </c>
      <c r="E144">
        <v>0</v>
      </c>
    </row>
    <row r="145" spans="1:5" x14ac:dyDescent="0.45">
      <c r="A145" t="s">
        <v>46</v>
      </c>
      <c r="B145" t="s">
        <v>47</v>
      </c>
      <c r="C145" t="s">
        <v>48</v>
      </c>
      <c r="D145" t="s">
        <v>50</v>
      </c>
      <c r="E145">
        <v>0</v>
      </c>
    </row>
    <row r="146" spans="1:5" x14ac:dyDescent="0.45">
      <c r="A146" t="s">
        <v>46</v>
      </c>
      <c r="B146" t="s">
        <v>47</v>
      </c>
      <c r="C146" t="s">
        <v>48</v>
      </c>
      <c r="D146" t="s">
        <v>50</v>
      </c>
      <c r="E146">
        <v>0</v>
      </c>
    </row>
    <row r="147" spans="1:5" x14ac:dyDescent="0.45">
      <c r="A147" t="s">
        <v>46</v>
      </c>
      <c r="B147" t="s">
        <v>47</v>
      </c>
      <c r="C147" t="s">
        <v>48</v>
      </c>
      <c r="D147" t="s">
        <v>50</v>
      </c>
      <c r="E147">
        <v>0</v>
      </c>
    </row>
    <row r="148" spans="1:5" x14ac:dyDescent="0.45">
      <c r="A148" t="s">
        <v>46</v>
      </c>
      <c r="B148" t="s">
        <v>47</v>
      </c>
      <c r="C148" t="s">
        <v>48</v>
      </c>
      <c r="D148" t="s">
        <v>50</v>
      </c>
      <c r="E148">
        <v>0</v>
      </c>
    </row>
    <row r="149" spans="1:5" x14ac:dyDescent="0.45">
      <c r="A149" t="s">
        <v>46</v>
      </c>
      <c r="B149" t="s">
        <v>47</v>
      </c>
      <c r="C149" t="s">
        <v>48</v>
      </c>
      <c r="D149" t="s">
        <v>50</v>
      </c>
      <c r="E149">
        <v>0</v>
      </c>
    </row>
    <row r="150" spans="1:5" x14ac:dyDescent="0.45">
      <c r="A150" t="s">
        <v>46</v>
      </c>
      <c r="B150" t="s">
        <v>47</v>
      </c>
      <c r="C150" t="s">
        <v>48</v>
      </c>
      <c r="D150" t="s">
        <v>50</v>
      </c>
      <c r="E150">
        <v>0</v>
      </c>
    </row>
    <row r="151" spans="1:5" x14ac:dyDescent="0.45">
      <c r="A151" t="s">
        <v>46</v>
      </c>
      <c r="B151" t="s">
        <v>47</v>
      </c>
      <c r="C151" t="s">
        <v>48</v>
      </c>
      <c r="D151" t="s">
        <v>50</v>
      </c>
      <c r="E151">
        <v>0</v>
      </c>
    </row>
    <row r="152" spans="1:5" x14ac:dyDescent="0.45">
      <c r="A152" t="s">
        <v>46</v>
      </c>
      <c r="B152" t="s">
        <v>47</v>
      </c>
      <c r="C152" t="s">
        <v>48</v>
      </c>
      <c r="D152" t="s">
        <v>50</v>
      </c>
      <c r="E152">
        <v>0</v>
      </c>
    </row>
    <row r="153" spans="1:5" x14ac:dyDescent="0.45">
      <c r="A153" t="s">
        <v>46</v>
      </c>
      <c r="B153" t="s">
        <v>47</v>
      </c>
      <c r="C153" t="s">
        <v>48</v>
      </c>
      <c r="D153" t="s">
        <v>50</v>
      </c>
      <c r="E153">
        <v>0</v>
      </c>
    </row>
    <row r="154" spans="1:5" x14ac:dyDescent="0.45">
      <c r="A154" t="s">
        <v>46</v>
      </c>
      <c r="B154" t="s">
        <v>47</v>
      </c>
      <c r="C154" t="s">
        <v>48</v>
      </c>
      <c r="D154" t="s">
        <v>50</v>
      </c>
      <c r="E154">
        <v>0</v>
      </c>
    </row>
    <row r="155" spans="1:5" x14ac:dyDescent="0.45">
      <c r="A155" t="s">
        <v>46</v>
      </c>
      <c r="B155" t="s">
        <v>47</v>
      </c>
      <c r="C155" t="s">
        <v>48</v>
      </c>
      <c r="D155" t="s">
        <v>50</v>
      </c>
      <c r="E155">
        <v>0</v>
      </c>
    </row>
    <row r="156" spans="1:5" x14ac:dyDescent="0.45">
      <c r="A156" t="s">
        <v>46</v>
      </c>
      <c r="B156" t="s">
        <v>47</v>
      </c>
      <c r="C156" t="s">
        <v>48</v>
      </c>
      <c r="D156" t="s">
        <v>50</v>
      </c>
      <c r="E156">
        <v>0</v>
      </c>
    </row>
    <row r="157" spans="1:5" x14ac:dyDescent="0.45">
      <c r="A157" t="s">
        <v>46</v>
      </c>
      <c r="B157" t="s">
        <v>47</v>
      </c>
      <c r="C157" t="s">
        <v>48</v>
      </c>
      <c r="D157" t="s">
        <v>50</v>
      </c>
      <c r="E157">
        <v>0</v>
      </c>
    </row>
    <row r="158" spans="1:5" x14ac:dyDescent="0.45">
      <c r="A158" t="s">
        <v>46</v>
      </c>
      <c r="B158" t="s">
        <v>47</v>
      </c>
      <c r="C158" t="s">
        <v>48</v>
      </c>
      <c r="D158" t="s">
        <v>50</v>
      </c>
      <c r="E158">
        <v>0</v>
      </c>
    </row>
    <row r="159" spans="1:5" x14ac:dyDescent="0.45">
      <c r="A159" t="s">
        <v>46</v>
      </c>
      <c r="B159" t="s">
        <v>47</v>
      </c>
      <c r="C159" t="s">
        <v>48</v>
      </c>
      <c r="D159" t="s">
        <v>50</v>
      </c>
      <c r="E159">
        <v>0</v>
      </c>
    </row>
    <row r="160" spans="1:5" x14ac:dyDescent="0.45">
      <c r="A160" t="s">
        <v>46</v>
      </c>
      <c r="B160" t="s">
        <v>47</v>
      </c>
      <c r="C160" t="s">
        <v>48</v>
      </c>
      <c r="D160" t="s">
        <v>50</v>
      </c>
      <c r="E160">
        <v>0</v>
      </c>
    </row>
    <row r="161" spans="1:5" x14ac:dyDescent="0.45">
      <c r="A161" t="s">
        <v>46</v>
      </c>
      <c r="B161" t="s">
        <v>47</v>
      </c>
      <c r="C161" t="s">
        <v>48</v>
      </c>
      <c r="D161" t="s">
        <v>50</v>
      </c>
      <c r="E161">
        <v>0</v>
      </c>
    </row>
    <row r="162" spans="1:5" x14ac:dyDescent="0.45">
      <c r="A162" t="s">
        <v>46</v>
      </c>
      <c r="B162" t="s">
        <v>47</v>
      </c>
      <c r="C162" t="s">
        <v>48</v>
      </c>
      <c r="D162" t="s">
        <v>50</v>
      </c>
      <c r="E162">
        <v>0</v>
      </c>
    </row>
    <row r="163" spans="1:5" x14ac:dyDescent="0.45">
      <c r="A163" t="s">
        <v>46</v>
      </c>
      <c r="B163" t="s">
        <v>47</v>
      </c>
      <c r="C163" t="s">
        <v>48</v>
      </c>
      <c r="D163" t="s">
        <v>50</v>
      </c>
      <c r="E163">
        <v>0</v>
      </c>
    </row>
    <row r="164" spans="1:5" x14ac:dyDescent="0.45">
      <c r="A164" t="s">
        <v>46</v>
      </c>
      <c r="B164" t="s">
        <v>47</v>
      </c>
      <c r="C164" t="s">
        <v>48</v>
      </c>
      <c r="D164" t="s">
        <v>50</v>
      </c>
      <c r="E164">
        <v>0</v>
      </c>
    </row>
    <row r="165" spans="1:5" x14ac:dyDescent="0.45">
      <c r="A165" t="s">
        <v>46</v>
      </c>
      <c r="B165" t="s">
        <v>47</v>
      </c>
      <c r="C165" t="s">
        <v>48</v>
      </c>
      <c r="D165" t="s">
        <v>50</v>
      </c>
      <c r="E165">
        <v>0</v>
      </c>
    </row>
    <row r="166" spans="1:5" x14ac:dyDescent="0.45">
      <c r="A166" t="s">
        <v>46</v>
      </c>
      <c r="B166" t="s">
        <v>47</v>
      </c>
      <c r="C166" t="s">
        <v>48</v>
      </c>
      <c r="D166" t="s">
        <v>50</v>
      </c>
      <c r="E166">
        <v>0</v>
      </c>
    </row>
    <row r="167" spans="1:5" x14ac:dyDescent="0.45">
      <c r="A167" t="s">
        <v>46</v>
      </c>
      <c r="B167" t="s">
        <v>47</v>
      </c>
      <c r="C167" t="s">
        <v>48</v>
      </c>
      <c r="D167" t="s">
        <v>50</v>
      </c>
      <c r="E167">
        <v>0</v>
      </c>
    </row>
    <row r="168" spans="1:5" x14ac:dyDescent="0.45">
      <c r="A168" t="s">
        <v>46</v>
      </c>
      <c r="B168" t="s">
        <v>47</v>
      </c>
      <c r="C168" t="s">
        <v>48</v>
      </c>
      <c r="D168" t="s">
        <v>50</v>
      </c>
      <c r="E168">
        <v>0</v>
      </c>
    </row>
    <row r="169" spans="1:5" x14ac:dyDescent="0.45">
      <c r="A169" t="s">
        <v>46</v>
      </c>
      <c r="B169" t="s">
        <v>47</v>
      </c>
      <c r="C169" t="s">
        <v>48</v>
      </c>
      <c r="D169" t="s">
        <v>50</v>
      </c>
      <c r="E169">
        <v>0</v>
      </c>
    </row>
    <row r="170" spans="1:5" x14ac:dyDescent="0.45">
      <c r="A170" t="s">
        <v>46</v>
      </c>
      <c r="B170" t="s">
        <v>47</v>
      </c>
      <c r="C170" t="s">
        <v>48</v>
      </c>
      <c r="D170" t="s">
        <v>50</v>
      </c>
      <c r="E170">
        <v>0</v>
      </c>
    </row>
    <row r="171" spans="1:5" x14ac:dyDescent="0.45">
      <c r="A171" t="s">
        <v>46</v>
      </c>
      <c r="B171" t="s">
        <v>47</v>
      </c>
      <c r="C171" t="s">
        <v>48</v>
      </c>
      <c r="D171" t="s">
        <v>50</v>
      </c>
      <c r="E171">
        <v>0</v>
      </c>
    </row>
    <row r="172" spans="1:5" x14ac:dyDescent="0.45">
      <c r="A172" t="s">
        <v>46</v>
      </c>
      <c r="B172" t="s">
        <v>47</v>
      </c>
      <c r="C172" t="s">
        <v>48</v>
      </c>
      <c r="D172" t="s">
        <v>50</v>
      </c>
      <c r="E172">
        <v>0</v>
      </c>
    </row>
    <row r="173" spans="1:5" x14ac:dyDescent="0.45">
      <c r="A173" t="s">
        <v>46</v>
      </c>
      <c r="B173" t="s">
        <v>47</v>
      </c>
      <c r="C173" t="s">
        <v>48</v>
      </c>
      <c r="D173" t="s">
        <v>50</v>
      </c>
      <c r="E173">
        <v>0</v>
      </c>
    </row>
    <row r="174" spans="1:5" x14ac:dyDescent="0.45">
      <c r="A174" t="s">
        <v>46</v>
      </c>
      <c r="B174" t="s">
        <v>47</v>
      </c>
      <c r="C174" t="s">
        <v>48</v>
      </c>
      <c r="D174" t="s">
        <v>50</v>
      </c>
      <c r="E174">
        <v>0</v>
      </c>
    </row>
    <row r="175" spans="1:5" x14ac:dyDescent="0.45">
      <c r="A175" t="s">
        <v>46</v>
      </c>
      <c r="B175" t="s">
        <v>47</v>
      </c>
      <c r="C175" t="s">
        <v>48</v>
      </c>
      <c r="D175" t="s">
        <v>50</v>
      </c>
      <c r="E175">
        <v>0</v>
      </c>
    </row>
    <row r="176" spans="1:5" x14ac:dyDescent="0.45">
      <c r="A176" t="s">
        <v>46</v>
      </c>
      <c r="B176" t="s">
        <v>47</v>
      </c>
      <c r="C176" t="s">
        <v>48</v>
      </c>
      <c r="D176" t="s">
        <v>50</v>
      </c>
      <c r="E176">
        <v>0</v>
      </c>
    </row>
    <row r="177" spans="1:5" x14ac:dyDescent="0.45">
      <c r="A177" t="s">
        <v>46</v>
      </c>
      <c r="B177" t="s">
        <v>47</v>
      </c>
      <c r="C177" t="s">
        <v>51</v>
      </c>
      <c r="D177" t="s">
        <v>49</v>
      </c>
      <c r="E177">
        <v>1</v>
      </c>
    </row>
    <row r="178" spans="1:5" x14ac:dyDescent="0.45">
      <c r="A178" t="s">
        <v>46</v>
      </c>
      <c r="B178" t="s">
        <v>47</v>
      </c>
      <c r="C178" t="s">
        <v>51</v>
      </c>
      <c r="D178" t="s">
        <v>49</v>
      </c>
      <c r="E178">
        <v>1</v>
      </c>
    </row>
    <row r="179" spans="1:5" x14ac:dyDescent="0.45">
      <c r="A179" t="s">
        <v>46</v>
      </c>
      <c r="B179" t="s">
        <v>47</v>
      </c>
      <c r="C179" t="s">
        <v>51</v>
      </c>
      <c r="D179" t="s">
        <v>49</v>
      </c>
      <c r="E179">
        <v>1</v>
      </c>
    </row>
    <row r="180" spans="1:5" x14ac:dyDescent="0.45">
      <c r="A180" t="s">
        <v>46</v>
      </c>
      <c r="B180" t="s">
        <v>47</v>
      </c>
      <c r="C180" t="s">
        <v>51</v>
      </c>
      <c r="D180" t="s">
        <v>49</v>
      </c>
      <c r="E180">
        <v>1</v>
      </c>
    </row>
    <row r="181" spans="1:5" x14ac:dyDescent="0.45">
      <c r="A181" t="s">
        <v>46</v>
      </c>
      <c r="B181" t="s">
        <v>47</v>
      </c>
      <c r="C181" t="s">
        <v>51</v>
      </c>
      <c r="D181" t="s">
        <v>49</v>
      </c>
      <c r="E181">
        <v>1</v>
      </c>
    </row>
    <row r="182" spans="1:5" x14ac:dyDescent="0.45">
      <c r="A182" t="s">
        <v>46</v>
      </c>
      <c r="B182" t="s">
        <v>47</v>
      </c>
      <c r="C182" t="s">
        <v>51</v>
      </c>
      <c r="D182" t="s">
        <v>49</v>
      </c>
      <c r="E182">
        <v>1</v>
      </c>
    </row>
    <row r="183" spans="1:5" x14ac:dyDescent="0.45">
      <c r="A183" t="s">
        <v>46</v>
      </c>
      <c r="B183" t="s">
        <v>47</v>
      </c>
      <c r="C183" t="s">
        <v>51</v>
      </c>
      <c r="D183" t="s">
        <v>49</v>
      </c>
      <c r="E183">
        <v>1</v>
      </c>
    </row>
    <row r="184" spans="1:5" x14ac:dyDescent="0.45">
      <c r="A184" t="s">
        <v>46</v>
      </c>
      <c r="B184" t="s">
        <v>47</v>
      </c>
      <c r="C184" t="s">
        <v>51</v>
      </c>
      <c r="D184" t="s">
        <v>49</v>
      </c>
      <c r="E184">
        <v>1</v>
      </c>
    </row>
    <row r="185" spans="1:5" x14ac:dyDescent="0.45">
      <c r="A185" t="s">
        <v>46</v>
      </c>
      <c r="B185" t="s">
        <v>47</v>
      </c>
      <c r="C185" t="s">
        <v>51</v>
      </c>
      <c r="D185" t="s">
        <v>49</v>
      </c>
      <c r="E185">
        <v>1</v>
      </c>
    </row>
    <row r="186" spans="1:5" x14ac:dyDescent="0.45">
      <c r="A186" t="s">
        <v>46</v>
      </c>
      <c r="B186" t="s">
        <v>47</v>
      </c>
      <c r="C186" t="s">
        <v>51</v>
      </c>
      <c r="D186" t="s">
        <v>49</v>
      </c>
      <c r="E186">
        <v>1</v>
      </c>
    </row>
    <row r="187" spans="1:5" x14ac:dyDescent="0.45">
      <c r="A187" t="s">
        <v>46</v>
      </c>
      <c r="B187" t="s">
        <v>47</v>
      </c>
      <c r="C187" t="s">
        <v>51</v>
      </c>
      <c r="D187" t="s">
        <v>49</v>
      </c>
      <c r="E187">
        <v>1</v>
      </c>
    </row>
    <row r="188" spans="1:5" x14ac:dyDescent="0.45">
      <c r="A188" t="s">
        <v>46</v>
      </c>
      <c r="B188" t="s">
        <v>47</v>
      </c>
      <c r="C188" t="s">
        <v>51</v>
      </c>
      <c r="D188" t="s">
        <v>49</v>
      </c>
      <c r="E188">
        <v>1</v>
      </c>
    </row>
    <row r="189" spans="1:5" x14ac:dyDescent="0.45">
      <c r="A189" t="s">
        <v>46</v>
      </c>
      <c r="B189" t="s">
        <v>47</v>
      </c>
      <c r="C189" t="s">
        <v>51</v>
      </c>
      <c r="D189" t="s">
        <v>49</v>
      </c>
      <c r="E189">
        <v>1</v>
      </c>
    </row>
    <row r="190" spans="1:5" x14ac:dyDescent="0.45">
      <c r="A190" t="s">
        <v>46</v>
      </c>
      <c r="B190" t="s">
        <v>47</v>
      </c>
      <c r="C190" t="s">
        <v>51</v>
      </c>
      <c r="D190" t="s">
        <v>49</v>
      </c>
      <c r="E190">
        <v>1</v>
      </c>
    </row>
    <row r="191" spans="1:5" x14ac:dyDescent="0.45">
      <c r="A191" t="s">
        <v>46</v>
      </c>
      <c r="B191" t="s">
        <v>47</v>
      </c>
      <c r="C191" t="s">
        <v>51</v>
      </c>
      <c r="D191" t="s">
        <v>49</v>
      </c>
      <c r="E191">
        <v>1</v>
      </c>
    </row>
    <row r="192" spans="1:5" x14ac:dyDescent="0.45">
      <c r="A192" t="s">
        <v>46</v>
      </c>
      <c r="B192" t="s">
        <v>47</v>
      </c>
      <c r="C192" t="s">
        <v>51</v>
      </c>
      <c r="D192" t="s">
        <v>49</v>
      </c>
      <c r="E192">
        <v>1</v>
      </c>
    </row>
    <row r="193" spans="1:5" x14ac:dyDescent="0.45">
      <c r="A193" t="s">
        <v>46</v>
      </c>
      <c r="B193" t="s">
        <v>47</v>
      </c>
      <c r="C193" t="s">
        <v>51</v>
      </c>
      <c r="D193" t="s">
        <v>49</v>
      </c>
      <c r="E193">
        <v>1</v>
      </c>
    </row>
    <row r="194" spans="1:5" x14ac:dyDescent="0.45">
      <c r="A194" t="s">
        <v>46</v>
      </c>
      <c r="B194" t="s">
        <v>47</v>
      </c>
      <c r="C194" t="s">
        <v>51</v>
      </c>
      <c r="D194" t="s">
        <v>49</v>
      </c>
      <c r="E194">
        <v>1</v>
      </c>
    </row>
    <row r="195" spans="1:5" x14ac:dyDescent="0.45">
      <c r="A195" t="s">
        <v>46</v>
      </c>
      <c r="B195" t="s">
        <v>47</v>
      </c>
      <c r="C195" t="s">
        <v>51</v>
      </c>
      <c r="D195" t="s">
        <v>49</v>
      </c>
      <c r="E195">
        <v>1</v>
      </c>
    </row>
    <row r="196" spans="1:5" x14ac:dyDescent="0.45">
      <c r="A196" t="s">
        <v>46</v>
      </c>
      <c r="B196" t="s">
        <v>47</v>
      </c>
      <c r="C196" t="s">
        <v>51</v>
      </c>
      <c r="D196" t="s">
        <v>49</v>
      </c>
      <c r="E196">
        <v>1</v>
      </c>
    </row>
    <row r="197" spans="1:5" x14ac:dyDescent="0.45">
      <c r="A197" t="s">
        <v>46</v>
      </c>
      <c r="B197" t="s">
        <v>47</v>
      </c>
      <c r="C197" t="s">
        <v>51</v>
      </c>
      <c r="D197" t="s">
        <v>49</v>
      </c>
      <c r="E197">
        <v>1</v>
      </c>
    </row>
    <row r="198" spans="1:5" x14ac:dyDescent="0.45">
      <c r="A198" t="s">
        <v>46</v>
      </c>
      <c r="B198" t="s">
        <v>47</v>
      </c>
      <c r="C198" t="s">
        <v>51</v>
      </c>
      <c r="D198" t="s">
        <v>49</v>
      </c>
      <c r="E198">
        <v>1</v>
      </c>
    </row>
    <row r="199" spans="1:5" x14ac:dyDescent="0.45">
      <c r="A199" t="s">
        <v>46</v>
      </c>
      <c r="B199" t="s">
        <v>47</v>
      </c>
      <c r="C199" t="s">
        <v>51</v>
      </c>
      <c r="D199" t="s">
        <v>49</v>
      </c>
      <c r="E199">
        <v>1</v>
      </c>
    </row>
    <row r="200" spans="1:5" x14ac:dyDescent="0.45">
      <c r="A200" t="s">
        <v>46</v>
      </c>
      <c r="B200" t="s">
        <v>47</v>
      </c>
      <c r="C200" t="s">
        <v>51</v>
      </c>
      <c r="D200" t="s">
        <v>49</v>
      </c>
      <c r="E200">
        <v>1</v>
      </c>
    </row>
    <row r="201" spans="1:5" x14ac:dyDescent="0.45">
      <c r="A201" t="s">
        <v>46</v>
      </c>
      <c r="B201" t="s">
        <v>47</v>
      </c>
      <c r="C201" t="s">
        <v>51</v>
      </c>
      <c r="D201" t="s">
        <v>49</v>
      </c>
      <c r="E201">
        <v>1</v>
      </c>
    </row>
    <row r="202" spans="1:5" x14ac:dyDescent="0.45">
      <c r="A202" t="s">
        <v>46</v>
      </c>
      <c r="B202" t="s">
        <v>47</v>
      </c>
      <c r="C202" t="s">
        <v>51</v>
      </c>
      <c r="D202" t="s">
        <v>49</v>
      </c>
      <c r="E202">
        <v>1</v>
      </c>
    </row>
    <row r="203" spans="1:5" x14ac:dyDescent="0.45">
      <c r="A203" t="s">
        <v>46</v>
      </c>
      <c r="B203" t="s">
        <v>47</v>
      </c>
      <c r="C203" t="s">
        <v>51</v>
      </c>
      <c r="D203" t="s">
        <v>49</v>
      </c>
      <c r="E203">
        <v>1</v>
      </c>
    </row>
    <row r="204" spans="1:5" x14ac:dyDescent="0.45">
      <c r="A204" t="s">
        <v>46</v>
      </c>
      <c r="B204" t="s">
        <v>47</v>
      </c>
      <c r="C204" t="s">
        <v>51</v>
      </c>
      <c r="D204" t="s">
        <v>49</v>
      </c>
      <c r="E204">
        <v>1</v>
      </c>
    </row>
    <row r="205" spans="1:5" x14ac:dyDescent="0.45">
      <c r="A205" t="s">
        <v>46</v>
      </c>
      <c r="B205" t="s">
        <v>47</v>
      </c>
      <c r="C205" t="s">
        <v>51</v>
      </c>
      <c r="D205" t="s">
        <v>49</v>
      </c>
      <c r="E205">
        <v>1</v>
      </c>
    </row>
    <row r="206" spans="1:5" x14ac:dyDescent="0.45">
      <c r="A206" t="s">
        <v>46</v>
      </c>
      <c r="B206" t="s">
        <v>47</v>
      </c>
      <c r="C206" t="s">
        <v>51</v>
      </c>
      <c r="D206" t="s">
        <v>49</v>
      </c>
      <c r="E206">
        <v>1</v>
      </c>
    </row>
    <row r="207" spans="1:5" x14ac:dyDescent="0.45">
      <c r="A207" t="s">
        <v>46</v>
      </c>
      <c r="B207" t="s">
        <v>47</v>
      </c>
      <c r="C207" t="s">
        <v>51</v>
      </c>
      <c r="D207" t="s">
        <v>49</v>
      </c>
      <c r="E207">
        <v>1</v>
      </c>
    </row>
    <row r="208" spans="1:5" x14ac:dyDescent="0.45">
      <c r="A208" t="s">
        <v>46</v>
      </c>
      <c r="B208" t="s">
        <v>47</v>
      </c>
      <c r="C208" t="s">
        <v>51</v>
      </c>
      <c r="D208" t="s">
        <v>49</v>
      </c>
      <c r="E208">
        <v>1</v>
      </c>
    </row>
    <row r="209" spans="1:5" x14ac:dyDescent="0.45">
      <c r="A209" t="s">
        <v>46</v>
      </c>
      <c r="B209" t="s">
        <v>47</v>
      </c>
      <c r="C209" t="s">
        <v>51</v>
      </c>
      <c r="D209" t="s">
        <v>49</v>
      </c>
      <c r="E209">
        <v>1</v>
      </c>
    </row>
    <row r="210" spans="1:5" x14ac:dyDescent="0.45">
      <c r="A210" t="s">
        <v>46</v>
      </c>
      <c r="B210" t="s">
        <v>47</v>
      </c>
      <c r="C210" t="s">
        <v>51</v>
      </c>
      <c r="D210" t="s">
        <v>49</v>
      </c>
      <c r="E210">
        <v>1</v>
      </c>
    </row>
    <row r="211" spans="1:5" x14ac:dyDescent="0.45">
      <c r="A211" t="s">
        <v>46</v>
      </c>
      <c r="B211" t="s">
        <v>47</v>
      </c>
      <c r="C211" t="s">
        <v>51</v>
      </c>
      <c r="D211" t="s">
        <v>49</v>
      </c>
      <c r="E211">
        <v>1</v>
      </c>
    </row>
    <row r="212" spans="1:5" x14ac:dyDescent="0.45">
      <c r="A212" t="s">
        <v>46</v>
      </c>
      <c r="B212" t="s">
        <v>47</v>
      </c>
      <c r="C212" t="s">
        <v>51</v>
      </c>
      <c r="D212" t="s">
        <v>49</v>
      </c>
      <c r="E212">
        <v>1</v>
      </c>
    </row>
    <row r="213" spans="1:5" x14ac:dyDescent="0.45">
      <c r="A213" t="s">
        <v>46</v>
      </c>
      <c r="B213" t="s">
        <v>47</v>
      </c>
      <c r="C213" t="s">
        <v>51</v>
      </c>
      <c r="D213" t="s">
        <v>49</v>
      </c>
      <c r="E213">
        <v>1</v>
      </c>
    </row>
    <row r="214" spans="1:5" x14ac:dyDescent="0.45">
      <c r="A214" t="s">
        <v>46</v>
      </c>
      <c r="B214" t="s">
        <v>47</v>
      </c>
      <c r="C214" t="s">
        <v>51</v>
      </c>
      <c r="D214" t="s">
        <v>49</v>
      </c>
      <c r="E214">
        <v>1</v>
      </c>
    </row>
    <row r="215" spans="1:5" x14ac:dyDescent="0.45">
      <c r="A215" t="s">
        <v>46</v>
      </c>
      <c r="B215" t="s">
        <v>47</v>
      </c>
      <c r="C215" t="s">
        <v>51</v>
      </c>
      <c r="D215" t="s">
        <v>49</v>
      </c>
      <c r="E215">
        <v>1</v>
      </c>
    </row>
    <row r="216" spans="1:5" x14ac:dyDescent="0.45">
      <c r="A216" t="s">
        <v>46</v>
      </c>
      <c r="B216" t="s">
        <v>47</v>
      </c>
      <c r="C216" t="s">
        <v>51</v>
      </c>
      <c r="D216" t="s">
        <v>49</v>
      </c>
      <c r="E216">
        <v>1</v>
      </c>
    </row>
    <row r="217" spans="1:5" x14ac:dyDescent="0.45">
      <c r="A217" t="s">
        <v>46</v>
      </c>
      <c r="B217" t="s">
        <v>47</v>
      </c>
      <c r="C217" t="s">
        <v>51</v>
      </c>
      <c r="D217" t="s">
        <v>49</v>
      </c>
      <c r="E217">
        <v>1</v>
      </c>
    </row>
    <row r="218" spans="1:5" x14ac:dyDescent="0.45">
      <c r="A218" t="s">
        <v>46</v>
      </c>
      <c r="B218" t="s">
        <v>47</v>
      </c>
      <c r="C218" t="s">
        <v>51</v>
      </c>
      <c r="D218" t="s">
        <v>49</v>
      </c>
      <c r="E218">
        <v>1</v>
      </c>
    </row>
    <row r="219" spans="1:5" x14ac:dyDescent="0.45">
      <c r="A219" t="s">
        <v>46</v>
      </c>
      <c r="B219" t="s">
        <v>47</v>
      </c>
      <c r="C219" t="s">
        <v>51</v>
      </c>
      <c r="D219" t="s">
        <v>49</v>
      </c>
      <c r="E219">
        <v>1</v>
      </c>
    </row>
    <row r="220" spans="1:5" x14ac:dyDescent="0.45">
      <c r="A220" t="s">
        <v>46</v>
      </c>
      <c r="B220" t="s">
        <v>47</v>
      </c>
      <c r="C220" t="s">
        <v>51</v>
      </c>
      <c r="D220" t="s">
        <v>49</v>
      </c>
      <c r="E220">
        <v>1</v>
      </c>
    </row>
    <row r="221" spans="1:5" x14ac:dyDescent="0.45">
      <c r="A221" t="s">
        <v>46</v>
      </c>
      <c r="B221" t="s">
        <v>47</v>
      </c>
      <c r="C221" t="s">
        <v>51</v>
      </c>
      <c r="D221" t="s">
        <v>49</v>
      </c>
      <c r="E221">
        <v>1</v>
      </c>
    </row>
    <row r="222" spans="1:5" x14ac:dyDescent="0.45">
      <c r="A222" t="s">
        <v>46</v>
      </c>
      <c r="B222" t="s">
        <v>47</v>
      </c>
      <c r="C222" t="s">
        <v>51</v>
      </c>
      <c r="D222" t="s">
        <v>49</v>
      </c>
      <c r="E222">
        <v>1</v>
      </c>
    </row>
    <row r="223" spans="1:5" x14ac:dyDescent="0.45">
      <c r="A223" t="s">
        <v>46</v>
      </c>
      <c r="B223" t="s">
        <v>47</v>
      </c>
      <c r="C223" t="s">
        <v>51</v>
      </c>
      <c r="D223" t="s">
        <v>49</v>
      </c>
      <c r="E223">
        <v>1</v>
      </c>
    </row>
    <row r="224" spans="1:5" x14ac:dyDescent="0.45">
      <c r="A224" t="s">
        <v>46</v>
      </c>
      <c r="B224" t="s">
        <v>47</v>
      </c>
      <c r="C224" t="s">
        <v>51</v>
      </c>
      <c r="D224" t="s">
        <v>49</v>
      </c>
      <c r="E224">
        <v>1</v>
      </c>
    </row>
    <row r="225" spans="1:5" x14ac:dyDescent="0.45">
      <c r="A225" t="s">
        <v>46</v>
      </c>
      <c r="B225" t="s">
        <v>47</v>
      </c>
      <c r="C225" t="s">
        <v>51</v>
      </c>
      <c r="D225" t="s">
        <v>49</v>
      </c>
      <c r="E225">
        <v>1</v>
      </c>
    </row>
    <row r="226" spans="1:5" x14ac:dyDescent="0.45">
      <c r="A226" t="s">
        <v>46</v>
      </c>
      <c r="B226" t="s">
        <v>47</v>
      </c>
      <c r="C226" t="s">
        <v>51</v>
      </c>
      <c r="D226" t="s">
        <v>49</v>
      </c>
      <c r="E226">
        <v>1</v>
      </c>
    </row>
    <row r="227" spans="1:5" x14ac:dyDescent="0.45">
      <c r="A227" t="s">
        <v>46</v>
      </c>
      <c r="B227" t="s">
        <v>47</v>
      </c>
      <c r="C227" t="s">
        <v>51</v>
      </c>
      <c r="D227" t="s">
        <v>49</v>
      </c>
      <c r="E227">
        <v>1</v>
      </c>
    </row>
    <row r="228" spans="1:5" x14ac:dyDescent="0.45">
      <c r="A228" t="s">
        <v>46</v>
      </c>
      <c r="B228" t="s">
        <v>47</v>
      </c>
      <c r="C228" t="s">
        <v>51</v>
      </c>
      <c r="D228" t="s">
        <v>49</v>
      </c>
      <c r="E228">
        <v>1</v>
      </c>
    </row>
    <row r="229" spans="1:5" x14ac:dyDescent="0.45">
      <c r="A229" t="s">
        <v>46</v>
      </c>
      <c r="B229" t="s">
        <v>47</v>
      </c>
      <c r="C229" t="s">
        <v>51</v>
      </c>
      <c r="D229" t="s">
        <v>49</v>
      </c>
      <c r="E229">
        <v>1</v>
      </c>
    </row>
    <row r="230" spans="1:5" x14ac:dyDescent="0.45">
      <c r="A230" t="s">
        <v>46</v>
      </c>
      <c r="B230" t="s">
        <v>47</v>
      </c>
      <c r="C230" t="s">
        <v>51</v>
      </c>
      <c r="D230" t="s">
        <v>49</v>
      </c>
      <c r="E230">
        <v>1</v>
      </c>
    </row>
    <row r="231" spans="1:5" x14ac:dyDescent="0.45">
      <c r="A231" t="s">
        <v>46</v>
      </c>
      <c r="B231" t="s">
        <v>47</v>
      </c>
      <c r="C231" t="s">
        <v>51</v>
      </c>
      <c r="D231" t="s">
        <v>49</v>
      </c>
      <c r="E231">
        <v>1</v>
      </c>
    </row>
    <row r="232" spans="1:5" x14ac:dyDescent="0.45">
      <c r="A232" t="s">
        <v>46</v>
      </c>
      <c r="B232" t="s">
        <v>47</v>
      </c>
      <c r="C232" t="s">
        <v>51</v>
      </c>
      <c r="D232" t="s">
        <v>49</v>
      </c>
      <c r="E232">
        <v>1</v>
      </c>
    </row>
    <row r="233" spans="1:5" x14ac:dyDescent="0.45">
      <c r="A233" t="s">
        <v>46</v>
      </c>
      <c r="B233" t="s">
        <v>47</v>
      </c>
      <c r="C233" t="s">
        <v>51</v>
      </c>
      <c r="D233" t="s">
        <v>49</v>
      </c>
      <c r="E233">
        <v>1</v>
      </c>
    </row>
    <row r="234" spans="1:5" x14ac:dyDescent="0.45">
      <c r="A234" t="s">
        <v>46</v>
      </c>
      <c r="B234" t="s">
        <v>47</v>
      </c>
      <c r="C234" t="s">
        <v>51</v>
      </c>
      <c r="D234" t="s">
        <v>49</v>
      </c>
      <c r="E234">
        <v>1</v>
      </c>
    </row>
    <row r="235" spans="1:5" x14ac:dyDescent="0.45">
      <c r="A235" t="s">
        <v>46</v>
      </c>
      <c r="B235" t="s">
        <v>47</v>
      </c>
      <c r="C235" t="s">
        <v>51</v>
      </c>
      <c r="D235" t="s">
        <v>49</v>
      </c>
      <c r="E235">
        <v>1</v>
      </c>
    </row>
    <row r="236" spans="1:5" x14ac:dyDescent="0.45">
      <c r="A236" t="s">
        <v>46</v>
      </c>
      <c r="B236" t="s">
        <v>47</v>
      </c>
      <c r="C236" t="s">
        <v>51</v>
      </c>
      <c r="D236" t="s">
        <v>49</v>
      </c>
      <c r="E236">
        <v>1</v>
      </c>
    </row>
    <row r="237" spans="1:5" x14ac:dyDescent="0.45">
      <c r="A237" t="s">
        <v>46</v>
      </c>
      <c r="B237" t="s">
        <v>47</v>
      </c>
      <c r="C237" t="s">
        <v>51</v>
      </c>
      <c r="D237" t="s">
        <v>49</v>
      </c>
      <c r="E237">
        <v>1</v>
      </c>
    </row>
    <row r="238" spans="1:5" x14ac:dyDescent="0.45">
      <c r="A238" t="s">
        <v>46</v>
      </c>
      <c r="B238" t="s">
        <v>47</v>
      </c>
      <c r="C238" t="s">
        <v>51</v>
      </c>
      <c r="D238" t="s">
        <v>49</v>
      </c>
      <c r="E238">
        <v>1</v>
      </c>
    </row>
    <row r="239" spans="1:5" x14ac:dyDescent="0.45">
      <c r="A239" t="s">
        <v>46</v>
      </c>
      <c r="B239" t="s">
        <v>47</v>
      </c>
      <c r="C239" t="s">
        <v>51</v>
      </c>
      <c r="D239" t="s">
        <v>49</v>
      </c>
      <c r="E239">
        <v>1</v>
      </c>
    </row>
    <row r="240" spans="1:5" x14ac:dyDescent="0.45">
      <c r="A240" t="s">
        <v>46</v>
      </c>
      <c r="B240" t="s">
        <v>47</v>
      </c>
      <c r="C240" t="s">
        <v>51</v>
      </c>
      <c r="D240" t="s">
        <v>49</v>
      </c>
      <c r="E240">
        <v>1</v>
      </c>
    </row>
    <row r="241" spans="1:5" x14ac:dyDescent="0.45">
      <c r="A241" t="s">
        <v>46</v>
      </c>
      <c r="B241" t="s">
        <v>47</v>
      </c>
      <c r="C241" t="s">
        <v>51</v>
      </c>
      <c r="D241" t="s">
        <v>49</v>
      </c>
      <c r="E241">
        <v>1</v>
      </c>
    </row>
    <row r="242" spans="1:5" x14ac:dyDescent="0.45">
      <c r="A242" t="s">
        <v>46</v>
      </c>
      <c r="B242" t="s">
        <v>47</v>
      </c>
      <c r="C242" t="s">
        <v>51</v>
      </c>
      <c r="D242" t="s">
        <v>49</v>
      </c>
      <c r="E242">
        <v>1</v>
      </c>
    </row>
    <row r="243" spans="1:5" x14ac:dyDescent="0.45">
      <c r="A243" t="s">
        <v>46</v>
      </c>
      <c r="B243" t="s">
        <v>47</v>
      </c>
      <c r="C243" t="s">
        <v>51</v>
      </c>
      <c r="D243" t="s">
        <v>49</v>
      </c>
      <c r="E243">
        <v>1</v>
      </c>
    </row>
    <row r="244" spans="1:5" x14ac:dyDescent="0.45">
      <c r="A244" t="s">
        <v>46</v>
      </c>
      <c r="B244" t="s">
        <v>47</v>
      </c>
      <c r="C244" t="s">
        <v>51</v>
      </c>
      <c r="D244" t="s">
        <v>49</v>
      </c>
      <c r="E244">
        <v>1</v>
      </c>
    </row>
    <row r="245" spans="1:5" x14ac:dyDescent="0.45">
      <c r="A245" t="s">
        <v>46</v>
      </c>
      <c r="B245" t="s">
        <v>47</v>
      </c>
      <c r="C245" t="s">
        <v>51</v>
      </c>
      <c r="D245" t="s">
        <v>49</v>
      </c>
      <c r="E245">
        <v>1</v>
      </c>
    </row>
    <row r="246" spans="1:5" x14ac:dyDescent="0.45">
      <c r="A246" t="s">
        <v>46</v>
      </c>
      <c r="B246" t="s">
        <v>47</v>
      </c>
      <c r="C246" t="s">
        <v>51</v>
      </c>
      <c r="D246" t="s">
        <v>49</v>
      </c>
      <c r="E246">
        <v>1</v>
      </c>
    </row>
    <row r="247" spans="1:5" x14ac:dyDescent="0.45">
      <c r="A247" t="s">
        <v>46</v>
      </c>
      <c r="B247" t="s">
        <v>47</v>
      </c>
      <c r="C247" t="s">
        <v>51</v>
      </c>
      <c r="D247" t="s">
        <v>49</v>
      </c>
      <c r="E247">
        <v>1</v>
      </c>
    </row>
    <row r="248" spans="1:5" x14ac:dyDescent="0.45">
      <c r="A248" t="s">
        <v>46</v>
      </c>
      <c r="B248" t="s">
        <v>47</v>
      </c>
      <c r="C248" t="s">
        <v>51</v>
      </c>
      <c r="D248" t="s">
        <v>49</v>
      </c>
      <c r="E248">
        <v>1</v>
      </c>
    </row>
    <row r="249" spans="1:5" x14ac:dyDescent="0.45">
      <c r="A249" t="s">
        <v>46</v>
      </c>
      <c r="B249" t="s">
        <v>47</v>
      </c>
      <c r="C249" t="s">
        <v>51</v>
      </c>
      <c r="D249" t="s">
        <v>49</v>
      </c>
      <c r="E249">
        <v>1</v>
      </c>
    </row>
    <row r="250" spans="1:5" x14ac:dyDescent="0.45">
      <c r="A250" t="s">
        <v>46</v>
      </c>
      <c r="B250" t="s">
        <v>47</v>
      </c>
      <c r="C250" t="s">
        <v>51</v>
      </c>
      <c r="D250" t="s">
        <v>49</v>
      </c>
      <c r="E250">
        <v>1</v>
      </c>
    </row>
    <row r="251" spans="1:5" x14ac:dyDescent="0.45">
      <c r="A251" t="s">
        <v>46</v>
      </c>
      <c r="B251" t="s">
        <v>47</v>
      </c>
      <c r="C251" t="s">
        <v>51</v>
      </c>
      <c r="D251" t="s">
        <v>49</v>
      </c>
      <c r="E251">
        <v>1</v>
      </c>
    </row>
    <row r="252" spans="1:5" x14ac:dyDescent="0.45">
      <c r="A252" t="s">
        <v>46</v>
      </c>
      <c r="B252" t="s">
        <v>47</v>
      </c>
      <c r="C252" t="s">
        <v>51</v>
      </c>
      <c r="D252" t="s">
        <v>49</v>
      </c>
      <c r="E252">
        <v>1</v>
      </c>
    </row>
    <row r="253" spans="1:5" x14ac:dyDescent="0.45">
      <c r="A253" t="s">
        <v>46</v>
      </c>
      <c r="B253" t="s">
        <v>47</v>
      </c>
      <c r="C253" t="s">
        <v>51</v>
      </c>
      <c r="D253" t="s">
        <v>49</v>
      </c>
      <c r="E253">
        <v>1</v>
      </c>
    </row>
    <row r="254" spans="1:5" x14ac:dyDescent="0.45">
      <c r="A254" t="s">
        <v>46</v>
      </c>
      <c r="B254" t="s">
        <v>47</v>
      </c>
      <c r="C254" t="s">
        <v>51</v>
      </c>
      <c r="D254" t="s">
        <v>49</v>
      </c>
      <c r="E254">
        <v>1</v>
      </c>
    </row>
    <row r="255" spans="1:5" x14ac:dyDescent="0.45">
      <c r="A255" t="s">
        <v>46</v>
      </c>
      <c r="B255" t="s">
        <v>47</v>
      </c>
      <c r="C255" t="s">
        <v>51</v>
      </c>
      <c r="D255" t="s">
        <v>49</v>
      </c>
      <c r="E255">
        <v>1</v>
      </c>
    </row>
    <row r="256" spans="1:5" x14ac:dyDescent="0.45">
      <c r="A256" t="s">
        <v>46</v>
      </c>
      <c r="B256" t="s">
        <v>47</v>
      </c>
      <c r="C256" t="s">
        <v>51</v>
      </c>
      <c r="D256" t="s">
        <v>49</v>
      </c>
      <c r="E256">
        <v>1</v>
      </c>
    </row>
    <row r="257" spans="1:5" x14ac:dyDescent="0.45">
      <c r="A257" t="s">
        <v>46</v>
      </c>
      <c r="B257" t="s">
        <v>47</v>
      </c>
      <c r="C257" t="s">
        <v>51</v>
      </c>
      <c r="D257" t="s">
        <v>49</v>
      </c>
      <c r="E257">
        <v>1</v>
      </c>
    </row>
    <row r="258" spans="1:5" x14ac:dyDescent="0.45">
      <c r="A258" t="s">
        <v>46</v>
      </c>
      <c r="B258" t="s">
        <v>47</v>
      </c>
      <c r="C258" t="s">
        <v>51</v>
      </c>
      <c r="D258" t="s">
        <v>49</v>
      </c>
      <c r="E258">
        <v>1</v>
      </c>
    </row>
    <row r="259" spans="1:5" x14ac:dyDescent="0.45">
      <c r="A259" t="s">
        <v>46</v>
      </c>
      <c r="B259" t="s">
        <v>47</v>
      </c>
      <c r="C259" t="s">
        <v>51</v>
      </c>
      <c r="D259" t="s">
        <v>49</v>
      </c>
      <c r="E259">
        <v>1</v>
      </c>
    </row>
    <row r="260" spans="1:5" x14ac:dyDescent="0.45">
      <c r="A260" t="s">
        <v>46</v>
      </c>
      <c r="B260" t="s">
        <v>47</v>
      </c>
      <c r="C260" t="s">
        <v>51</v>
      </c>
      <c r="D260" t="s">
        <v>49</v>
      </c>
      <c r="E260">
        <v>1</v>
      </c>
    </row>
    <row r="261" spans="1:5" x14ac:dyDescent="0.45">
      <c r="A261" t="s">
        <v>46</v>
      </c>
      <c r="B261" t="s">
        <v>47</v>
      </c>
      <c r="C261" t="s">
        <v>51</v>
      </c>
      <c r="D261" t="s">
        <v>49</v>
      </c>
      <c r="E261">
        <v>1</v>
      </c>
    </row>
    <row r="262" spans="1:5" x14ac:dyDescent="0.45">
      <c r="A262" t="s">
        <v>46</v>
      </c>
      <c r="B262" t="s">
        <v>47</v>
      </c>
      <c r="C262" t="s">
        <v>51</v>
      </c>
      <c r="D262" t="s">
        <v>49</v>
      </c>
      <c r="E262">
        <v>1</v>
      </c>
    </row>
    <row r="263" spans="1:5" x14ac:dyDescent="0.45">
      <c r="A263" t="s">
        <v>46</v>
      </c>
      <c r="B263" t="s">
        <v>47</v>
      </c>
      <c r="C263" t="s">
        <v>51</v>
      </c>
      <c r="D263" t="s">
        <v>49</v>
      </c>
      <c r="E263">
        <v>1</v>
      </c>
    </row>
    <row r="264" spans="1:5" x14ac:dyDescent="0.45">
      <c r="A264" t="s">
        <v>46</v>
      </c>
      <c r="B264" t="s">
        <v>47</v>
      </c>
      <c r="C264" t="s">
        <v>51</v>
      </c>
      <c r="D264" t="s">
        <v>49</v>
      </c>
      <c r="E264">
        <v>1</v>
      </c>
    </row>
    <row r="265" spans="1:5" x14ac:dyDescent="0.45">
      <c r="A265" t="s">
        <v>46</v>
      </c>
      <c r="B265" t="s">
        <v>47</v>
      </c>
      <c r="C265" t="s">
        <v>51</v>
      </c>
      <c r="D265" t="s">
        <v>49</v>
      </c>
      <c r="E265">
        <v>1</v>
      </c>
    </row>
    <row r="266" spans="1:5" x14ac:dyDescent="0.45">
      <c r="A266" t="s">
        <v>46</v>
      </c>
      <c r="B266" t="s">
        <v>47</v>
      </c>
      <c r="C266" t="s">
        <v>51</v>
      </c>
      <c r="D266" t="s">
        <v>49</v>
      </c>
      <c r="E266">
        <v>1</v>
      </c>
    </row>
    <row r="267" spans="1:5" x14ac:dyDescent="0.45">
      <c r="A267" t="s">
        <v>46</v>
      </c>
      <c r="B267" t="s">
        <v>47</v>
      </c>
      <c r="C267" t="s">
        <v>51</v>
      </c>
      <c r="D267" t="s">
        <v>49</v>
      </c>
      <c r="E267">
        <v>1</v>
      </c>
    </row>
    <row r="268" spans="1:5" x14ac:dyDescent="0.45">
      <c r="A268" t="s">
        <v>46</v>
      </c>
      <c r="B268" t="s">
        <v>47</v>
      </c>
      <c r="C268" t="s">
        <v>51</v>
      </c>
      <c r="D268" t="s">
        <v>49</v>
      </c>
      <c r="E268">
        <v>1</v>
      </c>
    </row>
    <row r="269" spans="1:5" x14ac:dyDescent="0.45">
      <c r="A269" t="s">
        <v>46</v>
      </c>
      <c r="B269" t="s">
        <v>47</v>
      </c>
      <c r="C269" t="s">
        <v>51</v>
      </c>
      <c r="D269" t="s">
        <v>49</v>
      </c>
      <c r="E269">
        <v>1</v>
      </c>
    </row>
    <row r="270" spans="1:5" x14ac:dyDescent="0.45">
      <c r="A270" t="s">
        <v>46</v>
      </c>
      <c r="B270" t="s">
        <v>47</v>
      </c>
      <c r="C270" t="s">
        <v>51</v>
      </c>
      <c r="D270" t="s">
        <v>49</v>
      </c>
      <c r="E270">
        <v>1</v>
      </c>
    </row>
    <row r="271" spans="1:5" x14ac:dyDescent="0.45">
      <c r="A271" t="s">
        <v>46</v>
      </c>
      <c r="B271" t="s">
        <v>47</v>
      </c>
      <c r="C271" t="s">
        <v>51</v>
      </c>
      <c r="D271" t="s">
        <v>49</v>
      </c>
      <c r="E271">
        <v>1</v>
      </c>
    </row>
    <row r="272" spans="1:5" x14ac:dyDescent="0.45">
      <c r="A272" t="s">
        <v>46</v>
      </c>
      <c r="B272" t="s">
        <v>47</v>
      </c>
      <c r="C272" t="s">
        <v>51</v>
      </c>
      <c r="D272" t="s">
        <v>49</v>
      </c>
      <c r="E272">
        <v>1</v>
      </c>
    </row>
    <row r="273" spans="1:5" x14ac:dyDescent="0.45">
      <c r="A273" t="s">
        <v>46</v>
      </c>
      <c r="B273" t="s">
        <v>47</v>
      </c>
      <c r="C273" t="s">
        <v>51</v>
      </c>
      <c r="D273" t="s">
        <v>49</v>
      </c>
      <c r="E273">
        <v>1</v>
      </c>
    </row>
    <row r="274" spans="1:5" x14ac:dyDescent="0.45">
      <c r="A274" t="s">
        <v>46</v>
      </c>
      <c r="B274" t="s">
        <v>47</v>
      </c>
      <c r="C274" t="s">
        <v>51</v>
      </c>
      <c r="D274" t="s">
        <v>49</v>
      </c>
      <c r="E274">
        <v>1</v>
      </c>
    </row>
    <row r="275" spans="1:5" x14ac:dyDescent="0.45">
      <c r="A275" t="s">
        <v>46</v>
      </c>
      <c r="B275" t="s">
        <v>47</v>
      </c>
      <c r="C275" t="s">
        <v>51</v>
      </c>
      <c r="D275" t="s">
        <v>49</v>
      </c>
      <c r="E275">
        <v>1</v>
      </c>
    </row>
    <row r="276" spans="1:5" x14ac:dyDescent="0.45">
      <c r="A276" t="s">
        <v>46</v>
      </c>
      <c r="B276" t="s">
        <v>47</v>
      </c>
      <c r="C276" t="s">
        <v>51</v>
      </c>
      <c r="D276" t="s">
        <v>49</v>
      </c>
      <c r="E276">
        <v>1</v>
      </c>
    </row>
    <row r="277" spans="1:5" x14ac:dyDescent="0.45">
      <c r="A277" t="s">
        <v>46</v>
      </c>
      <c r="B277" t="s">
        <v>47</v>
      </c>
      <c r="C277" t="s">
        <v>51</v>
      </c>
      <c r="D277" t="s">
        <v>49</v>
      </c>
      <c r="E277">
        <v>1</v>
      </c>
    </row>
    <row r="278" spans="1:5" x14ac:dyDescent="0.45">
      <c r="A278" t="s">
        <v>46</v>
      </c>
      <c r="B278" t="s">
        <v>47</v>
      </c>
      <c r="C278" t="s">
        <v>51</v>
      </c>
      <c r="D278" t="s">
        <v>49</v>
      </c>
      <c r="E278">
        <v>1</v>
      </c>
    </row>
    <row r="279" spans="1:5" x14ac:dyDescent="0.45">
      <c r="A279" t="s">
        <v>46</v>
      </c>
      <c r="B279" t="s">
        <v>47</v>
      </c>
      <c r="C279" t="s">
        <v>51</v>
      </c>
      <c r="D279" t="s">
        <v>49</v>
      </c>
      <c r="E279">
        <v>1</v>
      </c>
    </row>
    <row r="280" spans="1:5" x14ac:dyDescent="0.45">
      <c r="A280" t="s">
        <v>46</v>
      </c>
      <c r="B280" t="s">
        <v>47</v>
      </c>
      <c r="C280" t="s">
        <v>51</v>
      </c>
      <c r="D280" t="s">
        <v>49</v>
      </c>
      <c r="E280">
        <v>1</v>
      </c>
    </row>
    <row r="281" spans="1:5" x14ac:dyDescent="0.45">
      <c r="A281" t="s">
        <v>46</v>
      </c>
      <c r="B281" t="s">
        <v>47</v>
      </c>
      <c r="C281" t="s">
        <v>51</v>
      </c>
      <c r="D281" t="s">
        <v>49</v>
      </c>
      <c r="E281">
        <v>1</v>
      </c>
    </row>
    <row r="282" spans="1:5" x14ac:dyDescent="0.45">
      <c r="A282" t="s">
        <v>46</v>
      </c>
      <c r="B282" t="s">
        <v>47</v>
      </c>
      <c r="C282" t="s">
        <v>51</v>
      </c>
      <c r="D282" t="s">
        <v>49</v>
      </c>
      <c r="E282">
        <v>1</v>
      </c>
    </row>
    <row r="283" spans="1:5" x14ac:dyDescent="0.45">
      <c r="A283" t="s">
        <v>46</v>
      </c>
      <c r="B283" t="s">
        <v>47</v>
      </c>
      <c r="C283" t="s">
        <v>51</v>
      </c>
      <c r="D283" t="s">
        <v>49</v>
      </c>
      <c r="E283">
        <v>1</v>
      </c>
    </row>
    <row r="284" spans="1:5" x14ac:dyDescent="0.45">
      <c r="A284" t="s">
        <v>46</v>
      </c>
      <c r="B284" t="s">
        <v>47</v>
      </c>
      <c r="C284" t="s">
        <v>51</v>
      </c>
      <c r="D284" t="s">
        <v>49</v>
      </c>
      <c r="E284">
        <v>1</v>
      </c>
    </row>
    <row r="285" spans="1:5" x14ac:dyDescent="0.45">
      <c r="A285" t="s">
        <v>46</v>
      </c>
      <c r="B285" t="s">
        <v>47</v>
      </c>
      <c r="C285" t="s">
        <v>51</v>
      </c>
      <c r="D285" t="s">
        <v>49</v>
      </c>
      <c r="E285">
        <v>1</v>
      </c>
    </row>
    <row r="286" spans="1:5" x14ac:dyDescent="0.45">
      <c r="A286" t="s">
        <v>46</v>
      </c>
      <c r="B286" t="s">
        <v>47</v>
      </c>
      <c r="C286" t="s">
        <v>51</v>
      </c>
      <c r="D286" t="s">
        <v>49</v>
      </c>
      <c r="E286">
        <v>1</v>
      </c>
    </row>
    <row r="287" spans="1:5" x14ac:dyDescent="0.45">
      <c r="A287" t="s">
        <v>46</v>
      </c>
      <c r="B287" t="s">
        <v>47</v>
      </c>
      <c r="C287" t="s">
        <v>51</v>
      </c>
      <c r="D287" t="s">
        <v>49</v>
      </c>
      <c r="E287">
        <v>1</v>
      </c>
    </row>
    <row r="288" spans="1:5" x14ac:dyDescent="0.45">
      <c r="A288" t="s">
        <v>46</v>
      </c>
      <c r="B288" t="s">
        <v>47</v>
      </c>
      <c r="C288" t="s">
        <v>51</v>
      </c>
      <c r="D288" t="s">
        <v>49</v>
      </c>
      <c r="E288">
        <v>1</v>
      </c>
    </row>
    <row r="289" spans="1:5" x14ac:dyDescent="0.45">
      <c r="A289" t="s">
        <v>46</v>
      </c>
      <c r="B289" t="s">
        <v>47</v>
      </c>
      <c r="C289" t="s">
        <v>51</v>
      </c>
      <c r="D289" t="s">
        <v>49</v>
      </c>
      <c r="E289">
        <v>1</v>
      </c>
    </row>
    <row r="290" spans="1:5" x14ac:dyDescent="0.45">
      <c r="A290" t="s">
        <v>46</v>
      </c>
      <c r="B290" t="s">
        <v>47</v>
      </c>
      <c r="C290" t="s">
        <v>51</v>
      </c>
      <c r="D290" t="s">
        <v>49</v>
      </c>
      <c r="E290">
        <v>1</v>
      </c>
    </row>
    <row r="291" spans="1:5" x14ac:dyDescent="0.45">
      <c r="A291" t="s">
        <v>46</v>
      </c>
      <c r="B291" t="s">
        <v>47</v>
      </c>
      <c r="C291" t="s">
        <v>51</v>
      </c>
      <c r="D291" t="s">
        <v>49</v>
      </c>
      <c r="E291">
        <v>1</v>
      </c>
    </row>
    <row r="292" spans="1:5" x14ac:dyDescent="0.45">
      <c r="A292" t="s">
        <v>46</v>
      </c>
      <c r="B292" t="s">
        <v>47</v>
      </c>
      <c r="C292" t="s">
        <v>51</v>
      </c>
      <c r="D292" t="s">
        <v>49</v>
      </c>
      <c r="E292">
        <v>1</v>
      </c>
    </row>
    <row r="293" spans="1:5" x14ac:dyDescent="0.45">
      <c r="A293" t="s">
        <v>46</v>
      </c>
      <c r="B293" t="s">
        <v>47</v>
      </c>
      <c r="C293" t="s">
        <v>51</v>
      </c>
      <c r="D293" t="s">
        <v>49</v>
      </c>
      <c r="E293">
        <v>1</v>
      </c>
    </row>
    <row r="294" spans="1:5" x14ac:dyDescent="0.45">
      <c r="A294" t="s">
        <v>46</v>
      </c>
      <c r="B294" t="s">
        <v>47</v>
      </c>
      <c r="C294" t="s">
        <v>51</v>
      </c>
      <c r="D294" t="s">
        <v>49</v>
      </c>
      <c r="E294">
        <v>1</v>
      </c>
    </row>
    <row r="295" spans="1:5" x14ac:dyDescent="0.45">
      <c r="A295" t="s">
        <v>46</v>
      </c>
      <c r="B295" t="s">
        <v>47</v>
      </c>
      <c r="C295" t="s">
        <v>51</v>
      </c>
      <c r="D295" t="s">
        <v>49</v>
      </c>
      <c r="E295">
        <v>1</v>
      </c>
    </row>
    <row r="296" spans="1:5" x14ac:dyDescent="0.45">
      <c r="A296" t="s">
        <v>46</v>
      </c>
      <c r="B296" t="s">
        <v>47</v>
      </c>
      <c r="C296" t="s">
        <v>51</v>
      </c>
      <c r="D296" t="s">
        <v>49</v>
      </c>
      <c r="E296">
        <v>1</v>
      </c>
    </row>
    <row r="297" spans="1:5" x14ac:dyDescent="0.45">
      <c r="A297" t="s">
        <v>46</v>
      </c>
      <c r="B297" t="s">
        <v>47</v>
      </c>
      <c r="C297" t="s">
        <v>51</v>
      </c>
      <c r="D297" t="s">
        <v>49</v>
      </c>
      <c r="E297">
        <v>1</v>
      </c>
    </row>
    <row r="298" spans="1:5" x14ac:dyDescent="0.45">
      <c r="A298" t="s">
        <v>46</v>
      </c>
      <c r="B298" t="s">
        <v>47</v>
      </c>
      <c r="C298" t="s">
        <v>51</v>
      </c>
      <c r="D298" t="s">
        <v>49</v>
      </c>
      <c r="E298">
        <v>1</v>
      </c>
    </row>
    <row r="299" spans="1:5" x14ac:dyDescent="0.45">
      <c r="A299" t="s">
        <v>46</v>
      </c>
      <c r="B299" t="s">
        <v>47</v>
      </c>
      <c r="C299" t="s">
        <v>51</v>
      </c>
      <c r="D299" t="s">
        <v>49</v>
      </c>
      <c r="E299">
        <v>1</v>
      </c>
    </row>
    <row r="300" spans="1:5" x14ac:dyDescent="0.45">
      <c r="A300" t="s">
        <v>46</v>
      </c>
      <c r="B300" t="s">
        <v>47</v>
      </c>
      <c r="C300" t="s">
        <v>51</v>
      </c>
      <c r="D300" t="s">
        <v>49</v>
      </c>
      <c r="E300">
        <v>1</v>
      </c>
    </row>
    <row r="301" spans="1:5" x14ac:dyDescent="0.45">
      <c r="A301" t="s">
        <v>46</v>
      </c>
      <c r="B301" t="s">
        <v>47</v>
      </c>
      <c r="C301" t="s">
        <v>51</v>
      </c>
      <c r="D301" t="s">
        <v>49</v>
      </c>
      <c r="E301">
        <v>1</v>
      </c>
    </row>
    <row r="302" spans="1:5" x14ac:dyDescent="0.45">
      <c r="A302" t="s">
        <v>46</v>
      </c>
      <c r="B302" t="s">
        <v>47</v>
      </c>
      <c r="C302" t="s">
        <v>51</v>
      </c>
      <c r="D302" t="s">
        <v>49</v>
      </c>
      <c r="E302">
        <v>1</v>
      </c>
    </row>
    <row r="303" spans="1:5" x14ac:dyDescent="0.45">
      <c r="A303" t="s">
        <v>46</v>
      </c>
      <c r="B303" t="s">
        <v>47</v>
      </c>
      <c r="C303" t="s">
        <v>51</v>
      </c>
      <c r="D303" t="s">
        <v>49</v>
      </c>
      <c r="E303">
        <v>1</v>
      </c>
    </row>
    <row r="304" spans="1:5" x14ac:dyDescent="0.45">
      <c r="A304" t="s">
        <v>46</v>
      </c>
      <c r="B304" t="s">
        <v>47</v>
      </c>
      <c r="C304" t="s">
        <v>51</v>
      </c>
      <c r="D304" t="s">
        <v>49</v>
      </c>
      <c r="E304">
        <v>1</v>
      </c>
    </row>
    <row r="305" spans="1:5" x14ac:dyDescent="0.45">
      <c r="A305" t="s">
        <v>46</v>
      </c>
      <c r="B305" t="s">
        <v>47</v>
      </c>
      <c r="C305" t="s">
        <v>51</v>
      </c>
      <c r="D305" t="s">
        <v>49</v>
      </c>
      <c r="E305">
        <v>1</v>
      </c>
    </row>
    <row r="306" spans="1:5" x14ac:dyDescent="0.45">
      <c r="A306" t="s">
        <v>46</v>
      </c>
      <c r="B306" t="s">
        <v>47</v>
      </c>
      <c r="C306" t="s">
        <v>51</v>
      </c>
      <c r="D306" t="s">
        <v>49</v>
      </c>
      <c r="E306">
        <v>1</v>
      </c>
    </row>
    <row r="307" spans="1:5" x14ac:dyDescent="0.45">
      <c r="A307" t="s">
        <v>46</v>
      </c>
      <c r="B307" t="s">
        <v>47</v>
      </c>
      <c r="C307" t="s">
        <v>51</v>
      </c>
      <c r="D307" t="s">
        <v>49</v>
      </c>
      <c r="E307">
        <v>1</v>
      </c>
    </row>
    <row r="308" spans="1:5" x14ac:dyDescent="0.45">
      <c r="A308" t="s">
        <v>46</v>
      </c>
      <c r="B308" t="s">
        <v>47</v>
      </c>
      <c r="C308" t="s">
        <v>51</v>
      </c>
      <c r="D308" t="s">
        <v>49</v>
      </c>
      <c r="E308">
        <v>1</v>
      </c>
    </row>
    <row r="309" spans="1:5" x14ac:dyDescent="0.45">
      <c r="A309" t="s">
        <v>46</v>
      </c>
      <c r="B309" t="s">
        <v>47</v>
      </c>
      <c r="C309" t="s">
        <v>51</v>
      </c>
      <c r="D309" t="s">
        <v>49</v>
      </c>
      <c r="E309">
        <v>1</v>
      </c>
    </row>
    <row r="310" spans="1:5" x14ac:dyDescent="0.45">
      <c r="A310" t="s">
        <v>46</v>
      </c>
      <c r="B310" t="s">
        <v>47</v>
      </c>
      <c r="C310" t="s">
        <v>51</v>
      </c>
      <c r="D310" t="s">
        <v>49</v>
      </c>
      <c r="E310">
        <v>1</v>
      </c>
    </row>
    <row r="311" spans="1:5" x14ac:dyDescent="0.45">
      <c r="A311" t="s">
        <v>46</v>
      </c>
      <c r="B311" t="s">
        <v>47</v>
      </c>
      <c r="C311" t="s">
        <v>51</v>
      </c>
      <c r="D311" t="s">
        <v>49</v>
      </c>
      <c r="E311">
        <v>1</v>
      </c>
    </row>
    <row r="312" spans="1:5" x14ac:dyDescent="0.45">
      <c r="A312" t="s">
        <v>46</v>
      </c>
      <c r="B312" t="s">
        <v>47</v>
      </c>
      <c r="C312" t="s">
        <v>51</v>
      </c>
      <c r="D312" t="s">
        <v>49</v>
      </c>
      <c r="E312">
        <v>1</v>
      </c>
    </row>
    <row r="313" spans="1:5" x14ac:dyDescent="0.45">
      <c r="A313" t="s">
        <v>46</v>
      </c>
      <c r="B313" t="s">
        <v>47</v>
      </c>
      <c r="C313" t="s">
        <v>51</v>
      </c>
      <c r="D313" t="s">
        <v>49</v>
      </c>
      <c r="E313">
        <v>1</v>
      </c>
    </row>
    <row r="314" spans="1:5" x14ac:dyDescent="0.45">
      <c r="A314" t="s">
        <v>46</v>
      </c>
      <c r="B314" t="s">
        <v>47</v>
      </c>
      <c r="C314" t="s">
        <v>51</v>
      </c>
      <c r="D314" t="s">
        <v>49</v>
      </c>
      <c r="E314">
        <v>1</v>
      </c>
    </row>
    <row r="315" spans="1:5" x14ac:dyDescent="0.45">
      <c r="A315" t="s">
        <v>46</v>
      </c>
      <c r="B315" t="s">
        <v>47</v>
      </c>
      <c r="C315" t="s">
        <v>51</v>
      </c>
      <c r="D315" t="s">
        <v>49</v>
      </c>
      <c r="E315">
        <v>1</v>
      </c>
    </row>
    <row r="316" spans="1:5" x14ac:dyDescent="0.45">
      <c r="A316" t="s">
        <v>46</v>
      </c>
      <c r="B316" t="s">
        <v>47</v>
      </c>
      <c r="C316" t="s">
        <v>51</v>
      </c>
      <c r="D316" t="s">
        <v>49</v>
      </c>
      <c r="E316">
        <v>1</v>
      </c>
    </row>
    <row r="317" spans="1:5" x14ac:dyDescent="0.45">
      <c r="A317" t="s">
        <v>46</v>
      </c>
      <c r="B317" t="s">
        <v>47</v>
      </c>
      <c r="C317" t="s">
        <v>51</v>
      </c>
      <c r="D317" t="s">
        <v>50</v>
      </c>
      <c r="E317">
        <v>0</v>
      </c>
    </row>
    <row r="318" spans="1:5" x14ac:dyDescent="0.45">
      <c r="A318" t="s">
        <v>46</v>
      </c>
      <c r="B318" t="s">
        <v>47</v>
      </c>
      <c r="C318" t="s">
        <v>51</v>
      </c>
      <c r="D318" t="s">
        <v>50</v>
      </c>
      <c r="E318">
        <v>0</v>
      </c>
    </row>
    <row r="319" spans="1:5" x14ac:dyDescent="0.45">
      <c r="A319" t="s">
        <v>46</v>
      </c>
      <c r="B319" t="s">
        <v>47</v>
      </c>
      <c r="C319" t="s">
        <v>51</v>
      </c>
      <c r="D319" t="s">
        <v>50</v>
      </c>
      <c r="E319">
        <v>0</v>
      </c>
    </row>
    <row r="320" spans="1:5" x14ac:dyDescent="0.45">
      <c r="A320" t="s">
        <v>46</v>
      </c>
      <c r="B320" t="s">
        <v>47</v>
      </c>
      <c r="C320" t="s">
        <v>51</v>
      </c>
      <c r="D320" t="s">
        <v>50</v>
      </c>
      <c r="E320">
        <v>0</v>
      </c>
    </row>
    <row r="321" spans="1:5" x14ac:dyDescent="0.45">
      <c r="A321" t="s">
        <v>46</v>
      </c>
      <c r="B321" t="s">
        <v>52</v>
      </c>
      <c r="C321" t="s">
        <v>48</v>
      </c>
      <c r="D321" t="s">
        <v>49</v>
      </c>
      <c r="E321">
        <v>1</v>
      </c>
    </row>
    <row r="322" spans="1:5" x14ac:dyDescent="0.45">
      <c r="A322" t="s">
        <v>46</v>
      </c>
      <c r="B322" t="s">
        <v>52</v>
      </c>
      <c r="C322" t="s">
        <v>48</v>
      </c>
      <c r="D322" t="s">
        <v>49</v>
      </c>
      <c r="E322">
        <v>1</v>
      </c>
    </row>
    <row r="323" spans="1:5" x14ac:dyDescent="0.45">
      <c r="A323" t="s">
        <v>46</v>
      </c>
      <c r="B323" t="s">
        <v>52</v>
      </c>
      <c r="C323" t="s">
        <v>48</v>
      </c>
      <c r="D323" t="s">
        <v>49</v>
      </c>
      <c r="E323">
        <v>1</v>
      </c>
    </row>
    <row r="324" spans="1:5" x14ac:dyDescent="0.45">
      <c r="A324" t="s">
        <v>46</v>
      </c>
      <c r="B324" t="s">
        <v>52</v>
      </c>
      <c r="C324" t="s">
        <v>48</v>
      </c>
      <c r="D324" t="s">
        <v>49</v>
      </c>
      <c r="E324">
        <v>1</v>
      </c>
    </row>
    <row r="325" spans="1:5" x14ac:dyDescent="0.45">
      <c r="A325" t="s">
        <v>46</v>
      </c>
      <c r="B325" t="s">
        <v>52</v>
      </c>
      <c r="C325" t="s">
        <v>48</v>
      </c>
      <c r="D325" t="s">
        <v>49</v>
      </c>
      <c r="E325">
        <v>1</v>
      </c>
    </row>
    <row r="326" spans="1:5" x14ac:dyDescent="0.45">
      <c r="A326" t="s">
        <v>46</v>
      </c>
      <c r="B326" t="s">
        <v>52</v>
      </c>
      <c r="C326" t="s">
        <v>51</v>
      </c>
      <c r="D326" t="s">
        <v>49</v>
      </c>
      <c r="E326">
        <v>1</v>
      </c>
    </row>
    <row r="327" spans="1:5" x14ac:dyDescent="0.45">
      <c r="A327" t="s">
        <v>53</v>
      </c>
      <c r="B327" t="s">
        <v>47</v>
      </c>
      <c r="C327" t="s">
        <v>48</v>
      </c>
      <c r="D327" t="s">
        <v>49</v>
      </c>
      <c r="E327">
        <v>1</v>
      </c>
    </row>
    <row r="328" spans="1:5" x14ac:dyDescent="0.45">
      <c r="A328" t="s">
        <v>53</v>
      </c>
      <c r="B328" t="s">
        <v>47</v>
      </c>
      <c r="C328" t="s">
        <v>48</v>
      </c>
      <c r="D328" t="s">
        <v>49</v>
      </c>
      <c r="E328">
        <v>1</v>
      </c>
    </row>
    <row r="329" spans="1:5" x14ac:dyDescent="0.45">
      <c r="A329" t="s">
        <v>53</v>
      </c>
      <c r="B329" t="s">
        <v>47</v>
      </c>
      <c r="C329" t="s">
        <v>48</v>
      </c>
      <c r="D329" t="s">
        <v>49</v>
      </c>
      <c r="E329">
        <v>1</v>
      </c>
    </row>
    <row r="330" spans="1:5" x14ac:dyDescent="0.45">
      <c r="A330" t="s">
        <v>53</v>
      </c>
      <c r="B330" t="s">
        <v>47</v>
      </c>
      <c r="C330" t="s">
        <v>48</v>
      </c>
      <c r="D330" t="s">
        <v>49</v>
      </c>
      <c r="E330">
        <v>1</v>
      </c>
    </row>
    <row r="331" spans="1:5" x14ac:dyDescent="0.45">
      <c r="A331" t="s">
        <v>53</v>
      </c>
      <c r="B331" t="s">
        <v>47</v>
      </c>
      <c r="C331" t="s">
        <v>48</v>
      </c>
      <c r="D331" t="s">
        <v>49</v>
      </c>
      <c r="E331">
        <v>1</v>
      </c>
    </row>
    <row r="332" spans="1:5" x14ac:dyDescent="0.45">
      <c r="A332" t="s">
        <v>53</v>
      </c>
      <c r="B332" t="s">
        <v>47</v>
      </c>
      <c r="C332" t="s">
        <v>48</v>
      </c>
      <c r="D332" t="s">
        <v>49</v>
      </c>
      <c r="E332">
        <v>1</v>
      </c>
    </row>
    <row r="333" spans="1:5" x14ac:dyDescent="0.45">
      <c r="A333" t="s">
        <v>53</v>
      </c>
      <c r="B333" t="s">
        <v>47</v>
      </c>
      <c r="C333" t="s">
        <v>48</v>
      </c>
      <c r="D333" t="s">
        <v>49</v>
      </c>
      <c r="E333">
        <v>1</v>
      </c>
    </row>
    <row r="334" spans="1:5" x14ac:dyDescent="0.45">
      <c r="A334" t="s">
        <v>53</v>
      </c>
      <c r="B334" t="s">
        <v>47</v>
      </c>
      <c r="C334" t="s">
        <v>48</v>
      </c>
      <c r="D334" t="s">
        <v>49</v>
      </c>
      <c r="E334">
        <v>1</v>
      </c>
    </row>
    <row r="335" spans="1:5" x14ac:dyDescent="0.45">
      <c r="A335" t="s">
        <v>53</v>
      </c>
      <c r="B335" t="s">
        <v>47</v>
      </c>
      <c r="C335" t="s">
        <v>48</v>
      </c>
      <c r="D335" t="s">
        <v>49</v>
      </c>
      <c r="E335">
        <v>1</v>
      </c>
    </row>
    <row r="336" spans="1:5" x14ac:dyDescent="0.45">
      <c r="A336" t="s">
        <v>53</v>
      </c>
      <c r="B336" t="s">
        <v>47</v>
      </c>
      <c r="C336" t="s">
        <v>48</v>
      </c>
      <c r="D336" t="s">
        <v>49</v>
      </c>
      <c r="E336">
        <v>1</v>
      </c>
    </row>
    <row r="337" spans="1:5" x14ac:dyDescent="0.45">
      <c r="A337" t="s">
        <v>53</v>
      </c>
      <c r="B337" t="s">
        <v>47</v>
      </c>
      <c r="C337" t="s">
        <v>48</v>
      </c>
      <c r="D337" t="s">
        <v>49</v>
      </c>
      <c r="E337">
        <v>1</v>
      </c>
    </row>
    <row r="338" spans="1:5" x14ac:dyDescent="0.45">
      <c r="A338" t="s">
        <v>53</v>
      </c>
      <c r="B338" t="s">
        <v>47</v>
      </c>
      <c r="C338" t="s">
        <v>48</v>
      </c>
      <c r="D338" t="s">
        <v>49</v>
      </c>
      <c r="E338">
        <v>1</v>
      </c>
    </row>
    <row r="339" spans="1:5" x14ac:dyDescent="0.45">
      <c r="A339" t="s">
        <v>53</v>
      </c>
      <c r="B339" t="s">
        <v>47</v>
      </c>
      <c r="C339" t="s">
        <v>48</v>
      </c>
      <c r="D339" t="s">
        <v>49</v>
      </c>
      <c r="E339">
        <v>1</v>
      </c>
    </row>
    <row r="340" spans="1:5" x14ac:dyDescent="0.45">
      <c r="A340" t="s">
        <v>53</v>
      </c>
      <c r="B340" t="s">
        <v>47</v>
      </c>
      <c r="C340" t="s">
        <v>48</v>
      </c>
      <c r="D340" t="s">
        <v>49</v>
      </c>
      <c r="E340">
        <v>1</v>
      </c>
    </row>
    <row r="341" spans="1:5" x14ac:dyDescent="0.45">
      <c r="A341" t="s">
        <v>53</v>
      </c>
      <c r="B341" t="s">
        <v>47</v>
      </c>
      <c r="C341" t="s">
        <v>48</v>
      </c>
      <c r="D341" t="s">
        <v>50</v>
      </c>
      <c r="E341">
        <v>0</v>
      </c>
    </row>
    <row r="342" spans="1:5" x14ac:dyDescent="0.45">
      <c r="A342" t="s">
        <v>53</v>
      </c>
      <c r="B342" t="s">
        <v>47</v>
      </c>
      <c r="C342" t="s">
        <v>48</v>
      </c>
      <c r="D342" t="s">
        <v>50</v>
      </c>
      <c r="E342">
        <v>0</v>
      </c>
    </row>
    <row r="343" spans="1:5" x14ac:dyDescent="0.45">
      <c r="A343" t="s">
        <v>53</v>
      </c>
      <c r="B343" t="s">
        <v>47</v>
      </c>
      <c r="C343" t="s">
        <v>48</v>
      </c>
      <c r="D343" t="s">
        <v>50</v>
      </c>
      <c r="E343">
        <v>0</v>
      </c>
    </row>
    <row r="344" spans="1:5" x14ac:dyDescent="0.45">
      <c r="A344" t="s">
        <v>53</v>
      </c>
      <c r="B344" t="s">
        <v>47</v>
      </c>
      <c r="C344" t="s">
        <v>48</v>
      </c>
      <c r="D344" t="s">
        <v>50</v>
      </c>
      <c r="E344">
        <v>0</v>
      </c>
    </row>
    <row r="345" spans="1:5" x14ac:dyDescent="0.45">
      <c r="A345" t="s">
        <v>53</v>
      </c>
      <c r="B345" t="s">
        <v>47</v>
      </c>
      <c r="C345" t="s">
        <v>48</v>
      </c>
      <c r="D345" t="s">
        <v>50</v>
      </c>
      <c r="E345">
        <v>0</v>
      </c>
    </row>
    <row r="346" spans="1:5" x14ac:dyDescent="0.45">
      <c r="A346" t="s">
        <v>53</v>
      </c>
      <c r="B346" t="s">
        <v>47</v>
      </c>
      <c r="C346" t="s">
        <v>48</v>
      </c>
      <c r="D346" t="s">
        <v>50</v>
      </c>
      <c r="E346">
        <v>0</v>
      </c>
    </row>
    <row r="347" spans="1:5" x14ac:dyDescent="0.45">
      <c r="A347" t="s">
        <v>53</v>
      </c>
      <c r="B347" t="s">
        <v>47</v>
      </c>
      <c r="C347" t="s">
        <v>48</v>
      </c>
      <c r="D347" t="s">
        <v>50</v>
      </c>
      <c r="E347">
        <v>0</v>
      </c>
    </row>
    <row r="348" spans="1:5" x14ac:dyDescent="0.45">
      <c r="A348" t="s">
        <v>53</v>
      </c>
      <c r="B348" t="s">
        <v>47</v>
      </c>
      <c r="C348" t="s">
        <v>48</v>
      </c>
      <c r="D348" t="s">
        <v>50</v>
      </c>
      <c r="E348">
        <v>0</v>
      </c>
    </row>
    <row r="349" spans="1:5" x14ac:dyDescent="0.45">
      <c r="A349" t="s">
        <v>53</v>
      </c>
      <c r="B349" t="s">
        <v>47</v>
      </c>
      <c r="C349" t="s">
        <v>48</v>
      </c>
      <c r="D349" t="s">
        <v>50</v>
      </c>
      <c r="E349">
        <v>0</v>
      </c>
    </row>
    <row r="350" spans="1:5" x14ac:dyDescent="0.45">
      <c r="A350" t="s">
        <v>53</v>
      </c>
      <c r="B350" t="s">
        <v>47</v>
      </c>
      <c r="C350" t="s">
        <v>48</v>
      </c>
      <c r="D350" t="s">
        <v>50</v>
      </c>
      <c r="E350">
        <v>0</v>
      </c>
    </row>
    <row r="351" spans="1:5" x14ac:dyDescent="0.45">
      <c r="A351" t="s">
        <v>53</v>
      </c>
      <c r="B351" t="s">
        <v>47</v>
      </c>
      <c r="C351" t="s">
        <v>48</v>
      </c>
      <c r="D351" t="s">
        <v>50</v>
      </c>
      <c r="E351">
        <v>0</v>
      </c>
    </row>
    <row r="352" spans="1:5" x14ac:dyDescent="0.45">
      <c r="A352" t="s">
        <v>53</v>
      </c>
      <c r="B352" t="s">
        <v>47</v>
      </c>
      <c r="C352" t="s">
        <v>48</v>
      </c>
      <c r="D352" t="s">
        <v>50</v>
      </c>
      <c r="E352">
        <v>0</v>
      </c>
    </row>
    <row r="353" spans="1:5" x14ac:dyDescent="0.45">
      <c r="A353" t="s">
        <v>53</v>
      </c>
      <c r="B353" t="s">
        <v>47</v>
      </c>
      <c r="C353" t="s">
        <v>48</v>
      </c>
      <c r="D353" t="s">
        <v>50</v>
      </c>
      <c r="E353">
        <v>0</v>
      </c>
    </row>
    <row r="354" spans="1:5" x14ac:dyDescent="0.45">
      <c r="A354" t="s">
        <v>53</v>
      </c>
      <c r="B354" t="s">
        <v>47</v>
      </c>
      <c r="C354" t="s">
        <v>48</v>
      </c>
      <c r="D354" t="s">
        <v>50</v>
      </c>
      <c r="E354">
        <v>0</v>
      </c>
    </row>
    <row r="355" spans="1:5" x14ac:dyDescent="0.45">
      <c r="A355" t="s">
        <v>53</v>
      </c>
      <c r="B355" t="s">
        <v>47</v>
      </c>
      <c r="C355" t="s">
        <v>48</v>
      </c>
      <c r="D355" t="s">
        <v>50</v>
      </c>
      <c r="E355">
        <v>0</v>
      </c>
    </row>
    <row r="356" spans="1:5" x14ac:dyDescent="0.45">
      <c r="A356" t="s">
        <v>53</v>
      </c>
      <c r="B356" t="s">
        <v>47</v>
      </c>
      <c r="C356" t="s">
        <v>48</v>
      </c>
      <c r="D356" t="s">
        <v>50</v>
      </c>
      <c r="E356">
        <v>0</v>
      </c>
    </row>
    <row r="357" spans="1:5" x14ac:dyDescent="0.45">
      <c r="A357" t="s">
        <v>53</v>
      </c>
      <c r="B357" t="s">
        <v>47</v>
      </c>
      <c r="C357" t="s">
        <v>48</v>
      </c>
      <c r="D357" t="s">
        <v>50</v>
      </c>
      <c r="E357">
        <v>0</v>
      </c>
    </row>
    <row r="358" spans="1:5" x14ac:dyDescent="0.45">
      <c r="A358" t="s">
        <v>53</v>
      </c>
      <c r="B358" t="s">
        <v>47</v>
      </c>
      <c r="C358" t="s">
        <v>48</v>
      </c>
      <c r="D358" t="s">
        <v>50</v>
      </c>
      <c r="E358">
        <v>0</v>
      </c>
    </row>
    <row r="359" spans="1:5" x14ac:dyDescent="0.45">
      <c r="A359" t="s">
        <v>53</v>
      </c>
      <c r="B359" t="s">
        <v>47</v>
      </c>
      <c r="C359" t="s">
        <v>48</v>
      </c>
      <c r="D359" t="s">
        <v>50</v>
      </c>
      <c r="E359">
        <v>0</v>
      </c>
    </row>
    <row r="360" spans="1:5" x14ac:dyDescent="0.45">
      <c r="A360" t="s">
        <v>53</v>
      </c>
      <c r="B360" t="s">
        <v>47</v>
      </c>
      <c r="C360" t="s">
        <v>48</v>
      </c>
      <c r="D360" t="s">
        <v>50</v>
      </c>
      <c r="E360">
        <v>0</v>
      </c>
    </row>
    <row r="361" spans="1:5" x14ac:dyDescent="0.45">
      <c r="A361" t="s">
        <v>53</v>
      </c>
      <c r="B361" t="s">
        <v>47</v>
      </c>
      <c r="C361" t="s">
        <v>48</v>
      </c>
      <c r="D361" t="s">
        <v>50</v>
      </c>
      <c r="E361">
        <v>0</v>
      </c>
    </row>
    <row r="362" spans="1:5" x14ac:dyDescent="0.45">
      <c r="A362" t="s">
        <v>53</v>
      </c>
      <c r="B362" t="s">
        <v>47</v>
      </c>
      <c r="C362" t="s">
        <v>48</v>
      </c>
      <c r="D362" t="s">
        <v>50</v>
      </c>
      <c r="E362">
        <v>0</v>
      </c>
    </row>
    <row r="363" spans="1:5" x14ac:dyDescent="0.45">
      <c r="A363" t="s">
        <v>53</v>
      </c>
      <c r="B363" t="s">
        <v>47</v>
      </c>
      <c r="C363" t="s">
        <v>48</v>
      </c>
      <c r="D363" t="s">
        <v>50</v>
      </c>
      <c r="E363">
        <v>0</v>
      </c>
    </row>
    <row r="364" spans="1:5" x14ac:dyDescent="0.45">
      <c r="A364" t="s">
        <v>53</v>
      </c>
      <c r="B364" t="s">
        <v>47</v>
      </c>
      <c r="C364" t="s">
        <v>48</v>
      </c>
      <c r="D364" t="s">
        <v>50</v>
      </c>
      <c r="E364">
        <v>0</v>
      </c>
    </row>
    <row r="365" spans="1:5" x14ac:dyDescent="0.45">
      <c r="A365" t="s">
        <v>53</v>
      </c>
      <c r="B365" t="s">
        <v>47</v>
      </c>
      <c r="C365" t="s">
        <v>48</v>
      </c>
      <c r="D365" t="s">
        <v>50</v>
      </c>
      <c r="E365">
        <v>0</v>
      </c>
    </row>
    <row r="366" spans="1:5" x14ac:dyDescent="0.45">
      <c r="A366" t="s">
        <v>53</v>
      </c>
      <c r="B366" t="s">
        <v>47</v>
      </c>
      <c r="C366" t="s">
        <v>48</v>
      </c>
      <c r="D366" t="s">
        <v>50</v>
      </c>
      <c r="E366">
        <v>0</v>
      </c>
    </row>
    <row r="367" spans="1:5" x14ac:dyDescent="0.45">
      <c r="A367" t="s">
        <v>53</v>
      </c>
      <c r="B367" t="s">
        <v>47</v>
      </c>
      <c r="C367" t="s">
        <v>48</v>
      </c>
      <c r="D367" t="s">
        <v>50</v>
      </c>
      <c r="E367">
        <v>0</v>
      </c>
    </row>
    <row r="368" spans="1:5" x14ac:dyDescent="0.45">
      <c r="A368" t="s">
        <v>53</v>
      </c>
      <c r="B368" t="s">
        <v>47</v>
      </c>
      <c r="C368" t="s">
        <v>48</v>
      </c>
      <c r="D368" t="s">
        <v>50</v>
      </c>
      <c r="E368">
        <v>0</v>
      </c>
    </row>
    <row r="369" spans="1:5" x14ac:dyDescent="0.45">
      <c r="A369" t="s">
        <v>53</v>
      </c>
      <c r="B369" t="s">
        <v>47</v>
      </c>
      <c r="C369" t="s">
        <v>48</v>
      </c>
      <c r="D369" t="s">
        <v>50</v>
      </c>
      <c r="E369">
        <v>0</v>
      </c>
    </row>
    <row r="370" spans="1:5" x14ac:dyDescent="0.45">
      <c r="A370" t="s">
        <v>53</v>
      </c>
      <c r="B370" t="s">
        <v>47</v>
      </c>
      <c r="C370" t="s">
        <v>48</v>
      </c>
      <c r="D370" t="s">
        <v>50</v>
      </c>
      <c r="E370">
        <v>0</v>
      </c>
    </row>
    <row r="371" spans="1:5" x14ac:dyDescent="0.45">
      <c r="A371" t="s">
        <v>53</v>
      </c>
      <c r="B371" t="s">
        <v>47</v>
      </c>
      <c r="C371" t="s">
        <v>48</v>
      </c>
      <c r="D371" t="s">
        <v>50</v>
      </c>
      <c r="E371">
        <v>0</v>
      </c>
    </row>
    <row r="372" spans="1:5" x14ac:dyDescent="0.45">
      <c r="A372" t="s">
        <v>53</v>
      </c>
      <c r="B372" t="s">
        <v>47</v>
      </c>
      <c r="C372" t="s">
        <v>48</v>
      </c>
      <c r="D372" t="s">
        <v>50</v>
      </c>
      <c r="E372">
        <v>0</v>
      </c>
    </row>
    <row r="373" spans="1:5" x14ac:dyDescent="0.45">
      <c r="A373" t="s">
        <v>53</v>
      </c>
      <c r="B373" t="s">
        <v>47</v>
      </c>
      <c r="C373" t="s">
        <v>48</v>
      </c>
      <c r="D373" t="s">
        <v>50</v>
      </c>
      <c r="E373">
        <v>0</v>
      </c>
    </row>
    <row r="374" spans="1:5" x14ac:dyDescent="0.45">
      <c r="A374" t="s">
        <v>53</v>
      </c>
      <c r="B374" t="s">
        <v>47</v>
      </c>
      <c r="C374" t="s">
        <v>48</v>
      </c>
      <c r="D374" t="s">
        <v>50</v>
      </c>
      <c r="E374">
        <v>0</v>
      </c>
    </row>
    <row r="375" spans="1:5" x14ac:dyDescent="0.45">
      <c r="A375" t="s">
        <v>53</v>
      </c>
      <c r="B375" t="s">
        <v>47</v>
      </c>
      <c r="C375" t="s">
        <v>48</v>
      </c>
      <c r="D375" t="s">
        <v>50</v>
      </c>
      <c r="E375">
        <v>0</v>
      </c>
    </row>
    <row r="376" spans="1:5" x14ac:dyDescent="0.45">
      <c r="A376" t="s">
        <v>53</v>
      </c>
      <c r="B376" t="s">
        <v>47</v>
      </c>
      <c r="C376" t="s">
        <v>48</v>
      </c>
      <c r="D376" t="s">
        <v>50</v>
      </c>
      <c r="E376">
        <v>0</v>
      </c>
    </row>
    <row r="377" spans="1:5" x14ac:dyDescent="0.45">
      <c r="A377" t="s">
        <v>53</v>
      </c>
      <c r="B377" t="s">
        <v>47</v>
      </c>
      <c r="C377" t="s">
        <v>48</v>
      </c>
      <c r="D377" t="s">
        <v>50</v>
      </c>
      <c r="E377">
        <v>0</v>
      </c>
    </row>
    <row r="378" spans="1:5" x14ac:dyDescent="0.45">
      <c r="A378" t="s">
        <v>53</v>
      </c>
      <c r="B378" t="s">
        <v>47</v>
      </c>
      <c r="C378" t="s">
        <v>48</v>
      </c>
      <c r="D378" t="s">
        <v>50</v>
      </c>
      <c r="E378">
        <v>0</v>
      </c>
    </row>
    <row r="379" spans="1:5" x14ac:dyDescent="0.45">
      <c r="A379" t="s">
        <v>53</v>
      </c>
      <c r="B379" t="s">
        <v>47</v>
      </c>
      <c r="C379" t="s">
        <v>48</v>
      </c>
      <c r="D379" t="s">
        <v>50</v>
      </c>
      <c r="E379">
        <v>0</v>
      </c>
    </row>
    <row r="380" spans="1:5" x14ac:dyDescent="0.45">
      <c r="A380" t="s">
        <v>53</v>
      </c>
      <c r="B380" t="s">
        <v>47</v>
      </c>
      <c r="C380" t="s">
        <v>48</v>
      </c>
      <c r="D380" t="s">
        <v>50</v>
      </c>
      <c r="E380">
        <v>0</v>
      </c>
    </row>
    <row r="381" spans="1:5" x14ac:dyDescent="0.45">
      <c r="A381" t="s">
        <v>53</v>
      </c>
      <c r="B381" t="s">
        <v>47</v>
      </c>
      <c r="C381" t="s">
        <v>48</v>
      </c>
      <c r="D381" t="s">
        <v>50</v>
      </c>
      <c r="E381">
        <v>0</v>
      </c>
    </row>
    <row r="382" spans="1:5" x14ac:dyDescent="0.45">
      <c r="A382" t="s">
        <v>53</v>
      </c>
      <c r="B382" t="s">
        <v>47</v>
      </c>
      <c r="C382" t="s">
        <v>48</v>
      </c>
      <c r="D382" t="s">
        <v>50</v>
      </c>
      <c r="E382">
        <v>0</v>
      </c>
    </row>
    <row r="383" spans="1:5" x14ac:dyDescent="0.45">
      <c r="A383" t="s">
        <v>53</v>
      </c>
      <c r="B383" t="s">
        <v>47</v>
      </c>
      <c r="C383" t="s">
        <v>48</v>
      </c>
      <c r="D383" t="s">
        <v>50</v>
      </c>
      <c r="E383">
        <v>0</v>
      </c>
    </row>
    <row r="384" spans="1:5" x14ac:dyDescent="0.45">
      <c r="A384" t="s">
        <v>53</v>
      </c>
      <c r="B384" t="s">
        <v>47</v>
      </c>
      <c r="C384" t="s">
        <v>48</v>
      </c>
      <c r="D384" t="s">
        <v>50</v>
      </c>
      <c r="E384">
        <v>0</v>
      </c>
    </row>
    <row r="385" spans="1:5" x14ac:dyDescent="0.45">
      <c r="A385" t="s">
        <v>53</v>
      </c>
      <c r="B385" t="s">
        <v>47</v>
      </c>
      <c r="C385" t="s">
        <v>48</v>
      </c>
      <c r="D385" t="s">
        <v>50</v>
      </c>
      <c r="E385">
        <v>0</v>
      </c>
    </row>
    <row r="386" spans="1:5" x14ac:dyDescent="0.45">
      <c r="A386" t="s">
        <v>53</v>
      </c>
      <c r="B386" t="s">
        <v>47</v>
      </c>
      <c r="C386" t="s">
        <v>48</v>
      </c>
      <c r="D386" t="s">
        <v>50</v>
      </c>
      <c r="E386">
        <v>0</v>
      </c>
    </row>
    <row r="387" spans="1:5" x14ac:dyDescent="0.45">
      <c r="A387" t="s">
        <v>53</v>
      </c>
      <c r="B387" t="s">
        <v>47</v>
      </c>
      <c r="C387" t="s">
        <v>48</v>
      </c>
      <c r="D387" t="s">
        <v>50</v>
      </c>
      <c r="E387">
        <v>0</v>
      </c>
    </row>
    <row r="388" spans="1:5" x14ac:dyDescent="0.45">
      <c r="A388" t="s">
        <v>53</v>
      </c>
      <c r="B388" t="s">
        <v>47</v>
      </c>
      <c r="C388" t="s">
        <v>48</v>
      </c>
      <c r="D388" t="s">
        <v>50</v>
      </c>
      <c r="E388">
        <v>0</v>
      </c>
    </row>
    <row r="389" spans="1:5" x14ac:dyDescent="0.45">
      <c r="A389" t="s">
        <v>53</v>
      </c>
      <c r="B389" t="s">
        <v>47</v>
      </c>
      <c r="C389" t="s">
        <v>48</v>
      </c>
      <c r="D389" t="s">
        <v>50</v>
      </c>
      <c r="E389">
        <v>0</v>
      </c>
    </row>
    <row r="390" spans="1:5" x14ac:dyDescent="0.45">
      <c r="A390" t="s">
        <v>53</v>
      </c>
      <c r="B390" t="s">
        <v>47</v>
      </c>
      <c r="C390" t="s">
        <v>48</v>
      </c>
      <c r="D390" t="s">
        <v>50</v>
      </c>
      <c r="E390">
        <v>0</v>
      </c>
    </row>
    <row r="391" spans="1:5" x14ac:dyDescent="0.45">
      <c r="A391" t="s">
        <v>53</v>
      </c>
      <c r="B391" t="s">
        <v>47</v>
      </c>
      <c r="C391" t="s">
        <v>48</v>
      </c>
      <c r="D391" t="s">
        <v>50</v>
      </c>
      <c r="E391">
        <v>0</v>
      </c>
    </row>
    <row r="392" spans="1:5" x14ac:dyDescent="0.45">
      <c r="A392" t="s">
        <v>53</v>
      </c>
      <c r="B392" t="s">
        <v>47</v>
      </c>
      <c r="C392" t="s">
        <v>48</v>
      </c>
      <c r="D392" t="s">
        <v>50</v>
      </c>
      <c r="E392">
        <v>0</v>
      </c>
    </row>
    <row r="393" spans="1:5" x14ac:dyDescent="0.45">
      <c r="A393" t="s">
        <v>53</v>
      </c>
      <c r="B393" t="s">
        <v>47</v>
      </c>
      <c r="C393" t="s">
        <v>48</v>
      </c>
      <c r="D393" t="s">
        <v>50</v>
      </c>
      <c r="E393">
        <v>0</v>
      </c>
    </row>
    <row r="394" spans="1:5" x14ac:dyDescent="0.45">
      <c r="A394" t="s">
        <v>53</v>
      </c>
      <c r="B394" t="s">
        <v>47</v>
      </c>
      <c r="C394" t="s">
        <v>48</v>
      </c>
      <c r="D394" t="s">
        <v>50</v>
      </c>
      <c r="E394">
        <v>0</v>
      </c>
    </row>
    <row r="395" spans="1:5" x14ac:dyDescent="0.45">
      <c r="A395" t="s">
        <v>53</v>
      </c>
      <c r="B395" t="s">
        <v>47</v>
      </c>
      <c r="C395" t="s">
        <v>48</v>
      </c>
      <c r="D395" t="s">
        <v>50</v>
      </c>
      <c r="E395">
        <v>0</v>
      </c>
    </row>
    <row r="396" spans="1:5" x14ac:dyDescent="0.45">
      <c r="A396" t="s">
        <v>53</v>
      </c>
      <c r="B396" t="s">
        <v>47</v>
      </c>
      <c r="C396" t="s">
        <v>48</v>
      </c>
      <c r="D396" t="s">
        <v>50</v>
      </c>
      <c r="E396">
        <v>0</v>
      </c>
    </row>
    <row r="397" spans="1:5" x14ac:dyDescent="0.45">
      <c r="A397" t="s">
        <v>53</v>
      </c>
      <c r="B397" t="s">
        <v>47</v>
      </c>
      <c r="C397" t="s">
        <v>48</v>
      </c>
      <c r="D397" t="s">
        <v>50</v>
      </c>
      <c r="E397">
        <v>0</v>
      </c>
    </row>
    <row r="398" spans="1:5" x14ac:dyDescent="0.45">
      <c r="A398" t="s">
        <v>53</v>
      </c>
      <c r="B398" t="s">
        <v>47</v>
      </c>
      <c r="C398" t="s">
        <v>48</v>
      </c>
      <c r="D398" t="s">
        <v>50</v>
      </c>
      <c r="E398">
        <v>0</v>
      </c>
    </row>
    <row r="399" spans="1:5" x14ac:dyDescent="0.45">
      <c r="A399" t="s">
        <v>53</v>
      </c>
      <c r="B399" t="s">
        <v>47</v>
      </c>
      <c r="C399" t="s">
        <v>48</v>
      </c>
      <c r="D399" t="s">
        <v>50</v>
      </c>
      <c r="E399">
        <v>0</v>
      </c>
    </row>
    <row r="400" spans="1:5" x14ac:dyDescent="0.45">
      <c r="A400" t="s">
        <v>53</v>
      </c>
      <c r="B400" t="s">
        <v>47</v>
      </c>
      <c r="C400" t="s">
        <v>48</v>
      </c>
      <c r="D400" t="s">
        <v>50</v>
      </c>
      <c r="E400">
        <v>0</v>
      </c>
    </row>
    <row r="401" spans="1:5" x14ac:dyDescent="0.45">
      <c r="A401" t="s">
        <v>53</v>
      </c>
      <c r="B401" t="s">
        <v>47</v>
      </c>
      <c r="C401" t="s">
        <v>48</v>
      </c>
      <c r="D401" t="s">
        <v>50</v>
      </c>
      <c r="E401">
        <v>0</v>
      </c>
    </row>
    <row r="402" spans="1:5" x14ac:dyDescent="0.45">
      <c r="A402" t="s">
        <v>53</v>
      </c>
      <c r="B402" t="s">
        <v>47</v>
      </c>
      <c r="C402" t="s">
        <v>48</v>
      </c>
      <c r="D402" t="s">
        <v>50</v>
      </c>
      <c r="E402">
        <v>0</v>
      </c>
    </row>
    <row r="403" spans="1:5" x14ac:dyDescent="0.45">
      <c r="A403" t="s">
        <v>53</v>
      </c>
      <c r="B403" t="s">
        <v>47</v>
      </c>
      <c r="C403" t="s">
        <v>48</v>
      </c>
      <c r="D403" t="s">
        <v>50</v>
      </c>
      <c r="E403">
        <v>0</v>
      </c>
    </row>
    <row r="404" spans="1:5" x14ac:dyDescent="0.45">
      <c r="A404" t="s">
        <v>53</v>
      </c>
      <c r="B404" t="s">
        <v>47</v>
      </c>
      <c r="C404" t="s">
        <v>48</v>
      </c>
      <c r="D404" t="s">
        <v>50</v>
      </c>
      <c r="E404">
        <v>0</v>
      </c>
    </row>
    <row r="405" spans="1:5" x14ac:dyDescent="0.45">
      <c r="A405" t="s">
        <v>53</v>
      </c>
      <c r="B405" t="s">
        <v>47</v>
      </c>
      <c r="C405" t="s">
        <v>48</v>
      </c>
      <c r="D405" t="s">
        <v>50</v>
      </c>
      <c r="E405">
        <v>0</v>
      </c>
    </row>
    <row r="406" spans="1:5" x14ac:dyDescent="0.45">
      <c r="A406" t="s">
        <v>53</v>
      </c>
      <c r="B406" t="s">
        <v>47</v>
      </c>
      <c r="C406" t="s">
        <v>48</v>
      </c>
      <c r="D406" t="s">
        <v>50</v>
      </c>
      <c r="E406">
        <v>0</v>
      </c>
    </row>
    <row r="407" spans="1:5" x14ac:dyDescent="0.45">
      <c r="A407" t="s">
        <v>53</v>
      </c>
      <c r="B407" t="s">
        <v>47</v>
      </c>
      <c r="C407" t="s">
        <v>48</v>
      </c>
      <c r="D407" t="s">
        <v>50</v>
      </c>
      <c r="E407">
        <v>0</v>
      </c>
    </row>
    <row r="408" spans="1:5" x14ac:dyDescent="0.45">
      <c r="A408" t="s">
        <v>53</v>
      </c>
      <c r="B408" t="s">
        <v>47</v>
      </c>
      <c r="C408" t="s">
        <v>48</v>
      </c>
      <c r="D408" t="s">
        <v>50</v>
      </c>
      <c r="E408">
        <v>0</v>
      </c>
    </row>
    <row r="409" spans="1:5" x14ac:dyDescent="0.45">
      <c r="A409" t="s">
        <v>53</v>
      </c>
      <c r="B409" t="s">
        <v>47</v>
      </c>
      <c r="C409" t="s">
        <v>48</v>
      </c>
      <c r="D409" t="s">
        <v>50</v>
      </c>
      <c r="E409">
        <v>0</v>
      </c>
    </row>
    <row r="410" spans="1:5" x14ac:dyDescent="0.45">
      <c r="A410" t="s">
        <v>53</v>
      </c>
      <c r="B410" t="s">
        <v>47</v>
      </c>
      <c r="C410" t="s">
        <v>48</v>
      </c>
      <c r="D410" t="s">
        <v>50</v>
      </c>
      <c r="E410">
        <v>0</v>
      </c>
    </row>
    <row r="411" spans="1:5" x14ac:dyDescent="0.45">
      <c r="A411" t="s">
        <v>53</v>
      </c>
      <c r="B411" t="s">
        <v>47</v>
      </c>
      <c r="C411" t="s">
        <v>48</v>
      </c>
      <c r="D411" t="s">
        <v>50</v>
      </c>
      <c r="E411">
        <v>0</v>
      </c>
    </row>
    <row r="412" spans="1:5" x14ac:dyDescent="0.45">
      <c r="A412" t="s">
        <v>53</v>
      </c>
      <c r="B412" t="s">
        <v>47</v>
      </c>
      <c r="C412" t="s">
        <v>48</v>
      </c>
      <c r="D412" t="s">
        <v>50</v>
      </c>
      <c r="E412">
        <v>0</v>
      </c>
    </row>
    <row r="413" spans="1:5" x14ac:dyDescent="0.45">
      <c r="A413" t="s">
        <v>53</v>
      </c>
      <c r="B413" t="s">
        <v>47</v>
      </c>
      <c r="C413" t="s">
        <v>48</v>
      </c>
      <c r="D413" t="s">
        <v>50</v>
      </c>
      <c r="E413">
        <v>0</v>
      </c>
    </row>
    <row r="414" spans="1:5" x14ac:dyDescent="0.45">
      <c r="A414" t="s">
        <v>53</v>
      </c>
      <c r="B414" t="s">
        <v>47</v>
      </c>
      <c r="C414" t="s">
        <v>48</v>
      </c>
      <c r="D414" t="s">
        <v>50</v>
      </c>
      <c r="E414">
        <v>0</v>
      </c>
    </row>
    <row r="415" spans="1:5" x14ac:dyDescent="0.45">
      <c r="A415" t="s">
        <v>53</v>
      </c>
      <c r="B415" t="s">
        <v>47</v>
      </c>
      <c r="C415" t="s">
        <v>48</v>
      </c>
      <c r="D415" t="s">
        <v>50</v>
      </c>
      <c r="E415">
        <v>0</v>
      </c>
    </row>
    <row r="416" spans="1:5" x14ac:dyDescent="0.45">
      <c r="A416" t="s">
        <v>53</v>
      </c>
      <c r="B416" t="s">
        <v>47</v>
      </c>
      <c r="C416" t="s">
        <v>48</v>
      </c>
      <c r="D416" t="s">
        <v>50</v>
      </c>
      <c r="E416">
        <v>0</v>
      </c>
    </row>
    <row r="417" spans="1:5" x14ac:dyDescent="0.45">
      <c r="A417" t="s">
        <v>53</v>
      </c>
      <c r="B417" t="s">
        <v>47</v>
      </c>
      <c r="C417" t="s">
        <v>48</v>
      </c>
      <c r="D417" t="s">
        <v>50</v>
      </c>
      <c r="E417">
        <v>0</v>
      </c>
    </row>
    <row r="418" spans="1:5" x14ac:dyDescent="0.45">
      <c r="A418" t="s">
        <v>53</v>
      </c>
      <c r="B418" t="s">
        <v>47</v>
      </c>
      <c r="C418" t="s">
        <v>48</v>
      </c>
      <c r="D418" t="s">
        <v>50</v>
      </c>
      <c r="E418">
        <v>0</v>
      </c>
    </row>
    <row r="419" spans="1:5" x14ac:dyDescent="0.45">
      <c r="A419" t="s">
        <v>53</v>
      </c>
      <c r="B419" t="s">
        <v>47</v>
      </c>
      <c r="C419" t="s">
        <v>48</v>
      </c>
      <c r="D419" t="s">
        <v>50</v>
      </c>
      <c r="E419">
        <v>0</v>
      </c>
    </row>
    <row r="420" spans="1:5" x14ac:dyDescent="0.45">
      <c r="A420" t="s">
        <v>53</v>
      </c>
      <c r="B420" t="s">
        <v>47</v>
      </c>
      <c r="C420" t="s">
        <v>48</v>
      </c>
      <c r="D420" t="s">
        <v>50</v>
      </c>
      <c r="E420">
        <v>0</v>
      </c>
    </row>
    <row r="421" spans="1:5" x14ac:dyDescent="0.45">
      <c r="A421" t="s">
        <v>53</v>
      </c>
      <c r="B421" t="s">
        <v>47</v>
      </c>
      <c r="C421" t="s">
        <v>48</v>
      </c>
      <c r="D421" t="s">
        <v>50</v>
      </c>
      <c r="E421">
        <v>0</v>
      </c>
    </row>
    <row r="422" spans="1:5" x14ac:dyDescent="0.45">
      <c r="A422" t="s">
        <v>53</v>
      </c>
      <c r="B422" t="s">
        <v>47</v>
      </c>
      <c r="C422" t="s">
        <v>48</v>
      </c>
      <c r="D422" t="s">
        <v>50</v>
      </c>
      <c r="E422">
        <v>0</v>
      </c>
    </row>
    <row r="423" spans="1:5" x14ac:dyDescent="0.45">
      <c r="A423" t="s">
        <v>53</v>
      </c>
      <c r="B423" t="s">
        <v>47</v>
      </c>
      <c r="C423" t="s">
        <v>48</v>
      </c>
      <c r="D423" t="s">
        <v>50</v>
      </c>
      <c r="E423">
        <v>0</v>
      </c>
    </row>
    <row r="424" spans="1:5" x14ac:dyDescent="0.45">
      <c r="A424" t="s">
        <v>53</v>
      </c>
      <c r="B424" t="s">
        <v>47</v>
      </c>
      <c r="C424" t="s">
        <v>48</v>
      </c>
      <c r="D424" t="s">
        <v>50</v>
      </c>
      <c r="E424">
        <v>0</v>
      </c>
    </row>
    <row r="425" spans="1:5" x14ac:dyDescent="0.45">
      <c r="A425" t="s">
        <v>53</v>
      </c>
      <c r="B425" t="s">
        <v>47</v>
      </c>
      <c r="C425" t="s">
        <v>48</v>
      </c>
      <c r="D425" t="s">
        <v>50</v>
      </c>
      <c r="E425">
        <v>0</v>
      </c>
    </row>
    <row r="426" spans="1:5" x14ac:dyDescent="0.45">
      <c r="A426" t="s">
        <v>53</v>
      </c>
      <c r="B426" t="s">
        <v>47</v>
      </c>
      <c r="C426" t="s">
        <v>48</v>
      </c>
      <c r="D426" t="s">
        <v>50</v>
      </c>
      <c r="E426">
        <v>0</v>
      </c>
    </row>
    <row r="427" spans="1:5" x14ac:dyDescent="0.45">
      <c r="A427" t="s">
        <v>53</v>
      </c>
      <c r="B427" t="s">
        <v>47</v>
      </c>
      <c r="C427" t="s">
        <v>48</v>
      </c>
      <c r="D427" t="s">
        <v>50</v>
      </c>
      <c r="E427">
        <v>0</v>
      </c>
    </row>
    <row r="428" spans="1:5" x14ac:dyDescent="0.45">
      <c r="A428" t="s">
        <v>53</v>
      </c>
      <c r="B428" t="s">
        <v>47</v>
      </c>
      <c r="C428" t="s">
        <v>48</v>
      </c>
      <c r="D428" t="s">
        <v>50</v>
      </c>
      <c r="E428">
        <v>0</v>
      </c>
    </row>
    <row r="429" spans="1:5" x14ac:dyDescent="0.45">
      <c r="A429" t="s">
        <v>53</v>
      </c>
      <c r="B429" t="s">
        <v>47</v>
      </c>
      <c r="C429" t="s">
        <v>48</v>
      </c>
      <c r="D429" t="s">
        <v>50</v>
      </c>
      <c r="E429">
        <v>0</v>
      </c>
    </row>
    <row r="430" spans="1:5" x14ac:dyDescent="0.45">
      <c r="A430" t="s">
        <v>53</v>
      </c>
      <c r="B430" t="s">
        <v>47</v>
      </c>
      <c r="C430" t="s">
        <v>48</v>
      </c>
      <c r="D430" t="s">
        <v>50</v>
      </c>
      <c r="E430">
        <v>0</v>
      </c>
    </row>
    <row r="431" spans="1:5" x14ac:dyDescent="0.45">
      <c r="A431" t="s">
        <v>53</v>
      </c>
      <c r="B431" t="s">
        <v>47</v>
      </c>
      <c r="C431" t="s">
        <v>48</v>
      </c>
      <c r="D431" t="s">
        <v>50</v>
      </c>
      <c r="E431">
        <v>0</v>
      </c>
    </row>
    <row r="432" spans="1:5" x14ac:dyDescent="0.45">
      <c r="A432" t="s">
        <v>53</v>
      </c>
      <c r="B432" t="s">
        <v>47</v>
      </c>
      <c r="C432" t="s">
        <v>48</v>
      </c>
      <c r="D432" t="s">
        <v>50</v>
      </c>
      <c r="E432">
        <v>0</v>
      </c>
    </row>
    <row r="433" spans="1:5" x14ac:dyDescent="0.45">
      <c r="A433" t="s">
        <v>53</v>
      </c>
      <c r="B433" t="s">
        <v>47</v>
      </c>
      <c r="C433" t="s">
        <v>48</v>
      </c>
      <c r="D433" t="s">
        <v>50</v>
      </c>
      <c r="E433">
        <v>0</v>
      </c>
    </row>
    <row r="434" spans="1:5" x14ac:dyDescent="0.45">
      <c r="A434" t="s">
        <v>53</v>
      </c>
      <c r="B434" t="s">
        <v>47</v>
      </c>
      <c r="C434" t="s">
        <v>48</v>
      </c>
      <c r="D434" t="s">
        <v>50</v>
      </c>
      <c r="E434">
        <v>0</v>
      </c>
    </row>
    <row r="435" spans="1:5" x14ac:dyDescent="0.45">
      <c r="A435" t="s">
        <v>53</v>
      </c>
      <c r="B435" t="s">
        <v>47</v>
      </c>
      <c r="C435" t="s">
        <v>48</v>
      </c>
      <c r="D435" t="s">
        <v>50</v>
      </c>
      <c r="E435">
        <v>0</v>
      </c>
    </row>
    <row r="436" spans="1:5" x14ac:dyDescent="0.45">
      <c r="A436" t="s">
        <v>53</v>
      </c>
      <c r="B436" t="s">
        <v>47</v>
      </c>
      <c r="C436" t="s">
        <v>48</v>
      </c>
      <c r="D436" t="s">
        <v>50</v>
      </c>
      <c r="E436">
        <v>0</v>
      </c>
    </row>
    <row r="437" spans="1:5" x14ac:dyDescent="0.45">
      <c r="A437" t="s">
        <v>53</v>
      </c>
      <c r="B437" t="s">
        <v>47</v>
      </c>
      <c r="C437" t="s">
        <v>48</v>
      </c>
      <c r="D437" t="s">
        <v>50</v>
      </c>
      <c r="E437">
        <v>0</v>
      </c>
    </row>
    <row r="438" spans="1:5" x14ac:dyDescent="0.45">
      <c r="A438" t="s">
        <v>53</v>
      </c>
      <c r="B438" t="s">
        <v>47</v>
      </c>
      <c r="C438" t="s">
        <v>48</v>
      </c>
      <c r="D438" t="s">
        <v>50</v>
      </c>
      <c r="E438">
        <v>0</v>
      </c>
    </row>
    <row r="439" spans="1:5" x14ac:dyDescent="0.45">
      <c r="A439" t="s">
        <v>53</v>
      </c>
      <c r="B439" t="s">
        <v>47</v>
      </c>
      <c r="C439" t="s">
        <v>48</v>
      </c>
      <c r="D439" t="s">
        <v>50</v>
      </c>
      <c r="E439">
        <v>0</v>
      </c>
    </row>
    <row r="440" spans="1:5" x14ac:dyDescent="0.45">
      <c r="A440" t="s">
        <v>53</v>
      </c>
      <c r="B440" t="s">
        <v>47</v>
      </c>
      <c r="C440" t="s">
        <v>48</v>
      </c>
      <c r="D440" t="s">
        <v>50</v>
      </c>
      <c r="E440">
        <v>0</v>
      </c>
    </row>
    <row r="441" spans="1:5" x14ac:dyDescent="0.45">
      <c r="A441" t="s">
        <v>53</v>
      </c>
      <c r="B441" t="s">
        <v>47</v>
      </c>
      <c r="C441" t="s">
        <v>48</v>
      </c>
      <c r="D441" t="s">
        <v>50</v>
      </c>
      <c r="E441">
        <v>0</v>
      </c>
    </row>
    <row r="442" spans="1:5" x14ac:dyDescent="0.45">
      <c r="A442" t="s">
        <v>53</v>
      </c>
      <c r="B442" t="s">
        <v>47</v>
      </c>
      <c r="C442" t="s">
        <v>48</v>
      </c>
      <c r="D442" t="s">
        <v>50</v>
      </c>
      <c r="E442">
        <v>0</v>
      </c>
    </row>
    <row r="443" spans="1:5" x14ac:dyDescent="0.45">
      <c r="A443" t="s">
        <v>53</v>
      </c>
      <c r="B443" t="s">
        <v>47</v>
      </c>
      <c r="C443" t="s">
        <v>48</v>
      </c>
      <c r="D443" t="s">
        <v>50</v>
      </c>
      <c r="E443">
        <v>0</v>
      </c>
    </row>
    <row r="444" spans="1:5" x14ac:dyDescent="0.45">
      <c r="A444" t="s">
        <v>53</v>
      </c>
      <c r="B444" t="s">
        <v>47</v>
      </c>
      <c r="C444" t="s">
        <v>48</v>
      </c>
      <c r="D444" t="s">
        <v>50</v>
      </c>
      <c r="E444">
        <v>0</v>
      </c>
    </row>
    <row r="445" spans="1:5" x14ac:dyDescent="0.45">
      <c r="A445" t="s">
        <v>53</v>
      </c>
      <c r="B445" t="s">
        <v>47</v>
      </c>
      <c r="C445" t="s">
        <v>48</v>
      </c>
      <c r="D445" t="s">
        <v>50</v>
      </c>
      <c r="E445">
        <v>0</v>
      </c>
    </row>
    <row r="446" spans="1:5" x14ac:dyDescent="0.45">
      <c r="A446" t="s">
        <v>53</v>
      </c>
      <c r="B446" t="s">
        <v>47</v>
      </c>
      <c r="C446" t="s">
        <v>48</v>
      </c>
      <c r="D446" t="s">
        <v>50</v>
      </c>
      <c r="E446">
        <v>0</v>
      </c>
    </row>
    <row r="447" spans="1:5" x14ac:dyDescent="0.45">
      <c r="A447" t="s">
        <v>53</v>
      </c>
      <c r="B447" t="s">
        <v>47</v>
      </c>
      <c r="C447" t="s">
        <v>48</v>
      </c>
      <c r="D447" t="s">
        <v>50</v>
      </c>
      <c r="E447">
        <v>0</v>
      </c>
    </row>
    <row r="448" spans="1:5" x14ac:dyDescent="0.45">
      <c r="A448" t="s">
        <v>53</v>
      </c>
      <c r="B448" t="s">
        <v>47</v>
      </c>
      <c r="C448" t="s">
        <v>48</v>
      </c>
      <c r="D448" t="s">
        <v>50</v>
      </c>
      <c r="E448">
        <v>0</v>
      </c>
    </row>
    <row r="449" spans="1:5" x14ac:dyDescent="0.45">
      <c r="A449" t="s">
        <v>53</v>
      </c>
      <c r="B449" t="s">
        <v>47</v>
      </c>
      <c r="C449" t="s">
        <v>48</v>
      </c>
      <c r="D449" t="s">
        <v>50</v>
      </c>
      <c r="E449">
        <v>0</v>
      </c>
    </row>
    <row r="450" spans="1:5" x14ac:dyDescent="0.45">
      <c r="A450" t="s">
        <v>53</v>
      </c>
      <c r="B450" t="s">
        <v>47</v>
      </c>
      <c r="C450" t="s">
        <v>48</v>
      </c>
      <c r="D450" t="s">
        <v>50</v>
      </c>
      <c r="E450">
        <v>0</v>
      </c>
    </row>
    <row r="451" spans="1:5" x14ac:dyDescent="0.45">
      <c r="A451" t="s">
        <v>53</v>
      </c>
      <c r="B451" t="s">
        <v>47</v>
      </c>
      <c r="C451" t="s">
        <v>48</v>
      </c>
      <c r="D451" t="s">
        <v>50</v>
      </c>
      <c r="E451">
        <v>0</v>
      </c>
    </row>
    <row r="452" spans="1:5" x14ac:dyDescent="0.45">
      <c r="A452" t="s">
        <v>53</v>
      </c>
      <c r="B452" t="s">
        <v>47</v>
      </c>
      <c r="C452" t="s">
        <v>48</v>
      </c>
      <c r="D452" t="s">
        <v>50</v>
      </c>
      <c r="E452">
        <v>0</v>
      </c>
    </row>
    <row r="453" spans="1:5" x14ac:dyDescent="0.45">
      <c r="A453" t="s">
        <v>53</v>
      </c>
      <c r="B453" t="s">
        <v>47</v>
      </c>
      <c r="C453" t="s">
        <v>48</v>
      </c>
      <c r="D453" t="s">
        <v>50</v>
      </c>
      <c r="E453">
        <v>0</v>
      </c>
    </row>
    <row r="454" spans="1:5" x14ac:dyDescent="0.45">
      <c r="A454" t="s">
        <v>53</v>
      </c>
      <c r="B454" t="s">
        <v>47</v>
      </c>
      <c r="C454" t="s">
        <v>48</v>
      </c>
      <c r="D454" t="s">
        <v>50</v>
      </c>
      <c r="E454">
        <v>0</v>
      </c>
    </row>
    <row r="455" spans="1:5" x14ac:dyDescent="0.45">
      <c r="A455" t="s">
        <v>53</v>
      </c>
      <c r="B455" t="s">
        <v>47</v>
      </c>
      <c r="C455" t="s">
        <v>48</v>
      </c>
      <c r="D455" t="s">
        <v>50</v>
      </c>
      <c r="E455">
        <v>0</v>
      </c>
    </row>
    <row r="456" spans="1:5" x14ac:dyDescent="0.45">
      <c r="A456" t="s">
        <v>53</v>
      </c>
      <c r="B456" t="s">
        <v>47</v>
      </c>
      <c r="C456" t="s">
        <v>48</v>
      </c>
      <c r="D456" t="s">
        <v>50</v>
      </c>
      <c r="E456">
        <v>0</v>
      </c>
    </row>
    <row r="457" spans="1:5" x14ac:dyDescent="0.45">
      <c r="A457" t="s">
        <v>53</v>
      </c>
      <c r="B457" t="s">
        <v>47</v>
      </c>
      <c r="C457" t="s">
        <v>48</v>
      </c>
      <c r="D457" t="s">
        <v>50</v>
      </c>
      <c r="E457">
        <v>0</v>
      </c>
    </row>
    <row r="458" spans="1:5" x14ac:dyDescent="0.45">
      <c r="A458" t="s">
        <v>53</v>
      </c>
      <c r="B458" t="s">
        <v>47</v>
      </c>
      <c r="C458" t="s">
        <v>48</v>
      </c>
      <c r="D458" t="s">
        <v>50</v>
      </c>
      <c r="E458">
        <v>0</v>
      </c>
    </row>
    <row r="459" spans="1:5" x14ac:dyDescent="0.45">
      <c r="A459" t="s">
        <v>53</v>
      </c>
      <c r="B459" t="s">
        <v>47</v>
      </c>
      <c r="C459" t="s">
        <v>48</v>
      </c>
      <c r="D459" t="s">
        <v>50</v>
      </c>
      <c r="E459">
        <v>0</v>
      </c>
    </row>
    <row r="460" spans="1:5" x14ac:dyDescent="0.45">
      <c r="A460" t="s">
        <v>53</v>
      </c>
      <c r="B460" t="s">
        <v>47</v>
      </c>
      <c r="C460" t="s">
        <v>48</v>
      </c>
      <c r="D460" t="s">
        <v>50</v>
      </c>
      <c r="E460">
        <v>0</v>
      </c>
    </row>
    <row r="461" spans="1:5" x14ac:dyDescent="0.45">
      <c r="A461" t="s">
        <v>53</v>
      </c>
      <c r="B461" t="s">
        <v>47</v>
      </c>
      <c r="C461" t="s">
        <v>48</v>
      </c>
      <c r="D461" t="s">
        <v>50</v>
      </c>
      <c r="E461">
        <v>0</v>
      </c>
    </row>
    <row r="462" spans="1:5" x14ac:dyDescent="0.45">
      <c r="A462" t="s">
        <v>53</v>
      </c>
      <c r="B462" t="s">
        <v>47</v>
      </c>
      <c r="C462" t="s">
        <v>48</v>
      </c>
      <c r="D462" t="s">
        <v>50</v>
      </c>
      <c r="E462">
        <v>0</v>
      </c>
    </row>
    <row r="463" spans="1:5" x14ac:dyDescent="0.45">
      <c r="A463" t="s">
        <v>53</v>
      </c>
      <c r="B463" t="s">
        <v>47</v>
      </c>
      <c r="C463" t="s">
        <v>48</v>
      </c>
      <c r="D463" t="s">
        <v>50</v>
      </c>
      <c r="E463">
        <v>0</v>
      </c>
    </row>
    <row r="464" spans="1:5" x14ac:dyDescent="0.45">
      <c r="A464" t="s">
        <v>53</v>
      </c>
      <c r="B464" t="s">
        <v>47</v>
      </c>
      <c r="C464" t="s">
        <v>48</v>
      </c>
      <c r="D464" t="s">
        <v>50</v>
      </c>
      <c r="E464">
        <v>0</v>
      </c>
    </row>
    <row r="465" spans="1:5" x14ac:dyDescent="0.45">
      <c r="A465" t="s">
        <v>53</v>
      </c>
      <c r="B465" t="s">
        <v>47</v>
      </c>
      <c r="C465" t="s">
        <v>48</v>
      </c>
      <c r="D465" t="s">
        <v>50</v>
      </c>
      <c r="E465">
        <v>0</v>
      </c>
    </row>
    <row r="466" spans="1:5" x14ac:dyDescent="0.45">
      <c r="A466" t="s">
        <v>53</v>
      </c>
      <c r="B466" t="s">
        <v>47</v>
      </c>
      <c r="C466" t="s">
        <v>48</v>
      </c>
      <c r="D466" t="s">
        <v>50</v>
      </c>
      <c r="E466">
        <v>0</v>
      </c>
    </row>
    <row r="467" spans="1:5" x14ac:dyDescent="0.45">
      <c r="A467" t="s">
        <v>53</v>
      </c>
      <c r="B467" t="s">
        <v>47</v>
      </c>
      <c r="C467" t="s">
        <v>48</v>
      </c>
      <c r="D467" t="s">
        <v>50</v>
      </c>
      <c r="E467">
        <v>0</v>
      </c>
    </row>
    <row r="468" spans="1:5" x14ac:dyDescent="0.45">
      <c r="A468" t="s">
        <v>53</v>
      </c>
      <c r="B468" t="s">
        <v>47</v>
      </c>
      <c r="C468" t="s">
        <v>48</v>
      </c>
      <c r="D468" t="s">
        <v>50</v>
      </c>
      <c r="E468">
        <v>0</v>
      </c>
    </row>
    <row r="469" spans="1:5" x14ac:dyDescent="0.45">
      <c r="A469" t="s">
        <v>53</v>
      </c>
      <c r="B469" t="s">
        <v>47</v>
      </c>
      <c r="C469" t="s">
        <v>48</v>
      </c>
      <c r="D469" t="s">
        <v>50</v>
      </c>
      <c r="E469">
        <v>0</v>
      </c>
    </row>
    <row r="470" spans="1:5" x14ac:dyDescent="0.45">
      <c r="A470" t="s">
        <v>53</v>
      </c>
      <c r="B470" t="s">
        <v>47</v>
      </c>
      <c r="C470" t="s">
        <v>48</v>
      </c>
      <c r="D470" t="s">
        <v>50</v>
      </c>
      <c r="E470">
        <v>0</v>
      </c>
    </row>
    <row r="471" spans="1:5" x14ac:dyDescent="0.45">
      <c r="A471" t="s">
        <v>53</v>
      </c>
      <c r="B471" t="s">
        <v>47</v>
      </c>
      <c r="C471" t="s">
        <v>48</v>
      </c>
      <c r="D471" t="s">
        <v>50</v>
      </c>
      <c r="E471">
        <v>0</v>
      </c>
    </row>
    <row r="472" spans="1:5" x14ac:dyDescent="0.45">
      <c r="A472" t="s">
        <v>53</v>
      </c>
      <c r="B472" t="s">
        <v>47</v>
      </c>
      <c r="C472" t="s">
        <v>48</v>
      </c>
      <c r="D472" t="s">
        <v>50</v>
      </c>
      <c r="E472">
        <v>0</v>
      </c>
    </row>
    <row r="473" spans="1:5" x14ac:dyDescent="0.45">
      <c r="A473" t="s">
        <v>53</v>
      </c>
      <c r="B473" t="s">
        <v>47</v>
      </c>
      <c r="C473" t="s">
        <v>48</v>
      </c>
      <c r="D473" t="s">
        <v>50</v>
      </c>
      <c r="E473">
        <v>0</v>
      </c>
    </row>
    <row r="474" spans="1:5" x14ac:dyDescent="0.45">
      <c r="A474" t="s">
        <v>53</v>
      </c>
      <c r="B474" t="s">
        <v>47</v>
      </c>
      <c r="C474" t="s">
        <v>48</v>
      </c>
      <c r="D474" t="s">
        <v>50</v>
      </c>
      <c r="E474">
        <v>0</v>
      </c>
    </row>
    <row r="475" spans="1:5" x14ac:dyDescent="0.45">
      <c r="A475" t="s">
        <v>53</v>
      </c>
      <c r="B475" t="s">
        <v>47</v>
      </c>
      <c r="C475" t="s">
        <v>48</v>
      </c>
      <c r="D475" t="s">
        <v>50</v>
      </c>
      <c r="E475">
        <v>0</v>
      </c>
    </row>
    <row r="476" spans="1:5" x14ac:dyDescent="0.45">
      <c r="A476" t="s">
        <v>53</v>
      </c>
      <c r="B476" t="s">
        <v>47</v>
      </c>
      <c r="C476" t="s">
        <v>48</v>
      </c>
      <c r="D476" t="s">
        <v>50</v>
      </c>
      <c r="E476">
        <v>0</v>
      </c>
    </row>
    <row r="477" spans="1:5" x14ac:dyDescent="0.45">
      <c r="A477" t="s">
        <v>53</v>
      </c>
      <c r="B477" t="s">
        <v>47</v>
      </c>
      <c r="C477" t="s">
        <v>48</v>
      </c>
      <c r="D477" t="s">
        <v>50</v>
      </c>
      <c r="E477">
        <v>0</v>
      </c>
    </row>
    <row r="478" spans="1:5" x14ac:dyDescent="0.45">
      <c r="A478" t="s">
        <v>53</v>
      </c>
      <c r="B478" t="s">
        <v>47</v>
      </c>
      <c r="C478" t="s">
        <v>48</v>
      </c>
      <c r="D478" t="s">
        <v>50</v>
      </c>
      <c r="E478">
        <v>0</v>
      </c>
    </row>
    <row r="479" spans="1:5" x14ac:dyDescent="0.45">
      <c r="A479" t="s">
        <v>53</v>
      </c>
      <c r="B479" t="s">
        <v>47</v>
      </c>
      <c r="C479" t="s">
        <v>48</v>
      </c>
      <c r="D479" t="s">
        <v>50</v>
      </c>
      <c r="E479">
        <v>0</v>
      </c>
    </row>
    <row r="480" spans="1:5" x14ac:dyDescent="0.45">
      <c r="A480" t="s">
        <v>53</v>
      </c>
      <c r="B480" t="s">
        <v>47</v>
      </c>
      <c r="C480" t="s">
        <v>48</v>
      </c>
      <c r="D480" t="s">
        <v>50</v>
      </c>
      <c r="E480">
        <v>0</v>
      </c>
    </row>
    <row r="481" spans="1:5" x14ac:dyDescent="0.45">
      <c r="A481" t="s">
        <v>53</v>
      </c>
      <c r="B481" t="s">
        <v>47</v>
      </c>
      <c r="C481" t="s">
        <v>48</v>
      </c>
      <c r="D481" t="s">
        <v>50</v>
      </c>
      <c r="E481">
        <v>0</v>
      </c>
    </row>
    <row r="482" spans="1:5" x14ac:dyDescent="0.45">
      <c r="A482" t="s">
        <v>53</v>
      </c>
      <c r="B482" t="s">
        <v>47</v>
      </c>
      <c r="C482" t="s">
        <v>48</v>
      </c>
      <c r="D482" t="s">
        <v>50</v>
      </c>
      <c r="E482">
        <v>0</v>
      </c>
    </row>
    <row r="483" spans="1:5" x14ac:dyDescent="0.45">
      <c r="A483" t="s">
        <v>53</v>
      </c>
      <c r="B483" t="s">
        <v>47</v>
      </c>
      <c r="C483" t="s">
        <v>48</v>
      </c>
      <c r="D483" t="s">
        <v>50</v>
      </c>
      <c r="E483">
        <v>0</v>
      </c>
    </row>
    <row r="484" spans="1:5" x14ac:dyDescent="0.45">
      <c r="A484" t="s">
        <v>53</v>
      </c>
      <c r="B484" t="s">
        <v>47</v>
      </c>
      <c r="C484" t="s">
        <v>48</v>
      </c>
      <c r="D484" t="s">
        <v>50</v>
      </c>
      <c r="E484">
        <v>0</v>
      </c>
    </row>
    <row r="485" spans="1:5" x14ac:dyDescent="0.45">
      <c r="A485" t="s">
        <v>53</v>
      </c>
      <c r="B485" t="s">
        <v>47</v>
      </c>
      <c r="C485" t="s">
        <v>48</v>
      </c>
      <c r="D485" t="s">
        <v>50</v>
      </c>
      <c r="E485">
        <v>0</v>
      </c>
    </row>
    <row r="486" spans="1:5" x14ac:dyDescent="0.45">
      <c r="A486" t="s">
        <v>53</v>
      </c>
      <c r="B486" t="s">
        <v>47</v>
      </c>
      <c r="C486" t="s">
        <v>48</v>
      </c>
      <c r="D486" t="s">
        <v>50</v>
      </c>
      <c r="E486">
        <v>0</v>
      </c>
    </row>
    <row r="487" spans="1:5" x14ac:dyDescent="0.45">
      <c r="A487" t="s">
        <v>53</v>
      </c>
      <c r="B487" t="s">
        <v>47</v>
      </c>
      <c r="C487" t="s">
        <v>48</v>
      </c>
      <c r="D487" t="s">
        <v>50</v>
      </c>
      <c r="E487">
        <v>0</v>
      </c>
    </row>
    <row r="488" spans="1:5" x14ac:dyDescent="0.45">
      <c r="A488" t="s">
        <v>53</v>
      </c>
      <c r="B488" t="s">
        <v>47</v>
      </c>
      <c r="C488" t="s">
        <v>48</v>
      </c>
      <c r="D488" t="s">
        <v>50</v>
      </c>
      <c r="E488">
        <v>0</v>
      </c>
    </row>
    <row r="489" spans="1:5" x14ac:dyDescent="0.45">
      <c r="A489" t="s">
        <v>53</v>
      </c>
      <c r="B489" t="s">
        <v>47</v>
      </c>
      <c r="C489" t="s">
        <v>48</v>
      </c>
      <c r="D489" t="s">
        <v>50</v>
      </c>
      <c r="E489">
        <v>0</v>
      </c>
    </row>
    <row r="490" spans="1:5" x14ac:dyDescent="0.45">
      <c r="A490" t="s">
        <v>53</v>
      </c>
      <c r="B490" t="s">
        <v>47</v>
      </c>
      <c r="C490" t="s">
        <v>48</v>
      </c>
      <c r="D490" t="s">
        <v>50</v>
      </c>
      <c r="E490">
        <v>0</v>
      </c>
    </row>
    <row r="491" spans="1:5" x14ac:dyDescent="0.45">
      <c r="A491" t="s">
        <v>53</v>
      </c>
      <c r="B491" t="s">
        <v>47</v>
      </c>
      <c r="C491" t="s">
        <v>48</v>
      </c>
      <c r="D491" t="s">
        <v>50</v>
      </c>
      <c r="E491">
        <v>0</v>
      </c>
    </row>
    <row r="492" spans="1:5" x14ac:dyDescent="0.45">
      <c r="A492" t="s">
        <v>53</v>
      </c>
      <c r="B492" t="s">
        <v>47</v>
      </c>
      <c r="C492" t="s">
        <v>48</v>
      </c>
      <c r="D492" t="s">
        <v>50</v>
      </c>
      <c r="E492">
        <v>0</v>
      </c>
    </row>
    <row r="493" spans="1:5" x14ac:dyDescent="0.45">
      <c r="A493" t="s">
        <v>53</v>
      </c>
      <c r="B493" t="s">
        <v>47</v>
      </c>
      <c r="C493" t="s">
        <v>48</v>
      </c>
      <c r="D493" t="s">
        <v>50</v>
      </c>
      <c r="E493">
        <v>0</v>
      </c>
    </row>
    <row r="494" spans="1:5" x14ac:dyDescent="0.45">
      <c r="A494" t="s">
        <v>53</v>
      </c>
      <c r="B494" t="s">
        <v>47</v>
      </c>
      <c r="C494" t="s">
        <v>48</v>
      </c>
      <c r="D494" t="s">
        <v>50</v>
      </c>
      <c r="E494">
        <v>0</v>
      </c>
    </row>
    <row r="495" spans="1:5" x14ac:dyDescent="0.45">
      <c r="A495" t="s">
        <v>53</v>
      </c>
      <c r="B495" t="s">
        <v>47</v>
      </c>
      <c r="C495" t="s">
        <v>51</v>
      </c>
      <c r="D495" t="s">
        <v>49</v>
      </c>
      <c r="E495">
        <v>1</v>
      </c>
    </row>
    <row r="496" spans="1:5" x14ac:dyDescent="0.45">
      <c r="A496" t="s">
        <v>53</v>
      </c>
      <c r="B496" t="s">
        <v>47</v>
      </c>
      <c r="C496" t="s">
        <v>51</v>
      </c>
      <c r="D496" t="s">
        <v>49</v>
      </c>
      <c r="E496">
        <v>1</v>
      </c>
    </row>
    <row r="497" spans="1:5" x14ac:dyDescent="0.45">
      <c r="A497" t="s">
        <v>53</v>
      </c>
      <c r="B497" t="s">
        <v>47</v>
      </c>
      <c r="C497" t="s">
        <v>51</v>
      </c>
      <c r="D497" t="s">
        <v>49</v>
      </c>
      <c r="E497">
        <v>1</v>
      </c>
    </row>
    <row r="498" spans="1:5" x14ac:dyDescent="0.45">
      <c r="A498" t="s">
        <v>53</v>
      </c>
      <c r="B498" t="s">
        <v>47</v>
      </c>
      <c r="C498" t="s">
        <v>51</v>
      </c>
      <c r="D498" t="s">
        <v>49</v>
      </c>
      <c r="E498">
        <v>1</v>
      </c>
    </row>
    <row r="499" spans="1:5" x14ac:dyDescent="0.45">
      <c r="A499" t="s">
        <v>53</v>
      </c>
      <c r="B499" t="s">
        <v>47</v>
      </c>
      <c r="C499" t="s">
        <v>51</v>
      </c>
      <c r="D499" t="s">
        <v>49</v>
      </c>
      <c r="E499">
        <v>1</v>
      </c>
    </row>
    <row r="500" spans="1:5" x14ac:dyDescent="0.45">
      <c r="A500" t="s">
        <v>53</v>
      </c>
      <c r="B500" t="s">
        <v>47</v>
      </c>
      <c r="C500" t="s">
        <v>51</v>
      </c>
      <c r="D500" t="s">
        <v>49</v>
      </c>
      <c r="E500">
        <v>1</v>
      </c>
    </row>
    <row r="501" spans="1:5" x14ac:dyDescent="0.45">
      <c r="A501" t="s">
        <v>53</v>
      </c>
      <c r="B501" t="s">
        <v>47</v>
      </c>
      <c r="C501" t="s">
        <v>51</v>
      </c>
      <c r="D501" t="s">
        <v>49</v>
      </c>
      <c r="E501">
        <v>1</v>
      </c>
    </row>
    <row r="502" spans="1:5" x14ac:dyDescent="0.45">
      <c r="A502" t="s">
        <v>53</v>
      </c>
      <c r="B502" t="s">
        <v>47</v>
      </c>
      <c r="C502" t="s">
        <v>51</v>
      </c>
      <c r="D502" t="s">
        <v>49</v>
      </c>
      <c r="E502">
        <v>1</v>
      </c>
    </row>
    <row r="503" spans="1:5" x14ac:dyDescent="0.45">
      <c r="A503" t="s">
        <v>53</v>
      </c>
      <c r="B503" t="s">
        <v>47</v>
      </c>
      <c r="C503" t="s">
        <v>51</v>
      </c>
      <c r="D503" t="s">
        <v>49</v>
      </c>
      <c r="E503">
        <v>1</v>
      </c>
    </row>
    <row r="504" spans="1:5" x14ac:dyDescent="0.45">
      <c r="A504" t="s">
        <v>53</v>
      </c>
      <c r="B504" t="s">
        <v>47</v>
      </c>
      <c r="C504" t="s">
        <v>51</v>
      </c>
      <c r="D504" t="s">
        <v>49</v>
      </c>
      <c r="E504">
        <v>1</v>
      </c>
    </row>
    <row r="505" spans="1:5" x14ac:dyDescent="0.45">
      <c r="A505" t="s">
        <v>53</v>
      </c>
      <c r="B505" t="s">
        <v>47</v>
      </c>
      <c r="C505" t="s">
        <v>51</v>
      </c>
      <c r="D505" t="s">
        <v>49</v>
      </c>
      <c r="E505">
        <v>1</v>
      </c>
    </row>
    <row r="506" spans="1:5" x14ac:dyDescent="0.45">
      <c r="A506" t="s">
        <v>53</v>
      </c>
      <c r="B506" t="s">
        <v>47</v>
      </c>
      <c r="C506" t="s">
        <v>51</v>
      </c>
      <c r="D506" t="s">
        <v>49</v>
      </c>
      <c r="E506">
        <v>1</v>
      </c>
    </row>
    <row r="507" spans="1:5" x14ac:dyDescent="0.45">
      <c r="A507" t="s">
        <v>53</v>
      </c>
      <c r="B507" t="s">
        <v>47</v>
      </c>
      <c r="C507" t="s">
        <v>51</v>
      </c>
      <c r="D507" t="s">
        <v>49</v>
      </c>
      <c r="E507">
        <v>1</v>
      </c>
    </row>
    <row r="508" spans="1:5" x14ac:dyDescent="0.45">
      <c r="A508" t="s">
        <v>53</v>
      </c>
      <c r="B508" t="s">
        <v>47</v>
      </c>
      <c r="C508" t="s">
        <v>51</v>
      </c>
      <c r="D508" t="s">
        <v>49</v>
      </c>
      <c r="E508">
        <v>1</v>
      </c>
    </row>
    <row r="509" spans="1:5" x14ac:dyDescent="0.45">
      <c r="A509" t="s">
        <v>53</v>
      </c>
      <c r="B509" t="s">
        <v>47</v>
      </c>
      <c r="C509" t="s">
        <v>51</v>
      </c>
      <c r="D509" t="s">
        <v>49</v>
      </c>
      <c r="E509">
        <v>1</v>
      </c>
    </row>
    <row r="510" spans="1:5" x14ac:dyDescent="0.45">
      <c r="A510" t="s">
        <v>53</v>
      </c>
      <c r="B510" t="s">
        <v>47</v>
      </c>
      <c r="C510" t="s">
        <v>51</v>
      </c>
      <c r="D510" t="s">
        <v>49</v>
      </c>
      <c r="E510">
        <v>1</v>
      </c>
    </row>
    <row r="511" spans="1:5" x14ac:dyDescent="0.45">
      <c r="A511" t="s">
        <v>53</v>
      </c>
      <c r="B511" t="s">
        <v>47</v>
      </c>
      <c r="C511" t="s">
        <v>51</v>
      </c>
      <c r="D511" t="s">
        <v>49</v>
      </c>
      <c r="E511">
        <v>1</v>
      </c>
    </row>
    <row r="512" spans="1:5" x14ac:dyDescent="0.45">
      <c r="A512" t="s">
        <v>53</v>
      </c>
      <c r="B512" t="s">
        <v>47</v>
      </c>
      <c r="C512" t="s">
        <v>51</v>
      </c>
      <c r="D512" t="s">
        <v>49</v>
      </c>
      <c r="E512">
        <v>1</v>
      </c>
    </row>
    <row r="513" spans="1:5" x14ac:dyDescent="0.45">
      <c r="A513" t="s">
        <v>53</v>
      </c>
      <c r="B513" t="s">
        <v>47</v>
      </c>
      <c r="C513" t="s">
        <v>51</v>
      </c>
      <c r="D513" t="s">
        <v>49</v>
      </c>
      <c r="E513">
        <v>1</v>
      </c>
    </row>
    <row r="514" spans="1:5" x14ac:dyDescent="0.45">
      <c r="A514" t="s">
        <v>53</v>
      </c>
      <c r="B514" t="s">
        <v>47</v>
      </c>
      <c r="C514" t="s">
        <v>51</v>
      </c>
      <c r="D514" t="s">
        <v>49</v>
      </c>
      <c r="E514">
        <v>1</v>
      </c>
    </row>
    <row r="515" spans="1:5" x14ac:dyDescent="0.45">
      <c r="A515" t="s">
        <v>53</v>
      </c>
      <c r="B515" t="s">
        <v>47</v>
      </c>
      <c r="C515" t="s">
        <v>51</v>
      </c>
      <c r="D515" t="s">
        <v>49</v>
      </c>
      <c r="E515">
        <v>1</v>
      </c>
    </row>
    <row r="516" spans="1:5" x14ac:dyDescent="0.45">
      <c r="A516" t="s">
        <v>53</v>
      </c>
      <c r="B516" t="s">
        <v>47</v>
      </c>
      <c r="C516" t="s">
        <v>51</v>
      </c>
      <c r="D516" t="s">
        <v>49</v>
      </c>
      <c r="E516">
        <v>1</v>
      </c>
    </row>
    <row r="517" spans="1:5" x14ac:dyDescent="0.45">
      <c r="A517" t="s">
        <v>53</v>
      </c>
      <c r="B517" t="s">
        <v>47</v>
      </c>
      <c r="C517" t="s">
        <v>51</v>
      </c>
      <c r="D517" t="s">
        <v>49</v>
      </c>
      <c r="E517">
        <v>1</v>
      </c>
    </row>
    <row r="518" spans="1:5" x14ac:dyDescent="0.45">
      <c r="A518" t="s">
        <v>53</v>
      </c>
      <c r="B518" t="s">
        <v>47</v>
      </c>
      <c r="C518" t="s">
        <v>51</v>
      </c>
      <c r="D518" t="s">
        <v>49</v>
      </c>
      <c r="E518">
        <v>1</v>
      </c>
    </row>
    <row r="519" spans="1:5" x14ac:dyDescent="0.45">
      <c r="A519" t="s">
        <v>53</v>
      </c>
      <c r="B519" t="s">
        <v>47</v>
      </c>
      <c r="C519" t="s">
        <v>51</v>
      </c>
      <c r="D519" t="s">
        <v>49</v>
      </c>
      <c r="E519">
        <v>1</v>
      </c>
    </row>
    <row r="520" spans="1:5" x14ac:dyDescent="0.45">
      <c r="A520" t="s">
        <v>53</v>
      </c>
      <c r="B520" t="s">
        <v>47</v>
      </c>
      <c r="C520" t="s">
        <v>51</v>
      </c>
      <c r="D520" t="s">
        <v>49</v>
      </c>
      <c r="E520">
        <v>1</v>
      </c>
    </row>
    <row r="521" spans="1:5" x14ac:dyDescent="0.45">
      <c r="A521" t="s">
        <v>53</v>
      </c>
      <c r="B521" t="s">
        <v>47</v>
      </c>
      <c r="C521" t="s">
        <v>51</v>
      </c>
      <c r="D521" t="s">
        <v>49</v>
      </c>
      <c r="E521">
        <v>1</v>
      </c>
    </row>
    <row r="522" spans="1:5" x14ac:dyDescent="0.45">
      <c r="A522" t="s">
        <v>53</v>
      </c>
      <c r="B522" t="s">
        <v>47</v>
      </c>
      <c r="C522" t="s">
        <v>51</v>
      </c>
      <c r="D522" t="s">
        <v>49</v>
      </c>
      <c r="E522">
        <v>1</v>
      </c>
    </row>
    <row r="523" spans="1:5" x14ac:dyDescent="0.45">
      <c r="A523" t="s">
        <v>53</v>
      </c>
      <c r="B523" t="s">
        <v>47</v>
      </c>
      <c r="C523" t="s">
        <v>51</v>
      </c>
      <c r="D523" t="s">
        <v>49</v>
      </c>
      <c r="E523">
        <v>1</v>
      </c>
    </row>
    <row r="524" spans="1:5" x14ac:dyDescent="0.45">
      <c r="A524" t="s">
        <v>53</v>
      </c>
      <c r="B524" t="s">
        <v>47</v>
      </c>
      <c r="C524" t="s">
        <v>51</v>
      </c>
      <c r="D524" t="s">
        <v>49</v>
      </c>
      <c r="E524">
        <v>1</v>
      </c>
    </row>
    <row r="525" spans="1:5" x14ac:dyDescent="0.45">
      <c r="A525" t="s">
        <v>53</v>
      </c>
      <c r="B525" t="s">
        <v>47</v>
      </c>
      <c r="C525" t="s">
        <v>51</v>
      </c>
      <c r="D525" t="s">
        <v>49</v>
      </c>
      <c r="E525">
        <v>1</v>
      </c>
    </row>
    <row r="526" spans="1:5" x14ac:dyDescent="0.45">
      <c r="A526" t="s">
        <v>53</v>
      </c>
      <c r="B526" t="s">
        <v>47</v>
      </c>
      <c r="C526" t="s">
        <v>51</v>
      </c>
      <c r="D526" t="s">
        <v>49</v>
      </c>
      <c r="E526">
        <v>1</v>
      </c>
    </row>
    <row r="527" spans="1:5" x14ac:dyDescent="0.45">
      <c r="A527" t="s">
        <v>53</v>
      </c>
      <c r="B527" t="s">
        <v>47</v>
      </c>
      <c r="C527" t="s">
        <v>51</v>
      </c>
      <c r="D527" t="s">
        <v>49</v>
      </c>
      <c r="E527">
        <v>1</v>
      </c>
    </row>
    <row r="528" spans="1:5" x14ac:dyDescent="0.45">
      <c r="A528" t="s">
        <v>53</v>
      </c>
      <c r="B528" t="s">
        <v>47</v>
      </c>
      <c r="C528" t="s">
        <v>51</v>
      </c>
      <c r="D528" t="s">
        <v>49</v>
      </c>
      <c r="E528">
        <v>1</v>
      </c>
    </row>
    <row r="529" spans="1:5" x14ac:dyDescent="0.45">
      <c r="A529" t="s">
        <v>53</v>
      </c>
      <c r="B529" t="s">
        <v>47</v>
      </c>
      <c r="C529" t="s">
        <v>51</v>
      </c>
      <c r="D529" t="s">
        <v>49</v>
      </c>
      <c r="E529">
        <v>1</v>
      </c>
    </row>
    <row r="530" spans="1:5" x14ac:dyDescent="0.45">
      <c r="A530" t="s">
        <v>53</v>
      </c>
      <c r="B530" t="s">
        <v>47</v>
      </c>
      <c r="C530" t="s">
        <v>51</v>
      </c>
      <c r="D530" t="s">
        <v>49</v>
      </c>
      <c r="E530">
        <v>1</v>
      </c>
    </row>
    <row r="531" spans="1:5" x14ac:dyDescent="0.45">
      <c r="A531" t="s">
        <v>53</v>
      </c>
      <c r="B531" t="s">
        <v>47</v>
      </c>
      <c r="C531" t="s">
        <v>51</v>
      </c>
      <c r="D531" t="s">
        <v>49</v>
      </c>
      <c r="E531">
        <v>1</v>
      </c>
    </row>
    <row r="532" spans="1:5" x14ac:dyDescent="0.45">
      <c r="A532" t="s">
        <v>53</v>
      </c>
      <c r="B532" t="s">
        <v>47</v>
      </c>
      <c r="C532" t="s">
        <v>51</v>
      </c>
      <c r="D532" t="s">
        <v>49</v>
      </c>
      <c r="E532">
        <v>1</v>
      </c>
    </row>
    <row r="533" spans="1:5" x14ac:dyDescent="0.45">
      <c r="A533" t="s">
        <v>53</v>
      </c>
      <c r="B533" t="s">
        <v>47</v>
      </c>
      <c r="C533" t="s">
        <v>51</v>
      </c>
      <c r="D533" t="s">
        <v>49</v>
      </c>
      <c r="E533">
        <v>1</v>
      </c>
    </row>
    <row r="534" spans="1:5" x14ac:dyDescent="0.45">
      <c r="A534" t="s">
        <v>53</v>
      </c>
      <c r="B534" t="s">
        <v>47</v>
      </c>
      <c r="C534" t="s">
        <v>51</v>
      </c>
      <c r="D534" t="s">
        <v>49</v>
      </c>
      <c r="E534">
        <v>1</v>
      </c>
    </row>
    <row r="535" spans="1:5" x14ac:dyDescent="0.45">
      <c r="A535" t="s">
        <v>53</v>
      </c>
      <c r="B535" t="s">
        <v>47</v>
      </c>
      <c r="C535" t="s">
        <v>51</v>
      </c>
      <c r="D535" t="s">
        <v>49</v>
      </c>
      <c r="E535">
        <v>1</v>
      </c>
    </row>
    <row r="536" spans="1:5" x14ac:dyDescent="0.45">
      <c r="A536" t="s">
        <v>53</v>
      </c>
      <c r="B536" t="s">
        <v>47</v>
      </c>
      <c r="C536" t="s">
        <v>51</v>
      </c>
      <c r="D536" t="s">
        <v>49</v>
      </c>
      <c r="E536">
        <v>1</v>
      </c>
    </row>
    <row r="537" spans="1:5" x14ac:dyDescent="0.45">
      <c r="A537" t="s">
        <v>53</v>
      </c>
      <c r="B537" t="s">
        <v>47</v>
      </c>
      <c r="C537" t="s">
        <v>51</v>
      </c>
      <c r="D537" t="s">
        <v>49</v>
      </c>
      <c r="E537">
        <v>1</v>
      </c>
    </row>
    <row r="538" spans="1:5" x14ac:dyDescent="0.45">
      <c r="A538" t="s">
        <v>53</v>
      </c>
      <c r="B538" t="s">
        <v>47</v>
      </c>
      <c r="C538" t="s">
        <v>51</v>
      </c>
      <c r="D538" t="s">
        <v>49</v>
      </c>
      <c r="E538">
        <v>1</v>
      </c>
    </row>
    <row r="539" spans="1:5" x14ac:dyDescent="0.45">
      <c r="A539" t="s">
        <v>53</v>
      </c>
      <c r="B539" t="s">
        <v>47</v>
      </c>
      <c r="C539" t="s">
        <v>51</v>
      </c>
      <c r="D539" t="s">
        <v>49</v>
      </c>
      <c r="E539">
        <v>1</v>
      </c>
    </row>
    <row r="540" spans="1:5" x14ac:dyDescent="0.45">
      <c r="A540" t="s">
        <v>53</v>
      </c>
      <c r="B540" t="s">
        <v>47</v>
      </c>
      <c r="C540" t="s">
        <v>51</v>
      </c>
      <c r="D540" t="s">
        <v>49</v>
      </c>
      <c r="E540">
        <v>1</v>
      </c>
    </row>
    <row r="541" spans="1:5" x14ac:dyDescent="0.45">
      <c r="A541" t="s">
        <v>53</v>
      </c>
      <c r="B541" t="s">
        <v>47</v>
      </c>
      <c r="C541" t="s">
        <v>51</v>
      </c>
      <c r="D541" t="s">
        <v>49</v>
      </c>
      <c r="E541">
        <v>1</v>
      </c>
    </row>
    <row r="542" spans="1:5" x14ac:dyDescent="0.45">
      <c r="A542" t="s">
        <v>53</v>
      </c>
      <c r="B542" t="s">
        <v>47</v>
      </c>
      <c r="C542" t="s">
        <v>51</v>
      </c>
      <c r="D542" t="s">
        <v>49</v>
      </c>
      <c r="E542">
        <v>1</v>
      </c>
    </row>
    <row r="543" spans="1:5" x14ac:dyDescent="0.45">
      <c r="A543" t="s">
        <v>53</v>
      </c>
      <c r="B543" t="s">
        <v>47</v>
      </c>
      <c r="C543" t="s">
        <v>51</v>
      </c>
      <c r="D543" t="s">
        <v>49</v>
      </c>
      <c r="E543">
        <v>1</v>
      </c>
    </row>
    <row r="544" spans="1:5" x14ac:dyDescent="0.45">
      <c r="A544" t="s">
        <v>53</v>
      </c>
      <c r="B544" t="s">
        <v>47</v>
      </c>
      <c r="C544" t="s">
        <v>51</v>
      </c>
      <c r="D544" t="s">
        <v>49</v>
      </c>
      <c r="E544">
        <v>1</v>
      </c>
    </row>
    <row r="545" spans="1:5" x14ac:dyDescent="0.45">
      <c r="A545" t="s">
        <v>53</v>
      </c>
      <c r="B545" t="s">
        <v>47</v>
      </c>
      <c r="C545" t="s">
        <v>51</v>
      </c>
      <c r="D545" t="s">
        <v>49</v>
      </c>
      <c r="E545">
        <v>1</v>
      </c>
    </row>
    <row r="546" spans="1:5" x14ac:dyDescent="0.45">
      <c r="A546" t="s">
        <v>53</v>
      </c>
      <c r="B546" t="s">
        <v>47</v>
      </c>
      <c r="C546" t="s">
        <v>51</v>
      </c>
      <c r="D546" t="s">
        <v>49</v>
      </c>
      <c r="E546">
        <v>1</v>
      </c>
    </row>
    <row r="547" spans="1:5" x14ac:dyDescent="0.45">
      <c r="A547" t="s">
        <v>53</v>
      </c>
      <c r="B547" t="s">
        <v>47</v>
      </c>
      <c r="C547" t="s">
        <v>51</v>
      </c>
      <c r="D547" t="s">
        <v>49</v>
      </c>
      <c r="E547">
        <v>1</v>
      </c>
    </row>
    <row r="548" spans="1:5" x14ac:dyDescent="0.45">
      <c r="A548" t="s">
        <v>53</v>
      </c>
      <c r="B548" t="s">
        <v>47</v>
      </c>
      <c r="C548" t="s">
        <v>51</v>
      </c>
      <c r="D548" t="s">
        <v>49</v>
      </c>
      <c r="E548">
        <v>1</v>
      </c>
    </row>
    <row r="549" spans="1:5" x14ac:dyDescent="0.45">
      <c r="A549" t="s">
        <v>53</v>
      </c>
      <c r="B549" t="s">
        <v>47</v>
      </c>
      <c r="C549" t="s">
        <v>51</v>
      </c>
      <c r="D549" t="s">
        <v>49</v>
      </c>
      <c r="E549">
        <v>1</v>
      </c>
    </row>
    <row r="550" spans="1:5" x14ac:dyDescent="0.45">
      <c r="A550" t="s">
        <v>53</v>
      </c>
      <c r="B550" t="s">
        <v>47</v>
      </c>
      <c r="C550" t="s">
        <v>51</v>
      </c>
      <c r="D550" t="s">
        <v>49</v>
      </c>
      <c r="E550">
        <v>1</v>
      </c>
    </row>
    <row r="551" spans="1:5" x14ac:dyDescent="0.45">
      <c r="A551" t="s">
        <v>53</v>
      </c>
      <c r="B551" t="s">
        <v>47</v>
      </c>
      <c r="C551" t="s">
        <v>51</v>
      </c>
      <c r="D551" t="s">
        <v>49</v>
      </c>
      <c r="E551">
        <v>1</v>
      </c>
    </row>
    <row r="552" spans="1:5" x14ac:dyDescent="0.45">
      <c r="A552" t="s">
        <v>53</v>
      </c>
      <c r="B552" t="s">
        <v>47</v>
      </c>
      <c r="C552" t="s">
        <v>51</v>
      </c>
      <c r="D552" t="s">
        <v>49</v>
      </c>
      <c r="E552">
        <v>1</v>
      </c>
    </row>
    <row r="553" spans="1:5" x14ac:dyDescent="0.45">
      <c r="A553" t="s">
        <v>53</v>
      </c>
      <c r="B553" t="s">
        <v>47</v>
      </c>
      <c r="C553" t="s">
        <v>51</v>
      </c>
      <c r="D553" t="s">
        <v>49</v>
      </c>
      <c r="E553">
        <v>1</v>
      </c>
    </row>
    <row r="554" spans="1:5" x14ac:dyDescent="0.45">
      <c r="A554" t="s">
        <v>53</v>
      </c>
      <c r="B554" t="s">
        <v>47</v>
      </c>
      <c r="C554" t="s">
        <v>51</v>
      </c>
      <c r="D554" t="s">
        <v>49</v>
      </c>
      <c r="E554">
        <v>1</v>
      </c>
    </row>
    <row r="555" spans="1:5" x14ac:dyDescent="0.45">
      <c r="A555" t="s">
        <v>53</v>
      </c>
      <c r="B555" t="s">
        <v>47</v>
      </c>
      <c r="C555" t="s">
        <v>51</v>
      </c>
      <c r="D555" t="s">
        <v>49</v>
      </c>
      <c r="E555">
        <v>1</v>
      </c>
    </row>
    <row r="556" spans="1:5" x14ac:dyDescent="0.45">
      <c r="A556" t="s">
        <v>53</v>
      </c>
      <c r="B556" t="s">
        <v>47</v>
      </c>
      <c r="C556" t="s">
        <v>51</v>
      </c>
      <c r="D556" t="s">
        <v>49</v>
      </c>
      <c r="E556">
        <v>1</v>
      </c>
    </row>
    <row r="557" spans="1:5" x14ac:dyDescent="0.45">
      <c r="A557" t="s">
        <v>53</v>
      </c>
      <c r="B557" t="s">
        <v>47</v>
      </c>
      <c r="C557" t="s">
        <v>51</v>
      </c>
      <c r="D557" t="s">
        <v>49</v>
      </c>
      <c r="E557">
        <v>1</v>
      </c>
    </row>
    <row r="558" spans="1:5" x14ac:dyDescent="0.45">
      <c r="A558" t="s">
        <v>53</v>
      </c>
      <c r="B558" t="s">
        <v>47</v>
      </c>
      <c r="C558" t="s">
        <v>51</v>
      </c>
      <c r="D558" t="s">
        <v>49</v>
      </c>
      <c r="E558">
        <v>1</v>
      </c>
    </row>
    <row r="559" spans="1:5" x14ac:dyDescent="0.45">
      <c r="A559" t="s">
        <v>53</v>
      </c>
      <c r="B559" t="s">
        <v>47</v>
      </c>
      <c r="C559" t="s">
        <v>51</v>
      </c>
      <c r="D559" t="s">
        <v>49</v>
      </c>
      <c r="E559">
        <v>1</v>
      </c>
    </row>
    <row r="560" spans="1:5" x14ac:dyDescent="0.45">
      <c r="A560" t="s">
        <v>53</v>
      </c>
      <c r="B560" t="s">
        <v>47</v>
      </c>
      <c r="C560" t="s">
        <v>51</v>
      </c>
      <c r="D560" t="s">
        <v>49</v>
      </c>
      <c r="E560">
        <v>1</v>
      </c>
    </row>
    <row r="561" spans="1:5" x14ac:dyDescent="0.45">
      <c r="A561" t="s">
        <v>53</v>
      </c>
      <c r="B561" t="s">
        <v>47</v>
      </c>
      <c r="C561" t="s">
        <v>51</v>
      </c>
      <c r="D561" t="s">
        <v>49</v>
      </c>
      <c r="E561">
        <v>1</v>
      </c>
    </row>
    <row r="562" spans="1:5" x14ac:dyDescent="0.45">
      <c r="A562" t="s">
        <v>53</v>
      </c>
      <c r="B562" t="s">
        <v>47</v>
      </c>
      <c r="C562" t="s">
        <v>51</v>
      </c>
      <c r="D562" t="s">
        <v>49</v>
      </c>
      <c r="E562">
        <v>1</v>
      </c>
    </row>
    <row r="563" spans="1:5" x14ac:dyDescent="0.45">
      <c r="A563" t="s">
        <v>53</v>
      </c>
      <c r="B563" t="s">
        <v>47</v>
      </c>
      <c r="C563" t="s">
        <v>51</v>
      </c>
      <c r="D563" t="s">
        <v>49</v>
      </c>
      <c r="E563">
        <v>1</v>
      </c>
    </row>
    <row r="564" spans="1:5" x14ac:dyDescent="0.45">
      <c r="A564" t="s">
        <v>53</v>
      </c>
      <c r="B564" t="s">
        <v>47</v>
      </c>
      <c r="C564" t="s">
        <v>51</v>
      </c>
      <c r="D564" t="s">
        <v>49</v>
      </c>
      <c r="E564">
        <v>1</v>
      </c>
    </row>
    <row r="565" spans="1:5" x14ac:dyDescent="0.45">
      <c r="A565" t="s">
        <v>53</v>
      </c>
      <c r="B565" t="s">
        <v>47</v>
      </c>
      <c r="C565" t="s">
        <v>51</v>
      </c>
      <c r="D565" t="s">
        <v>49</v>
      </c>
      <c r="E565">
        <v>1</v>
      </c>
    </row>
    <row r="566" spans="1:5" x14ac:dyDescent="0.45">
      <c r="A566" t="s">
        <v>53</v>
      </c>
      <c r="B566" t="s">
        <v>47</v>
      </c>
      <c r="C566" t="s">
        <v>51</v>
      </c>
      <c r="D566" t="s">
        <v>49</v>
      </c>
      <c r="E566">
        <v>1</v>
      </c>
    </row>
    <row r="567" spans="1:5" x14ac:dyDescent="0.45">
      <c r="A567" t="s">
        <v>53</v>
      </c>
      <c r="B567" t="s">
        <v>47</v>
      </c>
      <c r="C567" t="s">
        <v>51</v>
      </c>
      <c r="D567" t="s">
        <v>49</v>
      </c>
      <c r="E567">
        <v>1</v>
      </c>
    </row>
    <row r="568" spans="1:5" x14ac:dyDescent="0.45">
      <c r="A568" t="s">
        <v>53</v>
      </c>
      <c r="B568" t="s">
        <v>47</v>
      </c>
      <c r="C568" t="s">
        <v>51</v>
      </c>
      <c r="D568" t="s">
        <v>49</v>
      </c>
      <c r="E568">
        <v>1</v>
      </c>
    </row>
    <row r="569" spans="1:5" x14ac:dyDescent="0.45">
      <c r="A569" t="s">
        <v>53</v>
      </c>
      <c r="B569" t="s">
        <v>47</v>
      </c>
      <c r="C569" t="s">
        <v>51</v>
      </c>
      <c r="D569" t="s">
        <v>49</v>
      </c>
      <c r="E569">
        <v>1</v>
      </c>
    </row>
    <row r="570" spans="1:5" x14ac:dyDescent="0.45">
      <c r="A570" t="s">
        <v>53</v>
      </c>
      <c r="B570" t="s">
        <v>47</v>
      </c>
      <c r="C570" t="s">
        <v>51</v>
      </c>
      <c r="D570" t="s">
        <v>49</v>
      </c>
      <c r="E570">
        <v>1</v>
      </c>
    </row>
    <row r="571" spans="1:5" x14ac:dyDescent="0.45">
      <c r="A571" t="s">
        <v>53</v>
      </c>
      <c r="B571" t="s">
        <v>47</v>
      </c>
      <c r="C571" t="s">
        <v>51</v>
      </c>
      <c r="D571" t="s">
        <v>49</v>
      </c>
      <c r="E571">
        <v>1</v>
      </c>
    </row>
    <row r="572" spans="1:5" x14ac:dyDescent="0.45">
      <c r="A572" t="s">
        <v>53</v>
      </c>
      <c r="B572" t="s">
        <v>47</v>
      </c>
      <c r="C572" t="s">
        <v>51</v>
      </c>
      <c r="D572" t="s">
        <v>49</v>
      </c>
      <c r="E572">
        <v>1</v>
      </c>
    </row>
    <row r="573" spans="1:5" x14ac:dyDescent="0.45">
      <c r="A573" t="s">
        <v>53</v>
      </c>
      <c r="B573" t="s">
        <v>47</v>
      </c>
      <c r="C573" t="s">
        <v>51</v>
      </c>
      <c r="D573" t="s">
        <v>49</v>
      </c>
      <c r="E573">
        <v>1</v>
      </c>
    </row>
    <row r="574" spans="1:5" x14ac:dyDescent="0.45">
      <c r="A574" t="s">
        <v>53</v>
      </c>
      <c r="B574" t="s">
        <v>47</v>
      </c>
      <c r="C574" t="s">
        <v>51</v>
      </c>
      <c r="D574" t="s">
        <v>49</v>
      </c>
      <c r="E574">
        <v>1</v>
      </c>
    </row>
    <row r="575" spans="1:5" x14ac:dyDescent="0.45">
      <c r="A575" t="s">
        <v>53</v>
      </c>
      <c r="B575" t="s">
        <v>47</v>
      </c>
      <c r="C575" t="s">
        <v>51</v>
      </c>
      <c r="D575" t="s">
        <v>50</v>
      </c>
      <c r="E575">
        <v>0</v>
      </c>
    </row>
    <row r="576" spans="1:5" x14ac:dyDescent="0.45">
      <c r="A576" t="s">
        <v>53</v>
      </c>
      <c r="B576" t="s">
        <v>47</v>
      </c>
      <c r="C576" t="s">
        <v>51</v>
      </c>
      <c r="D576" t="s">
        <v>50</v>
      </c>
      <c r="E576">
        <v>0</v>
      </c>
    </row>
    <row r="577" spans="1:5" x14ac:dyDescent="0.45">
      <c r="A577" t="s">
        <v>53</v>
      </c>
      <c r="B577" t="s">
        <v>47</v>
      </c>
      <c r="C577" t="s">
        <v>51</v>
      </c>
      <c r="D577" t="s">
        <v>50</v>
      </c>
      <c r="E577">
        <v>0</v>
      </c>
    </row>
    <row r="578" spans="1:5" x14ac:dyDescent="0.45">
      <c r="A578" t="s">
        <v>53</v>
      </c>
      <c r="B578" t="s">
        <v>47</v>
      </c>
      <c r="C578" t="s">
        <v>51</v>
      </c>
      <c r="D578" t="s">
        <v>50</v>
      </c>
      <c r="E578">
        <v>0</v>
      </c>
    </row>
    <row r="579" spans="1:5" x14ac:dyDescent="0.45">
      <c r="A579" t="s">
        <v>53</v>
      </c>
      <c r="B579" t="s">
        <v>47</v>
      </c>
      <c r="C579" t="s">
        <v>51</v>
      </c>
      <c r="D579" t="s">
        <v>50</v>
      </c>
      <c r="E579">
        <v>0</v>
      </c>
    </row>
    <row r="580" spans="1:5" x14ac:dyDescent="0.45">
      <c r="A580" t="s">
        <v>53</v>
      </c>
      <c r="B580" t="s">
        <v>47</v>
      </c>
      <c r="C580" t="s">
        <v>51</v>
      </c>
      <c r="D580" t="s">
        <v>50</v>
      </c>
      <c r="E580">
        <v>0</v>
      </c>
    </row>
    <row r="581" spans="1:5" x14ac:dyDescent="0.45">
      <c r="A581" t="s">
        <v>53</v>
      </c>
      <c r="B581" t="s">
        <v>47</v>
      </c>
      <c r="C581" t="s">
        <v>51</v>
      </c>
      <c r="D581" t="s">
        <v>50</v>
      </c>
      <c r="E581">
        <v>0</v>
      </c>
    </row>
    <row r="582" spans="1:5" x14ac:dyDescent="0.45">
      <c r="A582" t="s">
        <v>53</v>
      </c>
      <c r="B582" t="s">
        <v>47</v>
      </c>
      <c r="C582" t="s">
        <v>51</v>
      </c>
      <c r="D582" t="s">
        <v>50</v>
      </c>
      <c r="E582">
        <v>0</v>
      </c>
    </row>
    <row r="583" spans="1:5" x14ac:dyDescent="0.45">
      <c r="A583" t="s">
        <v>53</v>
      </c>
      <c r="B583" t="s">
        <v>47</v>
      </c>
      <c r="C583" t="s">
        <v>51</v>
      </c>
      <c r="D583" t="s">
        <v>50</v>
      </c>
      <c r="E583">
        <v>0</v>
      </c>
    </row>
    <row r="584" spans="1:5" x14ac:dyDescent="0.45">
      <c r="A584" t="s">
        <v>53</v>
      </c>
      <c r="B584" t="s">
        <v>47</v>
      </c>
      <c r="C584" t="s">
        <v>51</v>
      </c>
      <c r="D584" t="s">
        <v>50</v>
      </c>
      <c r="E584">
        <v>0</v>
      </c>
    </row>
    <row r="585" spans="1:5" x14ac:dyDescent="0.45">
      <c r="A585" t="s">
        <v>53</v>
      </c>
      <c r="B585" t="s">
        <v>47</v>
      </c>
      <c r="C585" t="s">
        <v>51</v>
      </c>
      <c r="D585" t="s">
        <v>50</v>
      </c>
      <c r="E585">
        <v>0</v>
      </c>
    </row>
    <row r="586" spans="1:5" x14ac:dyDescent="0.45">
      <c r="A586" t="s">
        <v>53</v>
      </c>
      <c r="B586" t="s">
        <v>47</v>
      </c>
      <c r="C586" t="s">
        <v>51</v>
      </c>
      <c r="D586" t="s">
        <v>50</v>
      </c>
      <c r="E586">
        <v>0</v>
      </c>
    </row>
    <row r="587" spans="1:5" x14ac:dyDescent="0.45">
      <c r="A587" t="s">
        <v>53</v>
      </c>
      <c r="B587" t="s">
        <v>47</v>
      </c>
      <c r="C587" t="s">
        <v>51</v>
      </c>
      <c r="D587" t="s">
        <v>50</v>
      </c>
      <c r="E587">
        <v>0</v>
      </c>
    </row>
    <row r="588" spans="1:5" x14ac:dyDescent="0.45">
      <c r="A588" t="s">
        <v>53</v>
      </c>
      <c r="B588" t="s">
        <v>52</v>
      </c>
      <c r="C588" t="s">
        <v>48</v>
      </c>
      <c r="D588" t="s">
        <v>49</v>
      </c>
      <c r="E588">
        <v>1</v>
      </c>
    </row>
    <row r="589" spans="1:5" x14ac:dyDescent="0.45">
      <c r="A589" t="s">
        <v>53</v>
      </c>
      <c r="B589" t="s">
        <v>52</v>
      </c>
      <c r="C589" t="s">
        <v>48</v>
      </c>
      <c r="D589" t="s">
        <v>49</v>
      </c>
      <c r="E589">
        <v>1</v>
      </c>
    </row>
    <row r="590" spans="1:5" x14ac:dyDescent="0.45">
      <c r="A590" t="s">
        <v>53</v>
      </c>
      <c r="B590" t="s">
        <v>52</v>
      </c>
      <c r="C590" t="s">
        <v>48</v>
      </c>
      <c r="D590" t="s">
        <v>49</v>
      </c>
      <c r="E590">
        <v>1</v>
      </c>
    </row>
    <row r="591" spans="1:5" x14ac:dyDescent="0.45">
      <c r="A591" t="s">
        <v>53</v>
      </c>
      <c r="B591" t="s">
        <v>52</v>
      </c>
      <c r="C591" t="s">
        <v>48</v>
      </c>
      <c r="D591" t="s">
        <v>49</v>
      </c>
      <c r="E591">
        <v>1</v>
      </c>
    </row>
    <row r="592" spans="1:5" x14ac:dyDescent="0.45">
      <c r="A592" t="s">
        <v>53</v>
      </c>
      <c r="B592" t="s">
        <v>52</v>
      </c>
      <c r="C592" t="s">
        <v>48</v>
      </c>
      <c r="D592" t="s">
        <v>49</v>
      </c>
      <c r="E592">
        <v>1</v>
      </c>
    </row>
    <row r="593" spans="1:5" x14ac:dyDescent="0.45">
      <c r="A593" t="s">
        <v>53</v>
      </c>
      <c r="B593" t="s">
        <v>52</v>
      </c>
      <c r="C593" t="s">
        <v>48</v>
      </c>
      <c r="D593" t="s">
        <v>49</v>
      </c>
      <c r="E593">
        <v>1</v>
      </c>
    </row>
    <row r="594" spans="1:5" x14ac:dyDescent="0.45">
      <c r="A594" t="s">
        <v>53</v>
      </c>
      <c r="B594" t="s">
        <v>52</v>
      </c>
      <c r="C594" t="s">
        <v>48</v>
      </c>
      <c r="D594" t="s">
        <v>49</v>
      </c>
      <c r="E594">
        <v>1</v>
      </c>
    </row>
    <row r="595" spans="1:5" x14ac:dyDescent="0.45">
      <c r="A595" t="s">
        <v>53</v>
      </c>
      <c r="B595" t="s">
        <v>52</v>
      </c>
      <c r="C595" t="s">
        <v>48</v>
      </c>
      <c r="D595" t="s">
        <v>49</v>
      </c>
      <c r="E595">
        <v>1</v>
      </c>
    </row>
    <row r="596" spans="1:5" x14ac:dyDescent="0.45">
      <c r="A596" t="s">
        <v>53</v>
      </c>
      <c r="B596" t="s">
        <v>52</v>
      </c>
      <c r="C596" t="s">
        <v>48</v>
      </c>
      <c r="D596" t="s">
        <v>49</v>
      </c>
      <c r="E596">
        <v>1</v>
      </c>
    </row>
    <row r="597" spans="1:5" x14ac:dyDescent="0.45">
      <c r="A597" t="s">
        <v>53</v>
      </c>
      <c r="B597" t="s">
        <v>52</v>
      </c>
      <c r="C597" t="s">
        <v>48</v>
      </c>
      <c r="D597" t="s">
        <v>49</v>
      </c>
      <c r="E597">
        <v>1</v>
      </c>
    </row>
    <row r="598" spans="1:5" x14ac:dyDescent="0.45">
      <c r="A598" t="s">
        <v>53</v>
      </c>
      <c r="B598" t="s">
        <v>52</v>
      </c>
      <c r="C598" t="s">
        <v>48</v>
      </c>
      <c r="D598" t="s">
        <v>49</v>
      </c>
      <c r="E598">
        <v>1</v>
      </c>
    </row>
    <row r="599" spans="1:5" x14ac:dyDescent="0.45">
      <c r="A599" t="s">
        <v>53</v>
      </c>
      <c r="B599" t="s">
        <v>52</v>
      </c>
      <c r="C599" t="s">
        <v>51</v>
      </c>
      <c r="D599" t="s">
        <v>49</v>
      </c>
      <c r="E599">
        <v>1</v>
      </c>
    </row>
    <row r="600" spans="1:5" x14ac:dyDescent="0.45">
      <c r="A600" t="s">
        <v>53</v>
      </c>
      <c r="B600" t="s">
        <v>52</v>
      </c>
      <c r="C600" t="s">
        <v>51</v>
      </c>
      <c r="D600" t="s">
        <v>49</v>
      </c>
      <c r="E600">
        <v>1</v>
      </c>
    </row>
    <row r="601" spans="1:5" x14ac:dyDescent="0.45">
      <c r="A601" t="s">
        <v>53</v>
      </c>
      <c r="B601" t="s">
        <v>52</v>
      </c>
      <c r="C601" t="s">
        <v>51</v>
      </c>
      <c r="D601" t="s">
        <v>49</v>
      </c>
      <c r="E601">
        <v>1</v>
      </c>
    </row>
    <row r="602" spans="1:5" x14ac:dyDescent="0.45">
      <c r="A602" t="s">
        <v>53</v>
      </c>
      <c r="B602" t="s">
        <v>52</v>
      </c>
      <c r="C602" t="s">
        <v>51</v>
      </c>
      <c r="D602" t="s">
        <v>49</v>
      </c>
      <c r="E602">
        <v>1</v>
      </c>
    </row>
    <row r="603" spans="1:5" x14ac:dyDescent="0.45">
      <c r="A603" t="s">
        <v>53</v>
      </c>
      <c r="B603" t="s">
        <v>52</v>
      </c>
      <c r="C603" t="s">
        <v>51</v>
      </c>
      <c r="D603" t="s">
        <v>49</v>
      </c>
      <c r="E603">
        <v>1</v>
      </c>
    </row>
    <row r="604" spans="1:5" x14ac:dyDescent="0.45">
      <c r="A604" t="s">
        <v>53</v>
      </c>
      <c r="B604" t="s">
        <v>52</v>
      </c>
      <c r="C604" t="s">
        <v>51</v>
      </c>
      <c r="D604" t="s">
        <v>49</v>
      </c>
      <c r="E604">
        <v>1</v>
      </c>
    </row>
    <row r="605" spans="1:5" x14ac:dyDescent="0.45">
      <c r="A605" t="s">
        <v>53</v>
      </c>
      <c r="B605" t="s">
        <v>52</v>
      </c>
      <c r="C605" t="s">
        <v>51</v>
      </c>
      <c r="D605" t="s">
        <v>49</v>
      </c>
      <c r="E605">
        <v>1</v>
      </c>
    </row>
    <row r="606" spans="1:5" x14ac:dyDescent="0.45">
      <c r="A606" t="s">
        <v>53</v>
      </c>
      <c r="B606" t="s">
        <v>52</v>
      </c>
      <c r="C606" t="s">
        <v>51</v>
      </c>
      <c r="D606" t="s">
        <v>49</v>
      </c>
      <c r="E606">
        <v>1</v>
      </c>
    </row>
    <row r="607" spans="1:5" x14ac:dyDescent="0.45">
      <c r="A607" t="s">
        <v>53</v>
      </c>
      <c r="B607" t="s">
        <v>52</v>
      </c>
      <c r="C607" t="s">
        <v>51</v>
      </c>
      <c r="D607" t="s">
        <v>49</v>
      </c>
      <c r="E607">
        <v>1</v>
      </c>
    </row>
    <row r="608" spans="1:5" x14ac:dyDescent="0.45">
      <c r="A608" t="s">
        <v>53</v>
      </c>
      <c r="B608" t="s">
        <v>52</v>
      </c>
      <c r="C608" t="s">
        <v>51</v>
      </c>
      <c r="D608" t="s">
        <v>49</v>
      </c>
      <c r="E608">
        <v>1</v>
      </c>
    </row>
    <row r="609" spans="1:5" x14ac:dyDescent="0.45">
      <c r="A609" t="s">
        <v>53</v>
      </c>
      <c r="B609" t="s">
        <v>52</v>
      </c>
      <c r="C609" t="s">
        <v>51</v>
      </c>
      <c r="D609" t="s">
        <v>49</v>
      </c>
      <c r="E609">
        <v>1</v>
      </c>
    </row>
    <row r="610" spans="1:5" x14ac:dyDescent="0.45">
      <c r="A610" t="s">
        <v>53</v>
      </c>
      <c r="B610" t="s">
        <v>52</v>
      </c>
      <c r="C610" t="s">
        <v>51</v>
      </c>
      <c r="D610" t="s">
        <v>49</v>
      </c>
      <c r="E610">
        <v>1</v>
      </c>
    </row>
    <row r="611" spans="1:5" x14ac:dyDescent="0.45">
      <c r="A611" t="s">
        <v>53</v>
      </c>
      <c r="B611" t="s">
        <v>52</v>
      </c>
      <c r="C611" t="s">
        <v>51</v>
      </c>
      <c r="D611" t="s">
        <v>49</v>
      </c>
      <c r="E611">
        <v>1</v>
      </c>
    </row>
    <row r="612" spans="1:5" x14ac:dyDescent="0.45">
      <c r="A612" t="s">
        <v>54</v>
      </c>
      <c r="B612" t="s">
        <v>47</v>
      </c>
      <c r="C612" t="s">
        <v>48</v>
      </c>
      <c r="D612" t="s">
        <v>49</v>
      </c>
      <c r="E612">
        <v>1</v>
      </c>
    </row>
    <row r="613" spans="1:5" x14ac:dyDescent="0.45">
      <c r="A613" t="s">
        <v>54</v>
      </c>
      <c r="B613" t="s">
        <v>47</v>
      </c>
      <c r="C613" t="s">
        <v>48</v>
      </c>
      <c r="D613" t="s">
        <v>49</v>
      </c>
      <c r="E613">
        <v>1</v>
      </c>
    </row>
    <row r="614" spans="1:5" x14ac:dyDescent="0.45">
      <c r="A614" t="s">
        <v>54</v>
      </c>
      <c r="B614" t="s">
        <v>47</v>
      </c>
      <c r="C614" t="s">
        <v>48</v>
      </c>
      <c r="D614" t="s">
        <v>49</v>
      </c>
      <c r="E614">
        <v>1</v>
      </c>
    </row>
    <row r="615" spans="1:5" x14ac:dyDescent="0.45">
      <c r="A615" t="s">
        <v>54</v>
      </c>
      <c r="B615" t="s">
        <v>47</v>
      </c>
      <c r="C615" t="s">
        <v>48</v>
      </c>
      <c r="D615" t="s">
        <v>49</v>
      </c>
      <c r="E615">
        <v>1</v>
      </c>
    </row>
    <row r="616" spans="1:5" x14ac:dyDescent="0.45">
      <c r="A616" t="s">
        <v>54</v>
      </c>
      <c r="B616" t="s">
        <v>47</v>
      </c>
      <c r="C616" t="s">
        <v>48</v>
      </c>
      <c r="D616" t="s">
        <v>49</v>
      </c>
      <c r="E616">
        <v>1</v>
      </c>
    </row>
    <row r="617" spans="1:5" x14ac:dyDescent="0.45">
      <c r="A617" t="s">
        <v>54</v>
      </c>
      <c r="B617" t="s">
        <v>47</v>
      </c>
      <c r="C617" t="s">
        <v>48</v>
      </c>
      <c r="D617" t="s">
        <v>49</v>
      </c>
      <c r="E617">
        <v>1</v>
      </c>
    </row>
    <row r="618" spans="1:5" x14ac:dyDescent="0.45">
      <c r="A618" t="s">
        <v>54</v>
      </c>
      <c r="B618" t="s">
        <v>47</v>
      </c>
      <c r="C618" t="s">
        <v>48</v>
      </c>
      <c r="D618" t="s">
        <v>49</v>
      </c>
      <c r="E618">
        <v>1</v>
      </c>
    </row>
    <row r="619" spans="1:5" x14ac:dyDescent="0.45">
      <c r="A619" t="s">
        <v>54</v>
      </c>
      <c r="B619" t="s">
        <v>47</v>
      </c>
      <c r="C619" t="s">
        <v>48</v>
      </c>
      <c r="D619" t="s">
        <v>49</v>
      </c>
      <c r="E619">
        <v>1</v>
      </c>
    </row>
    <row r="620" spans="1:5" x14ac:dyDescent="0.45">
      <c r="A620" t="s">
        <v>54</v>
      </c>
      <c r="B620" t="s">
        <v>47</v>
      </c>
      <c r="C620" t="s">
        <v>48</v>
      </c>
      <c r="D620" t="s">
        <v>49</v>
      </c>
      <c r="E620">
        <v>1</v>
      </c>
    </row>
    <row r="621" spans="1:5" x14ac:dyDescent="0.45">
      <c r="A621" t="s">
        <v>54</v>
      </c>
      <c r="B621" t="s">
        <v>47</v>
      </c>
      <c r="C621" t="s">
        <v>48</v>
      </c>
      <c r="D621" t="s">
        <v>49</v>
      </c>
      <c r="E621">
        <v>1</v>
      </c>
    </row>
    <row r="622" spans="1:5" x14ac:dyDescent="0.45">
      <c r="A622" t="s">
        <v>54</v>
      </c>
      <c r="B622" t="s">
        <v>47</v>
      </c>
      <c r="C622" t="s">
        <v>48</v>
      </c>
      <c r="D622" t="s">
        <v>49</v>
      </c>
      <c r="E622">
        <v>1</v>
      </c>
    </row>
    <row r="623" spans="1:5" x14ac:dyDescent="0.45">
      <c r="A623" t="s">
        <v>54</v>
      </c>
      <c r="B623" t="s">
        <v>47</v>
      </c>
      <c r="C623" t="s">
        <v>48</v>
      </c>
      <c r="D623" t="s">
        <v>49</v>
      </c>
      <c r="E623">
        <v>1</v>
      </c>
    </row>
    <row r="624" spans="1:5" x14ac:dyDescent="0.45">
      <c r="A624" t="s">
        <v>54</v>
      </c>
      <c r="B624" t="s">
        <v>47</v>
      </c>
      <c r="C624" t="s">
        <v>48</v>
      </c>
      <c r="D624" t="s">
        <v>49</v>
      </c>
      <c r="E624">
        <v>1</v>
      </c>
    </row>
    <row r="625" spans="1:5" x14ac:dyDescent="0.45">
      <c r="A625" t="s">
        <v>54</v>
      </c>
      <c r="B625" t="s">
        <v>47</v>
      </c>
      <c r="C625" t="s">
        <v>48</v>
      </c>
      <c r="D625" t="s">
        <v>49</v>
      </c>
      <c r="E625">
        <v>1</v>
      </c>
    </row>
    <row r="626" spans="1:5" x14ac:dyDescent="0.45">
      <c r="A626" t="s">
        <v>54</v>
      </c>
      <c r="B626" t="s">
        <v>47</v>
      </c>
      <c r="C626" t="s">
        <v>48</v>
      </c>
      <c r="D626" t="s">
        <v>49</v>
      </c>
      <c r="E626">
        <v>1</v>
      </c>
    </row>
    <row r="627" spans="1:5" x14ac:dyDescent="0.45">
      <c r="A627" t="s">
        <v>54</v>
      </c>
      <c r="B627" t="s">
        <v>47</v>
      </c>
      <c r="C627" t="s">
        <v>48</v>
      </c>
      <c r="D627" t="s">
        <v>49</v>
      </c>
      <c r="E627">
        <v>1</v>
      </c>
    </row>
    <row r="628" spans="1:5" x14ac:dyDescent="0.45">
      <c r="A628" t="s">
        <v>54</v>
      </c>
      <c r="B628" t="s">
        <v>47</v>
      </c>
      <c r="C628" t="s">
        <v>48</v>
      </c>
      <c r="D628" t="s">
        <v>49</v>
      </c>
      <c r="E628">
        <v>1</v>
      </c>
    </row>
    <row r="629" spans="1:5" x14ac:dyDescent="0.45">
      <c r="A629" t="s">
        <v>54</v>
      </c>
      <c r="B629" t="s">
        <v>47</v>
      </c>
      <c r="C629" t="s">
        <v>48</v>
      </c>
      <c r="D629" t="s">
        <v>49</v>
      </c>
      <c r="E629">
        <v>1</v>
      </c>
    </row>
    <row r="630" spans="1:5" x14ac:dyDescent="0.45">
      <c r="A630" t="s">
        <v>54</v>
      </c>
      <c r="B630" t="s">
        <v>47</v>
      </c>
      <c r="C630" t="s">
        <v>48</v>
      </c>
      <c r="D630" t="s">
        <v>49</v>
      </c>
      <c r="E630">
        <v>1</v>
      </c>
    </row>
    <row r="631" spans="1:5" x14ac:dyDescent="0.45">
      <c r="A631" t="s">
        <v>54</v>
      </c>
      <c r="B631" t="s">
        <v>47</v>
      </c>
      <c r="C631" t="s">
        <v>48</v>
      </c>
      <c r="D631" t="s">
        <v>49</v>
      </c>
      <c r="E631">
        <v>1</v>
      </c>
    </row>
    <row r="632" spans="1:5" x14ac:dyDescent="0.45">
      <c r="A632" t="s">
        <v>54</v>
      </c>
      <c r="B632" t="s">
        <v>47</v>
      </c>
      <c r="C632" t="s">
        <v>48</v>
      </c>
      <c r="D632" t="s">
        <v>49</v>
      </c>
      <c r="E632">
        <v>1</v>
      </c>
    </row>
    <row r="633" spans="1:5" x14ac:dyDescent="0.45">
      <c r="A633" t="s">
        <v>54</v>
      </c>
      <c r="B633" t="s">
        <v>47</v>
      </c>
      <c r="C633" t="s">
        <v>48</v>
      </c>
      <c r="D633" t="s">
        <v>49</v>
      </c>
      <c r="E633">
        <v>1</v>
      </c>
    </row>
    <row r="634" spans="1:5" x14ac:dyDescent="0.45">
      <c r="A634" t="s">
        <v>54</v>
      </c>
      <c r="B634" t="s">
        <v>47</v>
      </c>
      <c r="C634" t="s">
        <v>48</v>
      </c>
      <c r="D634" t="s">
        <v>49</v>
      </c>
      <c r="E634">
        <v>1</v>
      </c>
    </row>
    <row r="635" spans="1:5" x14ac:dyDescent="0.45">
      <c r="A635" t="s">
        <v>54</v>
      </c>
      <c r="B635" t="s">
        <v>47</v>
      </c>
      <c r="C635" t="s">
        <v>48</v>
      </c>
      <c r="D635" t="s">
        <v>49</v>
      </c>
      <c r="E635">
        <v>1</v>
      </c>
    </row>
    <row r="636" spans="1:5" x14ac:dyDescent="0.45">
      <c r="A636" t="s">
        <v>54</v>
      </c>
      <c r="B636" t="s">
        <v>47</v>
      </c>
      <c r="C636" t="s">
        <v>48</v>
      </c>
      <c r="D636" t="s">
        <v>49</v>
      </c>
      <c r="E636">
        <v>1</v>
      </c>
    </row>
    <row r="637" spans="1:5" x14ac:dyDescent="0.45">
      <c r="A637" t="s">
        <v>54</v>
      </c>
      <c r="B637" t="s">
        <v>47</v>
      </c>
      <c r="C637" t="s">
        <v>48</v>
      </c>
      <c r="D637" t="s">
        <v>49</v>
      </c>
      <c r="E637">
        <v>1</v>
      </c>
    </row>
    <row r="638" spans="1:5" x14ac:dyDescent="0.45">
      <c r="A638" t="s">
        <v>54</v>
      </c>
      <c r="B638" t="s">
        <v>47</v>
      </c>
      <c r="C638" t="s">
        <v>48</v>
      </c>
      <c r="D638" t="s">
        <v>49</v>
      </c>
      <c r="E638">
        <v>1</v>
      </c>
    </row>
    <row r="639" spans="1:5" x14ac:dyDescent="0.45">
      <c r="A639" t="s">
        <v>54</v>
      </c>
      <c r="B639" t="s">
        <v>47</v>
      </c>
      <c r="C639" t="s">
        <v>48</v>
      </c>
      <c r="D639" t="s">
        <v>49</v>
      </c>
      <c r="E639">
        <v>1</v>
      </c>
    </row>
    <row r="640" spans="1:5" x14ac:dyDescent="0.45">
      <c r="A640" t="s">
        <v>54</v>
      </c>
      <c r="B640" t="s">
        <v>47</v>
      </c>
      <c r="C640" t="s">
        <v>48</v>
      </c>
      <c r="D640" t="s">
        <v>49</v>
      </c>
      <c r="E640">
        <v>1</v>
      </c>
    </row>
    <row r="641" spans="1:5" x14ac:dyDescent="0.45">
      <c r="A641" t="s">
        <v>54</v>
      </c>
      <c r="B641" t="s">
        <v>47</v>
      </c>
      <c r="C641" t="s">
        <v>48</v>
      </c>
      <c r="D641" t="s">
        <v>49</v>
      </c>
      <c r="E641">
        <v>1</v>
      </c>
    </row>
    <row r="642" spans="1:5" x14ac:dyDescent="0.45">
      <c r="A642" t="s">
        <v>54</v>
      </c>
      <c r="B642" t="s">
        <v>47</v>
      </c>
      <c r="C642" t="s">
        <v>48</v>
      </c>
      <c r="D642" t="s">
        <v>49</v>
      </c>
      <c r="E642">
        <v>1</v>
      </c>
    </row>
    <row r="643" spans="1:5" x14ac:dyDescent="0.45">
      <c r="A643" t="s">
        <v>54</v>
      </c>
      <c r="B643" t="s">
        <v>47</v>
      </c>
      <c r="C643" t="s">
        <v>48</v>
      </c>
      <c r="D643" t="s">
        <v>49</v>
      </c>
      <c r="E643">
        <v>1</v>
      </c>
    </row>
    <row r="644" spans="1:5" x14ac:dyDescent="0.45">
      <c r="A644" t="s">
        <v>54</v>
      </c>
      <c r="B644" t="s">
        <v>47</v>
      </c>
      <c r="C644" t="s">
        <v>48</v>
      </c>
      <c r="D644" t="s">
        <v>49</v>
      </c>
      <c r="E644">
        <v>1</v>
      </c>
    </row>
    <row r="645" spans="1:5" x14ac:dyDescent="0.45">
      <c r="A645" t="s">
        <v>54</v>
      </c>
      <c r="B645" t="s">
        <v>47</v>
      </c>
      <c r="C645" t="s">
        <v>48</v>
      </c>
      <c r="D645" t="s">
        <v>49</v>
      </c>
      <c r="E645">
        <v>1</v>
      </c>
    </row>
    <row r="646" spans="1:5" x14ac:dyDescent="0.45">
      <c r="A646" t="s">
        <v>54</v>
      </c>
      <c r="B646" t="s">
        <v>47</v>
      </c>
      <c r="C646" t="s">
        <v>48</v>
      </c>
      <c r="D646" t="s">
        <v>49</v>
      </c>
      <c r="E646">
        <v>1</v>
      </c>
    </row>
    <row r="647" spans="1:5" x14ac:dyDescent="0.45">
      <c r="A647" t="s">
        <v>54</v>
      </c>
      <c r="B647" t="s">
        <v>47</v>
      </c>
      <c r="C647" t="s">
        <v>48</v>
      </c>
      <c r="D647" t="s">
        <v>49</v>
      </c>
      <c r="E647">
        <v>1</v>
      </c>
    </row>
    <row r="648" spans="1:5" x14ac:dyDescent="0.45">
      <c r="A648" t="s">
        <v>54</v>
      </c>
      <c r="B648" t="s">
        <v>47</v>
      </c>
      <c r="C648" t="s">
        <v>48</v>
      </c>
      <c r="D648" t="s">
        <v>49</v>
      </c>
      <c r="E648">
        <v>1</v>
      </c>
    </row>
    <row r="649" spans="1:5" x14ac:dyDescent="0.45">
      <c r="A649" t="s">
        <v>54</v>
      </c>
      <c r="B649" t="s">
        <v>47</v>
      </c>
      <c r="C649" t="s">
        <v>48</v>
      </c>
      <c r="D649" t="s">
        <v>49</v>
      </c>
      <c r="E649">
        <v>1</v>
      </c>
    </row>
    <row r="650" spans="1:5" x14ac:dyDescent="0.45">
      <c r="A650" t="s">
        <v>54</v>
      </c>
      <c r="B650" t="s">
        <v>47</v>
      </c>
      <c r="C650" t="s">
        <v>48</v>
      </c>
      <c r="D650" t="s">
        <v>49</v>
      </c>
      <c r="E650">
        <v>1</v>
      </c>
    </row>
    <row r="651" spans="1:5" x14ac:dyDescent="0.45">
      <c r="A651" t="s">
        <v>54</v>
      </c>
      <c r="B651" t="s">
        <v>47</v>
      </c>
      <c r="C651" t="s">
        <v>48</v>
      </c>
      <c r="D651" t="s">
        <v>49</v>
      </c>
      <c r="E651">
        <v>1</v>
      </c>
    </row>
    <row r="652" spans="1:5" x14ac:dyDescent="0.45">
      <c r="A652" t="s">
        <v>54</v>
      </c>
      <c r="B652" t="s">
        <v>47</v>
      </c>
      <c r="C652" t="s">
        <v>48</v>
      </c>
      <c r="D652" t="s">
        <v>49</v>
      </c>
      <c r="E652">
        <v>1</v>
      </c>
    </row>
    <row r="653" spans="1:5" x14ac:dyDescent="0.45">
      <c r="A653" t="s">
        <v>54</v>
      </c>
      <c r="B653" t="s">
        <v>47</v>
      </c>
      <c r="C653" t="s">
        <v>48</v>
      </c>
      <c r="D653" t="s">
        <v>49</v>
      </c>
      <c r="E653">
        <v>1</v>
      </c>
    </row>
    <row r="654" spans="1:5" x14ac:dyDescent="0.45">
      <c r="A654" t="s">
        <v>54</v>
      </c>
      <c r="B654" t="s">
        <v>47</v>
      </c>
      <c r="C654" t="s">
        <v>48</v>
      </c>
      <c r="D654" t="s">
        <v>49</v>
      </c>
      <c r="E654">
        <v>1</v>
      </c>
    </row>
    <row r="655" spans="1:5" x14ac:dyDescent="0.45">
      <c r="A655" t="s">
        <v>54</v>
      </c>
      <c r="B655" t="s">
        <v>47</v>
      </c>
      <c r="C655" t="s">
        <v>48</v>
      </c>
      <c r="D655" t="s">
        <v>49</v>
      </c>
      <c r="E655">
        <v>1</v>
      </c>
    </row>
    <row r="656" spans="1:5" x14ac:dyDescent="0.45">
      <c r="A656" t="s">
        <v>54</v>
      </c>
      <c r="B656" t="s">
        <v>47</v>
      </c>
      <c r="C656" t="s">
        <v>48</v>
      </c>
      <c r="D656" t="s">
        <v>49</v>
      </c>
      <c r="E656">
        <v>1</v>
      </c>
    </row>
    <row r="657" spans="1:5" x14ac:dyDescent="0.45">
      <c r="A657" t="s">
        <v>54</v>
      </c>
      <c r="B657" t="s">
        <v>47</v>
      </c>
      <c r="C657" t="s">
        <v>48</v>
      </c>
      <c r="D657" t="s">
        <v>49</v>
      </c>
      <c r="E657">
        <v>1</v>
      </c>
    </row>
    <row r="658" spans="1:5" x14ac:dyDescent="0.45">
      <c r="A658" t="s">
        <v>54</v>
      </c>
      <c r="B658" t="s">
        <v>47</v>
      </c>
      <c r="C658" t="s">
        <v>48</v>
      </c>
      <c r="D658" t="s">
        <v>49</v>
      </c>
      <c r="E658">
        <v>1</v>
      </c>
    </row>
    <row r="659" spans="1:5" x14ac:dyDescent="0.45">
      <c r="A659" t="s">
        <v>54</v>
      </c>
      <c r="B659" t="s">
        <v>47</v>
      </c>
      <c r="C659" t="s">
        <v>48</v>
      </c>
      <c r="D659" t="s">
        <v>49</v>
      </c>
      <c r="E659">
        <v>1</v>
      </c>
    </row>
    <row r="660" spans="1:5" x14ac:dyDescent="0.45">
      <c r="A660" t="s">
        <v>54</v>
      </c>
      <c r="B660" t="s">
        <v>47</v>
      </c>
      <c r="C660" t="s">
        <v>48</v>
      </c>
      <c r="D660" t="s">
        <v>49</v>
      </c>
      <c r="E660">
        <v>1</v>
      </c>
    </row>
    <row r="661" spans="1:5" x14ac:dyDescent="0.45">
      <c r="A661" t="s">
        <v>54</v>
      </c>
      <c r="B661" t="s">
        <v>47</v>
      </c>
      <c r="C661" t="s">
        <v>48</v>
      </c>
      <c r="D661" t="s">
        <v>49</v>
      </c>
      <c r="E661">
        <v>1</v>
      </c>
    </row>
    <row r="662" spans="1:5" x14ac:dyDescent="0.45">
      <c r="A662" t="s">
        <v>54</v>
      </c>
      <c r="B662" t="s">
        <v>47</v>
      </c>
      <c r="C662" t="s">
        <v>48</v>
      </c>
      <c r="D662" t="s">
        <v>49</v>
      </c>
      <c r="E662">
        <v>1</v>
      </c>
    </row>
    <row r="663" spans="1:5" x14ac:dyDescent="0.45">
      <c r="A663" t="s">
        <v>54</v>
      </c>
      <c r="B663" t="s">
        <v>47</v>
      </c>
      <c r="C663" t="s">
        <v>48</v>
      </c>
      <c r="D663" t="s">
        <v>49</v>
      </c>
      <c r="E663">
        <v>1</v>
      </c>
    </row>
    <row r="664" spans="1:5" x14ac:dyDescent="0.45">
      <c r="A664" t="s">
        <v>54</v>
      </c>
      <c r="B664" t="s">
        <v>47</v>
      </c>
      <c r="C664" t="s">
        <v>48</v>
      </c>
      <c r="D664" t="s">
        <v>49</v>
      </c>
      <c r="E664">
        <v>1</v>
      </c>
    </row>
    <row r="665" spans="1:5" x14ac:dyDescent="0.45">
      <c r="A665" t="s">
        <v>54</v>
      </c>
      <c r="B665" t="s">
        <v>47</v>
      </c>
      <c r="C665" t="s">
        <v>48</v>
      </c>
      <c r="D665" t="s">
        <v>49</v>
      </c>
      <c r="E665">
        <v>1</v>
      </c>
    </row>
    <row r="666" spans="1:5" x14ac:dyDescent="0.45">
      <c r="A666" t="s">
        <v>54</v>
      </c>
      <c r="B666" t="s">
        <v>47</v>
      </c>
      <c r="C666" t="s">
        <v>48</v>
      </c>
      <c r="D666" t="s">
        <v>49</v>
      </c>
      <c r="E666">
        <v>1</v>
      </c>
    </row>
    <row r="667" spans="1:5" x14ac:dyDescent="0.45">
      <c r="A667" t="s">
        <v>54</v>
      </c>
      <c r="B667" t="s">
        <v>47</v>
      </c>
      <c r="C667" t="s">
        <v>48</v>
      </c>
      <c r="D667" t="s">
        <v>49</v>
      </c>
      <c r="E667">
        <v>1</v>
      </c>
    </row>
    <row r="668" spans="1:5" x14ac:dyDescent="0.45">
      <c r="A668" t="s">
        <v>54</v>
      </c>
      <c r="B668" t="s">
        <v>47</v>
      </c>
      <c r="C668" t="s">
        <v>48</v>
      </c>
      <c r="D668" t="s">
        <v>49</v>
      </c>
      <c r="E668">
        <v>1</v>
      </c>
    </row>
    <row r="669" spans="1:5" x14ac:dyDescent="0.45">
      <c r="A669" t="s">
        <v>54</v>
      </c>
      <c r="B669" t="s">
        <v>47</v>
      </c>
      <c r="C669" t="s">
        <v>48</v>
      </c>
      <c r="D669" t="s">
        <v>49</v>
      </c>
      <c r="E669">
        <v>1</v>
      </c>
    </row>
    <row r="670" spans="1:5" x14ac:dyDescent="0.45">
      <c r="A670" t="s">
        <v>54</v>
      </c>
      <c r="B670" t="s">
        <v>47</v>
      </c>
      <c r="C670" t="s">
        <v>48</v>
      </c>
      <c r="D670" t="s">
        <v>49</v>
      </c>
      <c r="E670">
        <v>1</v>
      </c>
    </row>
    <row r="671" spans="1:5" x14ac:dyDescent="0.45">
      <c r="A671" t="s">
        <v>54</v>
      </c>
      <c r="B671" t="s">
        <v>47</v>
      </c>
      <c r="C671" t="s">
        <v>48</v>
      </c>
      <c r="D671" t="s">
        <v>49</v>
      </c>
      <c r="E671">
        <v>1</v>
      </c>
    </row>
    <row r="672" spans="1:5" x14ac:dyDescent="0.45">
      <c r="A672" t="s">
        <v>54</v>
      </c>
      <c r="B672" t="s">
        <v>47</v>
      </c>
      <c r="C672" t="s">
        <v>48</v>
      </c>
      <c r="D672" t="s">
        <v>49</v>
      </c>
      <c r="E672">
        <v>1</v>
      </c>
    </row>
    <row r="673" spans="1:5" x14ac:dyDescent="0.45">
      <c r="A673" t="s">
        <v>54</v>
      </c>
      <c r="B673" t="s">
        <v>47</v>
      </c>
      <c r="C673" t="s">
        <v>48</v>
      </c>
      <c r="D673" t="s">
        <v>49</v>
      </c>
      <c r="E673">
        <v>1</v>
      </c>
    </row>
    <row r="674" spans="1:5" x14ac:dyDescent="0.45">
      <c r="A674" t="s">
        <v>54</v>
      </c>
      <c r="B674" t="s">
        <v>47</v>
      </c>
      <c r="C674" t="s">
        <v>48</v>
      </c>
      <c r="D674" t="s">
        <v>49</v>
      </c>
      <c r="E674">
        <v>1</v>
      </c>
    </row>
    <row r="675" spans="1:5" x14ac:dyDescent="0.45">
      <c r="A675" t="s">
        <v>54</v>
      </c>
      <c r="B675" t="s">
        <v>47</v>
      </c>
      <c r="C675" t="s">
        <v>48</v>
      </c>
      <c r="D675" t="s">
        <v>49</v>
      </c>
      <c r="E675">
        <v>1</v>
      </c>
    </row>
    <row r="676" spans="1:5" x14ac:dyDescent="0.45">
      <c r="A676" t="s">
        <v>54</v>
      </c>
      <c r="B676" t="s">
        <v>47</v>
      </c>
      <c r="C676" t="s">
        <v>48</v>
      </c>
      <c r="D676" t="s">
        <v>49</v>
      </c>
      <c r="E676">
        <v>1</v>
      </c>
    </row>
    <row r="677" spans="1:5" x14ac:dyDescent="0.45">
      <c r="A677" t="s">
        <v>54</v>
      </c>
      <c r="B677" t="s">
        <v>47</v>
      </c>
      <c r="C677" t="s">
        <v>48</v>
      </c>
      <c r="D677" t="s">
        <v>49</v>
      </c>
      <c r="E677">
        <v>1</v>
      </c>
    </row>
    <row r="678" spans="1:5" x14ac:dyDescent="0.45">
      <c r="A678" t="s">
        <v>54</v>
      </c>
      <c r="B678" t="s">
        <v>47</v>
      </c>
      <c r="C678" t="s">
        <v>48</v>
      </c>
      <c r="D678" t="s">
        <v>49</v>
      </c>
      <c r="E678">
        <v>1</v>
      </c>
    </row>
    <row r="679" spans="1:5" x14ac:dyDescent="0.45">
      <c r="A679" t="s">
        <v>54</v>
      </c>
      <c r="B679" t="s">
        <v>47</v>
      </c>
      <c r="C679" t="s">
        <v>48</v>
      </c>
      <c r="D679" t="s">
        <v>49</v>
      </c>
      <c r="E679">
        <v>1</v>
      </c>
    </row>
    <row r="680" spans="1:5" x14ac:dyDescent="0.45">
      <c r="A680" t="s">
        <v>54</v>
      </c>
      <c r="B680" t="s">
        <v>47</v>
      </c>
      <c r="C680" t="s">
        <v>48</v>
      </c>
      <c r="D680" t="s">
        <v>49</v>
      </c>
      <c r="E680">
        <v>1</v>
      </c>
    </row>
    <row r="681" spans="1:5" x14ac:dyDescent="0.45">
      <c r="A681" t="s">
        <v>54</v>
      </c>
      <c r="B681" t="s">
        <v>47</v>
      </c>
      <c r="C681" t="s">
        <v>48</v>
      </c>
      <c r="D681" t="s">
        <v>49</v>
      </c>
      <c r="E681">
        <v>1</v>
      </c>
    </row>
    <row r="682" spans="1:5" x14ac:dyDescent="0.45">
      <c r="A682" t="s">
        <v>54</v>
      </c>
      <c r="B682" t="s">
        <v>47</v>
      </c>
      <c r="C682" t="s">
        <v>48</v>
      </c>
      <c r="D682" t="s">
        <v>49</v>
      </c>
      <c r="E682">
        <v>1</v>
      </c>
    </row>
    <row r="683" spans="1:5" x14ac:dyDescent="0.45">
      <c r="A683" t="s">
        <v>54</v>
      </c>
      <c r="B683" t="s">
        <v>47</v>
      </c>
      <c r="C683" t="s">
        <v>48</v>
      </c>
      <c r="D683" t="s">
        <v>49</v>
      </c>
      <c r="E683">
        <v>1</v>
      </c>
    </row>
    <row r="684" spans="1:5" x14ac:dyDescent="0.45">
      <c r="A684" t="s">
        <v>54</v>
      </c>
      <c r="B684" t="s">
        <v>47</v>
      </c>
      <c r="C684" t="s">
        <v>48</v>
      </c>
      <c r="D684" t="s">
        <v>49</v>
      </c>
      <c r="E684">
        <v>1</v>
      </c>
    </row>
    <row r="685" spans="1:5" x14ac:dyDescent="0.45">
      <c r="A685" t="s">
        <v>54</v>
      </c>
      <c r="B685" t="s">
        <v>47</v>
      </c>
      <c r="C685" t="s">
        <v>48</v>
      </c>
      <c r="D685" t="s">
        <v>49</v>
      </c>
      <c r="E685">
        <v>1</v>
      </c>
    </row>
    <row r="686" spans="1:5" x14ac:dyDescent="0.45">
      <c r="A686" t="s">
        <v>54</v>
      </c>
      <c r="B686" t="s">
        <v>47</v>
      </c>
      <c r="C686" t="s">
        <v>48</v>
      </c>
      <c r="D686" t="s">
        <v>49</v>
      </c>
      <c r="E686">
        <v>1</v>
      </c>
    </row>
    <row r="687" spans="1:5" x14ac:dyDescent="0.45">
      <c r="A687" t="s">
        <v>54</v>
      </c>
      <c r="B687" t="s">
        <v>47</v>
      </c>
      <c r="C687" t="s">
        <v>48</v>
      </c>
      <c r="D687" t="s">
        <v>50</v>
      </c>
      <c r="E687">
        <v>0</v>
      </c>
    </row>
    <row r="688" spans="1:5" x14ac:dyDescent="0.45">
      <c r="A688" t="s">
        <v>54</v>
      </c>
      <c r="B688" t="s">
        <v>47</v>
      </c>
      <c r="C688" t="s">
        <v>48</v>
      </c>
      <c r="D688" t="s">
        <v>50</v>
      </c>
      <c r="E688">
        <v>0</v>
      </c>
    </row>
    <row r="689" spans="1:5" x14ac:dyDescent="0.45">
      <c r="A689" t="s">
        <v>54</v>
      </c>
      <c r="B689" t="s">
        <v>47</v>
      </c>
      <c r="C689" t="s">
        <v>48</v>
      </c>
      <c r="D689" t="s">
        <v>50</v>
      </c>
      <c r="E689">
        <v>0</v>
      </c>
    </row>
    <row r="690" spans="1:5" x14ac:dyDescent="0.45">
      <c r="A690" t="s">
        <v>54</v>
      </c>
      <c r="B690" t="s">
        <v>47</v>
      </c>
      <c r="C690" t="s">
        <v>48</v>
      </c>
      <c r="D690" t="s">
        <v>50</v>
      </c>
      <c r="E690">
        <v>0</v>
      </c>
    </row>
    <row r="691" spans="1:5" x14ac:dyDescent="0.45">
      <c r="A691" t="s">
        <v>54</v>
      </c>
      <c r="B691" t="s">
        <v>47</v>
      </c>
      <c r="C691" t="s">
        <v>48</v>
      </c>
      <c r="D691" t="s">
        <v>50</v>
      </c>
      <c r="E691">
        <v>0</v>
      </c>
    </row>
    <row r="692" spans="1:5" x14ac:dyDescent="0.45">
      <c r="A692" t="s">
        <v>54</v>
      </c>
      <c r="B692" t="s">
        <v>47</v>
      </c>
      <c r="C692" t="s">
        <v>48</v>
      </c>
      <c r="D692" t="s">
        <v>50</v>
      </c>
      <c r="E692">
        <v>0</v>
      </c>
    </row>
    <row r="693" spans="1:5" x14ac:dyDescent="0.45">
      <c r="A693" t="s">
        <v>54</v>
      </c>
      <c r="B693" t="s">
        <v>47</v>
      </c>
      <c r="C693" t="s">
        <v>48</v>
      </c>
      <c r="D693" t="s">
        <v>50</v>
      </c>
      <c r="E693">
        <v>0</v>
      </c>
    </row>
    <row r="694" spans="1:5" x14ac:dyDescent="0.45">
      <c r="A694" t="s">
        <v>54</v>
      </c>
      <c r="B694" t="s">
        <v>47</v>
      </c>
      <c r="C694" t="s">
        <v>48</v>
      </c>
      <c r="D694" t="s">
        <v>50</v>
      </c>
      <c r="E694">
        <v>0</v>
      </c>
    </row>
    <row r="695" spans="1:5" x14ac:dyDescent="0.45">
      <c r="A695" t="s">
        <v>54</v>
      </c>
      <c r="B695" t="s">
        <v>47</v>
      </c>
      <c r="C695" t="s">
        <v>48</v>
      </c>
      <c r="D695" t="s">
        <v>50</v>
      </c>
      <c r="E695">
        <v>0</v>
      </c>
    </row>
    <row r="696" spans="1:5" x14ac:dyDescent="0.45">
      <c r="A696" t="s">
        <v>54</v>
      </c>
      <c r="B696" t="s">
        <v>47</v>
      </c>
      <c r="C696" t="s">
        <v>48</v>
      </c>
      <c r="D696" t="s">
        <v>50</v>
      </c>
      <c r="E696">
        <v>0</v>
      </c>
    </row>
    <row r="697" spans="1:5" x14ac:dyDescent="0.45">
      <c r="A697" t="s">
        <v>54</v>
      </c>
      <c r="B697" t="s">
        <v>47</v>
      </c>
      <c r="C697" t="s">
        <v>48</v>
      </c>
      <c r="D697" t="s">
        <v>50</v>
      </c>
      <c r="E697">
        <v>0</v>
      </c>
    </row>
    <row r="698" spans="1:5" x14ac:dyDescent="0.45">
      <c r="A698" t="s">
        <v>54</v>
      </c>
      <c r="B698" t="s">
        <v>47</v>
      </c>
      <c r="C698" t="s">
        <v>48</v>
      </c>
      <c r="D698" t="s">
        <v>50</v>
      </c>
      <c r="E698">
        <v>0</v>
      </c>
    </row>
    <row r="699" spans="1:5" x14ac:dyDescent="0.45">
      <c r="A699" t="s">
        <v>54</v>
      </c>
      <c r="B699" t="s">
        <v>47</v>
      </c>
      <c r="C699" t="s">
        <v>48</v>
      </c>
      <c r="D699" t="s">
        <v>50</v>
      </c>
      <c r="E699">
        <v>0</v>
      </c>
    </row>
    <row r="700" spans="1:5" x14ac:dyDescent="0.45">
      <c r="A700" t="s">
        <v>54</v>
      </c>
      <c r="B700" t="s">
        <v>47</v>
      </c>
      <c r="C700" t="s">
        <v>48</v>
      </c>
      <c r="D700" t="s">
        <v>50</v>
      </c>
      <c r="E700">
        <v>0</v>
      </c>
    </row>
    <row r="701" spans="1:5" x14ac:dyDescent="0.45">
      <c r="A701" t="s">
        <v>54</v>
      </c>
      <c r="B701" t="s">
        <v>47</v>
      </c>
      <c r="C701" t="s">
        <v>48</v>
      </c>
      <c r="D701" t="s">
        <v>50</v>
      </c>
      <c r="E701">
        <v>0</v>
      </c>
    </row>
    <row r="702" spans="1:5" x14ac:dyDescent="0.45">
      <c r="A702" t="s">
        <v>54</v>
      </c>
      <c r="B702" t="s">
        <v>47</v>
      </c>
      <c r="C702" t="s">
        <v>48</v>
      </c>
      <c r="D702" t="s">
        <v>50</v>
      </c>
      <c r="E702">
        <v>0</v>
      </c>
    </row>
    <row r="703" spans="1:5" x14ac:dyDescent="0.45">
      <c r="A703" t="s">
        <v>54</v>
      </c>
      <c r="B703" t="s">
        <v>47</v>
      </c>
      <c r="C703" t="s">
        <v>48</v>
      </c>
      <c r="D703" t="s">
        <v>50</v>
      </c>
      <c r="E703">
        <v>0</v>
      </c>
    </row>
    <row r="704" spans="1:5" x14ac:dyDescent="0.45">
      <c r="A704" t="s">
        <v>54</v>
      </c>
      <c r="B704" t="s">
        <v>47</v>
      </c>
      <c r="C704" t="s">
        <v>48</v>
      </c>
      <c r="D704" t="s">
        <v>50</v>
      </c>
      <c r="E704">
        <v>0</v>
      </c>
    </row>
    <row r="705" spans="1:5" x14ac:dyDescent="0.45">
      <c r="A705" t="s">
        <v>54</v>
      </c>
      <c r="B705" t="s">
        <v>47</v>
      </c>
      <c r="C705" t="s">
        <v>48</v>
      </c>
      <c r="D705" t="s">
        <v>50</v>
      </c>
      <c r="E705">
        <v>0</v>
      </c>
    </row>
    <row r="706" spans="1:5" x14ac:dyDescent="0.45">
      <c r="A706" t="s">
        <v>54</v>
      </c>
      <c r="B706" t="s">
        <v>47</v>
      </c>
      <c r="C706" t="s">
        <v>48</v>
      </c>
      <c r="D706" t="s">
        <v>50</v>
      </c>
      <c r="E706">
        <v>0</v>
      </c>
    </row>
    <row r="707" spans="1:5" x14ac:dyDescent="0.45">
      <c r="A707" t="s">
        <v>54</v>
      </c>
      <c r="B707" t="s">
        <v>47</v>
      </c>
      <c r="C707" t="s">
        <v>48</v>
      </c>
      <c r="D707" t="s">
        <v>50</v>
      </c>
      <c r="E707">
        <v>0</v>
      </c>
    </row>
    <row r="708" spans="1:5" x14ac:dyDescent="0.45">
      <c r="A708" t="s">
        <v>54</v>
      </c>
      <c r="B708" t="s">
        <v>47</v>
      </c>
      <c r="C708" t="s">
        <v>48</v>
      </c>
      <c r="D708" t="s">
        <v>50</v>
      </c>
      <c r="E708">
        <v>0</v>
      </c>
    </row>
    <row r="709" spans="1:5" x14ac:dyDescent="0.45">
      <c r="A709" t="s">
        <v>54</v>
      </c>
      <c r="B709" t="s">
        <v>47</v>
      </c>
      <c r="C709" t="s">
        <v>48</v>
      </c>
      <c r="D709" t="s">
        <v>50</v>
      </c>
      <c r="E709">
        <v>0</v>
      </c>
    </row>
    <row r="710" spans="1:5" x14ac:dyDescent="0.45">
      <c r="A710" t="s">
        <v>54</v>
      </c>
      <c r="B710" t="s">
        <v>47</v>
      </c>
      <c r="C710" t="s">
        <v>48</v>
      </c>
      <c r="D710" t="s">
        <v>50</v>
      </c>
      <c r="E710">
        <v>0</v>
      </c>
    </row>
    <row r="711" spans="1:5" x14ac:dyDescent="0.45">
      <c r="A711" t="s">
        <v>54</v>
      </c>
      <c r="B711" t="s">
        <v>47</v>
      </c>
      <c r="C711" t="s">
        <v>48</v>
      </c>
      <c r="D711" t="s">
        <v>50</v>
      </c>
      <c r="E711">
        <v>0</v>
      </c>
    </row>
    <row r="712" spans="1:5" x14ac:dyDescent="0.45">
      <c r="A712" t="s">
        <v>54</v>
      </c>
      <c r="B712" t="s">
        <v>47</v>
      </c>
      <c r="C712" t="s">
        <v>48</v>
      </c>
      <c r="D712" t="s">
        <v>50</v>
      </c>
      <c r="E712">
        <v>0</v>
      </c>
    </row>
    <row r="713" spans="1:5" x14ac:dyDescent="0.45">
      <c r="A713" t="s">
        <v>54</v>
      </c>
      <c r="B713" t="s">
        <v>47</v>
      </c>
      <c r="C713" t="s">
        <v>48</v>
      </c>
      <c r="D713" t="s">
        <v>50</v>
      </c>
      <c r="E713">
        <v>0</v>
      </c>
    </row>
    <row r="714" spans="1:5" x14ac:dyDescent="0.45">
      <c r="A714" t="s">
        <v>54</v>
      </c>
      <c r="B714" t="s">
        <v>47</v>
      </c>
      <c r="C714" t="s">
        <v>48</v>
      </c>
      <c r="D714" t="s">
        <v>50</v>
      </c>
      <c r="E714">
        <v>0</v>
      </c>
    </row>
    <row r="715" spans="1:5" x14ac:dyDescent="0.45">
      <c r="A715" t="s">
        <v>54</v>
      </c>
      <c r="B715" t="s">
        <v>47</v>
      </c>
      <c r="C715" t="s">
        <v>48</v>
      </c>
      <c r="D715" t="s">
        <v>50</v>
      </c>
      <c r="E715">
        <v>0</v>
      </c>
    </row>
    <row r="716" spans="1:5" x14ac:dyDescent="0.45">
      <c r="A716" t="s">
        <v>54</v>
      </c>
      <c r="B716" t="s">
        <v>47</v>
      </c>
      <c r="C716" t="s">
        <v>48</v>
      </c>
      <c r="D716" t="s">
        <v>50</v>
      </c>
      <c r="E716">
        <v>0</v>
      </c>
    </row>
    <row r="717" spans="1:5" x14ac:dyDescent="0.45">
      <c r="A717" t="s">
        <v>54</v>
      </c>
      <c r="B717" t="s">
        <v>47</v>
      </c>
      <c r="C717" t="s">
        <v>48</v>
      </c>
      <c r="D717" t="s">
        <v>50</v>
      </c>
      <c r="E717">
        <v>0</v>
      </c>
    </row>
    <row r="718" spans="1:5" x14ac:dyDescent="0.45">
      <c r="A718" t="s">
        <v>54</v>
      </c>
      <c r="B718" t="s">
        <v>47</v>
      </c>
      <c r="C718" t="s">
        <v>48</v>
      </c>
      <c r="D718" t="s">
        <v>50</v>
      </c>
      <c r="E718">
        <v>0</v>
      </c>
    </row>
    <row r="719" spans="1:5" x14ac:dyDescent="0.45">
      <c r="A719" t="s">
        <v>54</v>
      </c>
      <c r="B719" t="s">
        <v>47</v>
      </c>
      <c r="C719" t="s">
        <v>48</v>
      </c>
      <c r="D719" t="s">
        <v>50</v>
      </c>
      <c r="E719">
        <v>0</v>
      </c>
    </row>
    <row r="720" spans="1:5" x14ac:dyDescent="0.45">
      <c r="A720" t="s">
        <v>54</v>
      </c>
      <c r="B720" t="s">
        <v>47</v>
      </c>
      <c r="C720" t="s">
        <v>48</v>
      </c>
      <c r="D720" t="s">
        <v>50</v>
      </c>
      <c r="E720">
        <v>0</v>
      </c>
    </row>
    <row r="721" spans="1:5" x14ac:dyDescent="0.45">
      <c r="A721" t="s">
        <v>54</v>
      </c>
      <c r="B721" t="s">
        <v>47</v>
      </c>
      <c r="C721" t="s">
        <v>48</v>
      </c>
      <c r="D721" t="s">
        <v>50</v>
      </c>
      <c r="E721">
        <v>0</v>
      </c>
    </row>
    <row r="722" spans="1:5" x14ac:dyDescent="0.45">
      <c r="A722" t="s">
        <v>54</v>
      </c>
      <c r="B722" t="s">
        <v>47</v>
      </c>
      <c r="C722" t="s">
        <v>48</v>
      </c>
      <c r="D722" t="s">
        <v>50</v>
      </c>
      <c r="E722">
        <v>0</v>
      </c>
    </row>
    <row r="723" spans="1:5" x14ac:dyDescent="0.45">
      <c r="A723" t="s">
        <v>54</v>
      </c>
      <c r="B723" t="s">
        <v>47</v>
      </c>
      <c r="C723" t="s">
        <v>48</v>
      </c>
      <c r="D723" t="s">
        <v>50</v>
      </c>
      <c r="E723">
        <v>0</v>
      </c>
    </row>
    <row r="724" spans="1:5" x14ac:dyDescent="0.45">
      <c r="A724" t="s">
        <v>54</v>
      </c>
      <c r="B724" t="s">
        <v>47</v>
      </c>
      <c r="C724" t="s">
        <v>48</v>
      </c>
      <c r="D724" t="s">
        <v>50</v>
      </c>
      <c r="E724">
        <v>0</v>
      </c>
    </row>
    <row r="725" spans="1:5" x14ac:dyDescent="0.45">
      <c r="A725" t="s">
        <v>54</v>
      </c>
      <c r="B725" t="s">
        <v>47</v>
      </c>
      <c r="C725" t="s">
        <v>48</v>
      </c>
      <c r="D725" t="s">
        <v>50</v>
      </c>
      <c r="E725">
        <v>0</v>
      </c>
    </row>
    <row r="726" spans="1:5" x14ac:dyDescent="0.45">
      <c r="A726" t="s">
        <v>54</v>
      </c>
      <c r="B726" t="s">
        <v>47</v>
      </c>
      <c r="C726" t="s">
        <v>48</v>
      </c>
      <c r="D726" t="s">
        <v>50</v>
      </c>
      <c r="E726">
        <v>0</v>
      </c>
    </row>
    <row r="727" spans="1:5" x14ac:dyDescent="0.45">
      <c r="A727" t="s">
        <v>54</v>
      </c>
      <c r="B727" t="s">
        <v>47</v>
      </c>
      <c r="C727" t="s">
        <v>48</v>
      </c>
      <c r="D727" t="s">
        <v>50</v>
      </c>
      <c r="E727">
        <v>0</v>
      </c>
    </row>
    <row r="728" spans="1:5" x14ac:dyDescent="0.45">
      <c r="A728" t="s">
        <v>54</v>
      </c>
      <c r="B728" t="s">
        <v>47</v>
      </c>
      <c r="C728" t="s">
        <v>48</v>
      </c>
      <c r="D728" t="s">
        <v>50</v>
      </c>
      <c r="E728">
        <v>0</v>
      </c>
    </row>
    <row r="729" spans="1:5" x14ac:dyDescent="0.45">
      <c r="A729" t="s">
        <v>54</v>
      </c>
      <c r="B729" t="s">
        <v>47</v>
      </c>
      <c r="C729" t="s">
        <v>48</v>
      </c>
      <c r="D729" t="s">
        <v>50</v>
      </c>
      <c r="E729">
        <v>0</v>
      </c>
    </row>
    <row r="730" spans="1:5" x14ac:dyDescent="0.45">
      <c r="A730" t="s">
        <v>54</v>
      </c>
      <c r="B730" t="s">
        <v>47</v>
      </c>
      <c r="C730" t="s">
        <v>48</v>
      </c>
      <c r="D730" t="s">
        <v>50</v>
      </c>
      <c r="E730">
        <v>0</v>
      </c>
    </row>
    <row r="731" spans="1:5" x14ac:dyDescent="0.45">
      <c r="A731" t="s">
        <v>54</v>
      </c>
      <c r="B731" t="s">
        <v>47</v>
      </c>
      <c r="C731" t="s">
        <v>48</v>
      </c>
      <c r="D731" t="s">
        <v>50</v>
      </c>
      <c r="E731">
        <v>0</v>
      </c>
    </row>
    <row r="732" spans="1:5" x14ac:dyDescent="0.45">
      <c r="A732" t="s">
        <v>54</v>
      </c>
      <c r="B732" t="s">
        <v>47</v>
      </c>
      <c r="C732" t="s">
        <v>48</v>
      </c>
      <c r="D732" t="s">
        <v>50</v>
      </c>
      <c r="E732">
        <v>0</v>
      </c>
    </row>
    <row r="733" spans="1:5" x14ac:dyDescent="0.45">
      <c r="A733" t="s">
        <v>54</v>
      </c>
      <c r="B733" t="s">
        <v>47</v>
      </c>
      <c r="C733" t="s">
        <v>48</v>
      </c>
      <c r="D733" t="s">
        <v>50</v>
      </c>
      <c r="E733">
        <v>0</v>
      </c>
    </row>
    <row r="734" spans="1:5" x14ac:dyDescent="0.45">
      <c r="A734" t="s">
        <v>54</v>
      </c>
      <c r="B734" t="s">
        <v>47</v>
      </c>
      <c r="C734" t="s">
        <v>48</v>
      </c>
      <c r="D734" t="s">
        <v>50</v>
      </c>
      <c r="E734">
        <v>0</v>
      </c>
    </row>
    <row r="735" spans="1:5" x14ac:dyDescent="0.45">
      <c r="A735" t="s">
        <v>54</v>
      </c>
      <c r="B735" t="s">
        <v>47</v>
      </c>
      <c r="C735" t="s">
        <v>48</v>
      </c>
      <c r="D735" t="s">
        <v>50</v>
      </c>
      <c r="E735">
        <v>0</v>
      </c>
    </row>
    <row r="736" spans="1:5" x14ac:dyDescent="0.45">
      <c r="A736" t="s">
        <v>54</v>
      </c>
      <c r="B736" t="s">
        <v>47</v>
      </c>
      <c r="C736" t="s">
        <v>48</v>
      </c>
      <c r="D736" t="s">
        <v>50</v>
      </c>
      <c r="E736">
        <v>0</v>
      </c>
    </row>
    <row r="737" spans="1:5" x14ac:dyDescent="0.45">
      <c r="A737" t="s">
        <v>54</v>
      </c>
      <c r="B737" t="s">
        <v>47</v>
      </c>
      <c r="C737" t="s">
        <v>48</v>
      </c>
      <c r="D737" t="s">
        <v>50</v>
      </c>
      <c r="E737">
        <v>0</v>
      </c>
    </row>
    <row r="738" spans="1:5" x14ac:dyDescent="0.45">
      <c r="A738" t="s">
        <v>54</v>
      </c>
      <c r="B738" t="s">
        <v>47</v>
      </c>
      <c r="C738" t="s">
        <v>48</v>
      </c>
      <c r="D738" t="s">
        <v>50</v>
      </c>
      <c r="E738">
        <v>0</v>
      </c>
    </row>
    <row r="739" spans="1:5" x14ac:dyDescent="0.45">
      <c r="A739" t="s">
        <v>54</v>
      </c>
      <c r="B739" t="s">
        <v>47</v>
      </c>
      <c r="C739" t="s">
        <v>48</v>
      </c>
      <c r="D739" t="s">
        <v>50</v>
      </c>
      <c r="E739">
        <v>0</v>
      </c>
    </row>
    <row r="740" spans="1:5" x14ac:dyDescent="0.45">
      <c r="A740" t="s">
        <v>54</v>
      </c>
      <c r="B740" t="s">
        <v>47</v>
      </c>
      <c r="C740" t="s">
        <v>48</v>
      </c>
      <c r="D740" t="s">
        <v>50</v>
      </c>
      <c r="E740">
        <v>0</v>
      </c>
    </row>
    <row r="741" spans="1:5" x14ac:dyDescent="0.45">
      <c r="A741" t="s">
        <v>54</v>
      </c>
      <c r="B741" t="s">
        <v>47</v>
      </c>
      <c r="C741" t="s">
        <v>48</v>
      </c>
      <c r="D741" t="s">
        <v>50</v>
      </c>
      <c r="E741">
        <v>0</v>
      </c>
    </row>
    <row r="742" spans="1:5" x14ac:dyDescent="0.45">
      <c r="A742" t="s">
        <v>54</v>
      </c>
      <c r="B742" t="s">
        <v>47</v>
      </c>
      <c r="C742" t="s">
        <v>48</v>
      </c>
      <c r="D742" t="s">
        <v>50</v>
      </c>
      <c r="E742">
        <v>0</v>
      </c>
    </row>
    <row r="743" spans="1:5" x14ac:dyDescent="0.45">
      <c r="A743" t="s">
        <v>54</v>
      </c>
      <c r="B743" t="s">
        <v>47</v>
      </c>
      <c r="C743" t="s">
        <v>48</v>
      </c>
      <c r="D743" t="s">
        <v>50</v>
      </c>
      <c r="E743">
        <v>0</v>
      </c>
    </row>
    <row r="744" spans="1:5" x14ac:dyDescent="0.45">
      <c r="A744" t="s">
        <v>54</v>
      </c>
      <c r="B744" t="s">
        <v>47</v>
      </c>
      <c r="C744" t="s">
        <v>48</v>
      </c>
      <c r="D744" t="s">
        <v>50</v>
      </c>
      <c r="E744">
        <v>0</v>
      </c>
    </row>
    <row r="745" spans="1:5" x14ac:dyDescent="0.45">
      <c r="A745" t="s">
        <v>54</v>
      </c>
      <c r="B745" t="s">
        <v>47</v>
      </c>
      <c r="C745" t="s">
        <v>48</v>
      </c>
      <c r="D745" t="s">
        <v>50</v>
      </c>
      <c r="E745">
        <v>0</v>
      </c>
    </row>
    <row r="746" spans="1:5" x14ac:dyDescent="0.45">
      <c r="A746" t="s">
        <v>54</v>
      </c>
      <c r="B746" t="s">
        <v>47</v>
      </c>
      <c r="C746" t="s">
        <v>48</v>
      </c>
      <c r="D746" t="s">
        <v>50</v>
      </c>
      <c r="E746">
        <v>0</v>
      </c>
    </row>
    <row r="747" spans="1:5" x14ac:dyDescent="0.45">
      <c r="A747" t="s">
        <v>54</v>
      </c>
      <c r="B747" t="s">
        <v>47</v>
      </c>
      <c r="C747" t="s">
        <v>48</v>
      </c>
      <c r="D747" t="s">
        <v>50</v>
      </c>
      <c r="E747">
        <v>0</v>
      </c>
    </row>
    <row r="748" spans="1:5" x14ac:dyDescent="0.45">
      <c r="A748" t="s">
        <v>54</v>
      </c>
      <c r="B748" t="s">
        <v>47</v>
      </c>
      <c r="C748" t="s">
        <v>48</v>
      </c>
      <c r="D748" t="s">
        <v>50</v>
      </c>
      <c r="E748">
        <v>0</v>
      </c>
    </row>
    <row r="749" spans="1:5" x14ac:dyDescent="0.45">
      <c r="A749" t="s">
        <v>54</v>
      </c>
      <c r="B749" t="s">
        <v>47</v>
      </c>
      <c r="C749" t="s">
        <v>48</v>
      </c>
      <c r="D749" t="s">
        <v>50</v>
      </c>
      <c r="E749">
        <v>0</v>
      </c>
    </row>
    <row r="750" spans="1:5" x14ac:dyDescent="0.45">
      <c r="A750" t="s">
        <v>54</v>
      </c>
      <c r="B750" t="s">
        <v>47</v>
      </c>
      <c r="C750" t="s">
        <v>48</v>
      </c>
      <c r="D750" t="s">
        <v>50</v>
      </c>
      <c r="E750">
        <v>0</v>
      </c>
    </row>
    <row r="751" spans="1:5" x14ac:dyDescent="0.45">
      <c r="A751" t="s">
        <v>54</v>
      </c>
      <c r="B751" t="s">
        <v>47</v>
      </c>
      <c r="C751" t="s">
        <v>48</v>
      </c>
      <c r="D751" t="s">
        <v>50</v>
      </c>
      <c r="E751">
        <v>0</v>
      </c>
    </row>
    <row r="752" spans="1:5" x14ac:dyDescent="0.45">
      <c r="A752" t="s">
        <v>54</v>
      </c>
      <c r="B752" t="s">
        <v>47</v>
      </c>
      <c r="C752" t="s">
        <v>48</v>
      </c>
      <c r="D752" t="s">
        <v>50</v>
      </c>
      <c r="E752">
        <v>0</v>
      </c>
    </row>
    <row r="753" spans="1:5" x14ac:dyDescent="0.45">
      <c r="A753" t="s">
        <v>54</v>
      </c>
      <c r="B753" t="s">
        <v>47</v>
      </c>
      <c r="C753" t="s">
        <v>48</v>
      </c>
      <c r="D753" t="s">
        <v>50</v>
      </c>
      <c r="E753">
        <v>0</v>
      </c>
    </row>
    <row r="754" spans="1:5" x14ac:dyDescent="0.45">
      <c r="A754" t="s">
        <v>54</v>
      </c>
      <c r="B754" t="s">
        <v>47</v>
      </c>
      <c r="C754" t="s">
        <v>48</v>
      </c>
      <c r="D754" t="s">
        <v>50</v>
      </c>
      <c r="E754">
        <v>0</v>
      </c>
    </row>
    <row r="755" spans="1:5" x14ac:dyDescent="0.45">
      <c r="A755" t="s">
        <v>54</v>
      </c>
      <c r="B755" t="s">
        <v>47</v>
      </c>
      <c r="C755" t="s">
        <v>48</v>
      </c>
      <c r="D755" t="s">
        <v>50</v>
      </c>
      <c r="E755">
        <v>0</v>
      </c>
    </row>
    <row r="756" spans="1:5" x14ac:dyDescent="0.45">
      <c r="A756" t="s">
        <v>54</v>
      </c>
      <c r="B756" t="s">
        <v>47</v>
      </c>
      <c r="C756" t="s">
        <v>48</v>
      </c>
      <c r="D756" t="s">
        <v>50</v>
      </c>
      <c r="E756">
        <v>0</v>
      </c>
    </row>
    <row r="757" spans="1:5" x14ac:dyDescent="0.45">
      <c r="A757" t="s">
        <v>54</v>
      </c>
      <c r="B757" t="s">
        <v>47</v>
      </c>
      <c r="C757" t="s">
        <v>48</v>
      </c>
      <c r="D757" t="s">
        <v>50</v>
      </c>
      <c r="E757">
        <v>0</v>
      </c>
    </row>
    <row r="758" spans="1:5" x14ac:dyDescent="0.45">
      <c r="A758" t="s">
        <v>54</v>
      </c>
      <c r="B758" t="s">
        <v>47</v>
      </c>
      <c r="C758" t="s">
        <v>48</v>
      </c>
      <c r="D758" t="s">
        <v>50</v>
      </c>
      <c r="E758">
        <v>0</v>
      </c>
    </row>
    <row r="759" spans="1:5" x14ac:dyDescent="0.45">
      <c r="A759" t="s">
        <v>54</v>
      </c>
      <c r="B759" t="s">
        <v>47</v>
      </c>
      <c r="C759" t="s">
        <v>48</v>
      </c>
      <c r="D759" t="s">
        <v>50</v>
      </c>
      <c r="E759">
        <v>0</v>
      </c>
    </row>
    <row r="760" spans="1:5" x14ac:dyDescent="0.45">
      <c r="A760" t="s">
        <v>54</v>
      </c>
      <c r="B760" t="s">
        <v>47</v>
      </c>
      <c r="C760" t="s">
        <v>48</v>
      </c>
      <c r="D760" t="s">
        <v>50</v>
      </c>
      <c r="E760">
        <v>0</v>
      </c>
    </row>
    <row r="761" spans="1:5" x14ac:dyDescent="0.45">
      <c r="A761" t="s">
        <v>54</v>
      </c>
      <c r="B761" t="s">
        <v>47</v>
      </c>
      <c r="C761" t="s">
        <v>48</v>
      </c>
      <c r="D761" t="s">
        <v>50</v>
      </c>
      <c r="E761">
        <v>0</v>
      </c>
    </row>
    <row r="762" spans="1:5" x14ac:dyDescent="0.45">
      <c r="A762" t="s">
        <v>54</v>
      </c>
      <c r="B762" t="s">
        <v>47</v>
      </c>
      <c r="C762" t="s">
        <v>48</v>
      </c>
      <c r="D762" t="s">
        <v>50</v>
      </c>
      <c r="E762">
        <v>0</v>
      </c>
    </row>
    <row r="763" spans="1:5" x14ac:dyDescent="0.45">
      <c r="A763" t="s">
        <v>54</v>
      </c>
      <c r="B763" t="s">
        <v>47</v>
      </c>
      <c r="C763" t="s">
        <v>48</v>
      </c>
      <c r="D763" t="s">
        <v>50</v>
      </c>
      <c r="E763">
        <v>0</v>
      </c>
    </row>
    <row r="764" spans="1:5" x14ac:dyDescent="0.45">
      <c r="A764" t="s">
        <v>54</v>
      </c>
      <c r="B764" t="s">
        <v>47</v>
      </c>
      <c r="C764" t="s">
        <v>48</v>
      </c>
      <c r="D764" t="s">
        <v>50</v>
      </c>
      <c r="E764">
        <v>0</v>
      </c>
    </row>
    <row r="765" spans="1:5" x14ac:dyDescent="0.45">
      <c r="A765" t="s">
        <v>54</v>
      </c>
      <c r="B765" t="s">
        <v>47</v>
      </c>
      <c r="C765" t="s">
        <v>48</v>
      </c>
      <c r="D765" t="s">
        <v>50</v>
      </c>
      <c r="E765">
        <v>0</v>
      </c>
    </row>
    <row r="766" spans="1:5" x14ac:dyDescent="0.45">
      <c r="A766" t="s">
        <v>54</v>
      </c>
      <c r="B766" t="s">
        <v>47</v>
      </c>
      <c r="C766" t="s">
        <v>48</v>
      </c>
      <c r="D766" t="s">
        <v>50</v>
      </c>
      <c r="E766">
        <v>0</v>
      </c>
    </row>
    <row r="767" spans="1:5" x14ac:dyDescent="0.45">
      <c r="A767" t="s">
        <v>54</v>
      </c>
      <c r="B767" t="s">
        <v>47</v>
      </c>
      <c r="C767" t="s">
        <v>48</v>
      </c>
      <c r="D767" t="s">
        <v>50</v>
      </c>
      <c r="E767">
        <v>0</v>
      </c>
    </row>
    <row r="768" spans="1:5" x14ac:dyDescent="0.45">
      <c r="A768" t="s">
        <v>54</v>
      </c>
      <c r="B768" t="s">
        <v>47</v>
      </c>
      <c r="C768" t="s">
        <v>48</v>
      </c>
      <c r="D768" t="s">
        <v>50</v>
      </c>
      <c r="E768">
        <v>0</v>
      </c>
    </row>
    <row r="769" spans="1:5" x14ac:dyDescent="0.45">
      <c r="A769" t="s">
        <v>54</v>
      </c>
      <c r="B769" t="s">
        <v>47</v>
      </c>
      <c r="C769" t="s">
        <v>48</v>
      </c>
      <c r="D769" t="s">
        <v>50</v>
      </c>
      <c r="E769">
        <v>0</v>
      </c>
    </row>
    <row r="770" spans="1:5" x14ac:dyDescent="0.45">
      <c r="A770" t="s">
        <v>54</v>
      </c>
      <c r="B770" t="s">
        <v>47</v>
      </c>
      <c r="C770" t="s">
        <v>48</v>
      </c>
      <c r="D770" t="s">
        <v>50</v>
      </c>
      <c r="E770">
        <v>0</v>
      </c>
    </row>
    <row r="771" spans="1:5" x14ac:dyDescent="0.45">
      <c r="A771" t="s">
        <v>54</v>
      </c>
      <c r="B771" t="s">
        <v>47</v>
      </c>
      <c r="C771" t="s">
        <v>48</v>
      </c>
      <c r="D771" t="s">
        <v>50</v>
      </c>
      <c r="E771">
        <v>0</v>
      </c>
    </row>
    <row r="772" spans="1:5" x14ac:dyDescent="0.45">
      <c r="A772" t="s">
        <v>54</v>
      </c>
      <c r="B772" t="s">
        <v>47</v>
      </c>
      <c r="C772" t="s">
        <v>48</v>
      </c>
      <c r="D772" t="s">
        <v>50</v>
      </c>
      <c r="E772">
        <v>0</v>
      </c>
    </row>
    <row r="773" spans="1:5" x14ac:dyDescent="0.45">
      <c r="A773" t="s">
        <v>54</v>
      </c>
      <c r="B773" t="s">
        <v>47</v>
      </c>
      <c r="C773" t="s">
        <v>48</v>
      </c>
      <c r="D773" t="s">
        <v>50</v>
      </c>
      <c r="E773">
        <v>0</v>
      </c>
    </row>
    <row r="774" spans="1:5" x14ac:dyDescent="0.45">
      <c r="A774" t="s">
        <v>54</v>
      </c>
      <c r="B774" t="s">
        <v>47</v>
      </c>
      <c r="C774" t="s">
        <v>48</v>
      </c>
      <c r="D774" t="s">
        <v>50</v>
      </c>
      <c r="E774">
        <v>0</v>
      </c>
    </row>
    <row r="775" spans="1:5" x14ac:dyDescent="0.45">
      <c r="A775" t="s">
        <v>54</v>
      </c>
      <c r="B775" t="s">
        <v>47</v>
      </c>
      <c r="C775" t="s">
        <v>48</v>
      </c>
      <c r="D775" t="s">
        <v>50</v>
      </c>
      <c r="E775">
        <v>0</v>
      </c>
    </row>
    <row r="776" spans="1:5" x14ac:dyDescent="0.45">
      <c r="A776" t="s">
        <v>54</v>
      </c>
      <c r="B776" t="s">
        <v>47</v>
      </c>
      <c r="C776" t="s">
        <v>48</v>
      </c>
      <c r="D776" t="s">
        <v>50</v>
      </c>
      <c r="E776">
        <v>0</v>
      </c>
    </row>
    <row r="777" spans="1:5" x14ac:dyDescent="0.45">
      <c r="A777" t="s">
        <v>54</v>
      </c>
      <c r="B777" t="s">
        <v>47</v>
      </c>
      <c r="C777" t="s">
        <v>48</v>
      </c>
      <c r="D777" t="s">
        <v>50</v>
      </c>
      <c r="E777">
        <v>0</v>
      </c>
    </row>
    <row r="778" spans="1:5" x14ac:dyDescent="0.45">
      <c r="A778" t="s">
        <v>54</v>
      </c>
      <c r="B778" t="s">
        <v>47</v>
      </c>
      <c r="C778" t="s">
        <v>48</v>
      </c>
      <c r="D778" t="s">
        <v>50</v>
      </c>
      <c r="E778">
        <v>0</v>
      </c>
    </row>
    <row r="779" spans="1:5" x14ac:dyDescent="0.45">
      <c r="A779" t="s">
        <v>54</v>
      </c>
      <c r="B779" t="s">
        <v>47</v>
      </c>
      <c r="C779" t="s">
        <v>48</v>
      </c>
      <c r="D779" t="s">
        <v>50</v>
      </c>
      <c r="E779">
        <v>0</v>
      </c>
    </row>
    <row r="780" spans="1:5" x14ac:dyDescent="0.45">
      <c r="A780" t="s">
        <v>54</v>
      </c>
      <c r="B780" t="s">
        <v>47</v>
      </c>
      <c r="C780" t="s">
        <v>48</v>
      </c>
      <c r="D780" t="s">
        <v>50</v>
      </c>
      <c r="E780">
        <v>0</v>
      </c>
    </row>
    <row r="781" spans="1:5" x14ac:dyDescent="0.45">
      <c r="A781" t="s">
        <v>54</v>
      </c>
      <c r="B781" t="s">
        <v>47</v>
      </c>
      <c r="C781" t="s">
        <v>48</v>
      </c>
      <c r="D781" t="s">
        <v>50</v>
      </c>
      <c r="E781">
        <v>0</v>
      </c>
    </row>
    <row r="782" spans="1:5" x14ac:dyDescent="0.45">
      <c r="A782" t="s">
        <v>54</v>
      </c>
      <c r="B782" t="s">
        <v>47</v>
      </c>
      <c r="C782" t="s">
        <v>48</v>
      </c>
      <c r="D782" t="s">
        <v>50</v>
      </c>
      <c r="E782">
        <v>0</v>
      </c>
    </row>
    <row r="783" spans="1:5" x14ac:dyDescent="0.45">
      <c r="A783" t="s">
        <v>54</v>
      </c>
      <c r="B783" t="s">
        <v>47</v>
      </c>
      <c r="C783" t="s">
        <v>48</v>
      </c>
      <c r="D783" t="s">
        <v>50</v>
      </c>
      <c r="E783">
        <v>0</v>
      </c>
    </row>
    <row r="784" spans="1:5" x14ac:dyDescent="0.45">
      <c r="A784" t="s">
        <v>54</v>
      </c>
      <c r="B784" t="s">
        <v>47</v>
      </c>
      <c r="C784" t="s">
        <v>48</v>
      </c>
      <c r="D784" t="s">
        <v>50</v>
      </c>
      <c r="E784">
        <v>0</v>
      </c>
    </row>
    <row r="785" spans="1:5" x14ac:dyDescent="0.45">
      <c r="A785" t="s">
        <v>54</v>
      </c>
      <c r="B785" t="s">
        <v>47</v>
      </c>
      <c r="C785" t="s">
        <v>48</v>
      </c>
      <c r="D785" t="s">
        <v>50</v>
      </c>
      <c r="E785">
        <v>0</v>
      </c>
    </row>
    <row r="786" spans="1:5" x14ac:dyDescent="0.45">
      <c r="A786" t="s">
        <v>54</v>
      </c>
      <c r="B786" t="s">
        <v>47</v>
      </c>
      <c r="C786" t="s">
        <v>48</v>
      </c>
      <c r="D786" t="s">
        <v>50</v>
      </c>
      <c r="E786">
        <v>0</v>
      </c>
    </row>
    <row r="787" spans="1:5" x14ac:dyDescent="0.45">
      <c r="A787" t="s">
        <v>54</v>
      </c>
      <c r="B787" t="s">
        <v>47</v>
      </c>
      <c r="C787" t="s">
        <v>48</v>
      </c>
      <c r="D787" t="s">
        <v>50</v>
      </c>
      <c r="E787">
        <v>0</v>
      </c>
    </row>
    <row r="788" spans="1:5" x14ac:dyDescent="0.45">
      <c r="A788" t="s">
        <v>54</v>
      </c>
      <c r="B788" t="s">
        <v>47</v>
      </c>
      <c r="C788" t="s">
        <v>48</v>
      </c>
      <c r="D788" t="s">
        <v>50</v>
      </c>
      <c r="E788">
        <v>0</v>
      </c>
    </row>
    <row r="789" spans="1:5" x14ac:dyDescent="0.45">
      <c r="A789" t="s">
        <v>54</v>
      </c>
      <c r="B789" t="s">
        <v>47</v>
      </c>
      <c r="C789" t="s">
        <v>48</v>
      </c>
      <c r="D789" t="s">
        <v>50</v>
      </c>
      <c r="E789">
        <v>0</v>
      </c>
    </row>
    <row r="790" spans="1:5" x14ac:dyDescent="0.45">
      <c r="A790" t="s">
        <v>54</v>
      </c>
      <c r="B790" t="s">
        <v>47</v>
      </c>
      <c r="C790" t="s">
        <v>48</v>
      </c>
      <c r="D790" t="s">
        <v>50</v>
      </c>
      <c r="E790">
        <v>0</v>
      </c>
    </row>
    <row r="791" spans="1:5" x14ac:dyDescent="0.45">
      <c r="A791" t="s">
        <v>54</v>
      </c>
      <c r="B791" t="s">
        <v>47</v>
      </c>
      <c r="C791" t="s">
        <v>48</v>
      </c>
      <c r="D791" t="s">
        <v>50</v>
      </c>
      <c r="E791">
        <v>0</v>
      </c>
    </row>
    <row r="792" spans="1:5" x14ac:dyDescent="0.45">
      <c r="A792" t="s">
        <v>54</v>
      </c>
      <c r="B792" t="s">
        <v>47</v>
      </c>
      <c r="C792" t="s">
        <v>48</v>
      </c>
      <c r="D792" t="s">
        <v>50</v>
      </c>
      <c r="E792">
        <v>0</v>
      </c>
    </row>
    <row r="793" spans="1:5" x14ac:dyDescent="0.45">
      <c r="A793" t="s">
        <v>54</v>
      </c>
      <c r="B793" t="s">
        <v>47</v>
      </c>
      <c r="C793" t="s">
        <v>48</v>
      </c>
      <c r="D793" t="s">
        <v>50</v>
      </c>
      <c r="E793">
        <v>0</v>
      </c>
    </row>
    <row r="794" spans="1:5" x14ac:dyDescent="0.45">
      <c r="A794" t="s">
        <v>54</v>
      </c>
      <c r="B794" t="s">
        <v>47</v>
      </c>
      <c r="C794" t="s">
        <v>48</v>
      </c>
      <c r="D794" t="s">
        <v>50</v>
      </c>
      <c r="E794">
        <v>0</v>
      </c>
    </row>
    <row r="795" spans="1:5" x14ac:dyDescent="0.45">
      <c r="A795" t="s">
        <v>54</v>
      </c>
      <c r="B795" t="s">
        <v>47</v>
      </c>
      <c r="C795" t="s">
        <v>48</v>
      </c>
      <c r="D795" t="s">
        <v>50</v>
      </c>
      <c r="E795">
        <v>0</v>
      </c>
    </row>
    <row r="796" spans="1:5" x14ac:dyDescent="0.45">
      <c r="A796" t="s">
        <v>54</v>
      </c>
      <c r="B796" t="s">
        <v>47</v>
      </c>
      <c r="C796" t="s">
        <v>48</v>
      </c>
      <c r="D796" t="s">
        <v>50</v>
      </c>
      <c r="E796">
        <v>0</v>
      </c>
    </row>
    <row r="797" spans="1:5" x14ac:dyDescent="0.45">
      <c r="A797" t="s">
        <v>54</v>
      </c>
      <c r="B797" t="s">
        <v>47</v>
      </c>
      <c r="C797" t="s">
        <v>48</v>
      </c>
      <c r="D797" t="s">
        <v>50</v>
      </c>
      <c r="E797">
        <v>0</v>
      </c>
    </row>
    <row r="798" spans="1:5" x14ac:dyDescent="0.45">
      <c r="A798" t="s">
        <v>54</v>
      </c>
      <c r="B798" t="s">
        <v>47</v>
      </c>
      <c r="C798" t="s">
        <v>48</v>
      </c>
      <c r="D798" t="s">
        <v>50</v>
      </c>
      <c r="E798">
        <v>0</v>
      </c>
    </row>
    <row r="799" spans="1:5" x14ac:dyDescent="0.45">
      <c r="A799" t="s">
        <v>54</v>
      </c>
      <c r="B799" t="s">
        <v>47</v>
      </c>
      <c r="C799" t="s">
        <v>48</v>
      </c>
      <c r="D799" t="s">
        <v>50</v>
      </c>
      <c r="E799">
        <v>0</v>
      </c>
    </row>
    <row r="800" spans="1:5" x14ac:dyDescent="0.45">
      <c r="A800" t="s">
        <v>54</v>
      </c>
      <c r="B800" t="s">
        <v>47</v>
      </c>
      <c r="C800" t="s">
        <v>48</v>
      </c>
      <c r="D800" t="s">
        <v>50</v>
      </c>
      <c r="E800">
        <v>0</v>
      </c>
    </row>
    <row r="801" spans="1:5" x14ac:dyDescent="0.45">
      <c r="A801" t="s">
        <v>54</v>
      </c>
      <c r="B801" t="s">
        <v>47</v>
      </c>
      <c r="C801" t="s">
        <v>48</v>
      </c>
      <c r="D801" t="s">
        <v>50</v>
      </c>
      <c r="E801">
        <v>0</v>
      </c>
    </row>
    <row r="802" spans="1:5" x14ac:dyDescent="0.45">
      <c r="A802" t="s">
        <v>54</v>
      </c>
      <c r="B802" t="s">
        <v>47</v>
      </c>
      <c r="C802" t="s">
        <v>48</v>
      </c>
      <c r="D802" t="s">
        <v>50</v>
      </c>
      <c r="E802">
        <v>0</v>
      </c>
    </row>
    <row r="803" spans="1:5" x14ac:dyDescent="0.45">
      <c r="A803" t="s">
        <v>54</v>
      </c>
      <c r="B803" t="s">
        <v>47</v>
      </c>
      <c r="C803" t="s">
        <v>48</v>
      </c>
      <c r="D803" t="s">
        <v>50</v>
      </c>
      <c r="E803">
        <v>0</v>
      </c>
    </row>
    <row r="804" spans="1:5" x14ac:dyDescent="0.45">
      <c r="A804" t="s">
        <v>54</v>
      </c>
      <c r="B804" t="s">
        <v>47</v>
      </c>
      <c r="C804" t="s">
        <v>48</v>
      </c>
      <c r="D804" t="s">
        <v>50</v>
      </c>
      <c r="E804">
        <v>0</v>
      </c>
    </row>
    <row r="805" spans="1:5" x14ac:dyDescent="0.45">
      <c r="A805" t="s">
        <v>54</v>
      </c>
      <c r="B805" t="s">
        <v>47</v>
      </c>
      <c r="C805" t="s">
        <v>48</v>
      </c>
      <c r="D805" t="s">
        <v>50</v>
      </c>
      <c r="E805">
        <v>0</v>
      </c>
    </row>
    <row r="806" spans="1:5" x14ac:dyDescent="0.45">
      <c r="A806" t="s">
        <v>54</v>
      </c>
      <c r="B806" t="s">
        <v>47</v>
      </c>
      <c r="C806" t="s">
        <v>48</v>
      </c>
      <c r="D806" t="s">
        <v>50</v>
      </c>
      <c r="E806">
        <v>0</v>
      </c>
    </row>
    <row r="807" spans="1:5" x14ac:dyDescent="0.45">
      <c r="A807" t="s">
        <v>54</v>
      </c>
      <c r="B807" t="s">
        <v>47</v>
      </c>
      <c r="C807" t="s">
        <v>48</v>
      </c>
      <c r="D807" t="s">
        <v>50</v>
      </c>
      <c r="E807">
        <v>0</v>
      </c>
    </row>
    <row r="808" spans="1:5" x14ac:dyDescent="0.45">
      <c r="A808" t="s">
        <v>54</v>
      </c>
      <c r="B808" t="s">
        <v>47</v>
      </c>
      <c r="C808" t="s">
        <v>48</v>
      </c>
      <c r="D808" t="s">
        <v>50</v>
      </c>
      <c r="E808">
        <v>0</v>
      </c>
    </row>
    <row r="809" spans="1:5" x14ac:dyDescent="0.45">
      <c r="A809" t="s">
        <v>54</v>
      </c>
      <c r="B809" t="s">
        <v>47</v>
      </c>
      <c r="C809" t="s">
        <v>48</v>
      </c>
      <c r="D809" t="s">
        <v>50</v>
      </c>
      <c r="E809">
        <v>0</v>
      </c>
    </row>
    <row r="810" spans="1:5" x14ac:dyDescent="0.45">
      <c r="A810" t="s">
        <v>54</v>
      </c>
      <c r="B810" t="s">
        <v>47</v>
      </c>
      <c r="C810" t="s">
        <v>48</v>
      </c>
      <c r="D810" t="s">
        <v>50</v>
      </c>
      <c r="E810">
        <v>0</v>
      </c>
    </row>
    <row r="811" spans="1:5" x14ac:dyDescent="0.45">
      <c r="A811" t="s">
        <v>54</v>
      </c>
      <c r="B811" t="s">
        <v>47</v>
      </c>
      <c r="C811" t="s">
        <v>48</v>
      </c>
      <c r="D811" t="s">
        <v>50</v>
      </c>
      <c r="E811">
        <v>0</v>
      </c>
    </row>
    <row r="812" spans="1:5" x14ac:dyDescent="0.45">
      <c r="A812" t="s">
        <v>54</v>
      </c>
      <c r="B812" t="s">
        <v>47</v>
      </c>
      <c r="C812" t="s">
        <v>48</v>
      </c>
      <c r="D812" t="s">
        <v>50</v>
      </c>
      <c r="E812">
        <v>0</v>
      </c>
    </row>
    <row r="813" spans="1:5" x14ac:dyDescent="0.45">
      <c r="A813" t="s">
        <v>54</v>
      </c>
      <c r="B813" t="s">
        <v>47</v>
      </c>
      <c r="C813" t="s">
        <v>48</v>
      </c>
      <c r="D813" t="s">
        <v>50</v>
      </c>
      <c r="E813">
        <v>0</v>
      </c>
    </row>
    <row r="814" spans="1:5" x14ac:dyDescent="0.45">
      <c r="A814" t="s">
        <v>54</v>
      </c>
      <c r="B814" t="s">
        <v>47</v>
      </c>
      <c r="C814" t="s">
        <v>48</v>
      </c>
      <c r="D814" t="s">
        <v>50</v>
      </c>
      <c r="E814">
        <v>0</v>
      </c>
    </row>
    <row r="815" spans="1:5" x14ac:dyDescent="0.45">
      <c r="A815" t="s">
        <v>54</v>
      </c>
      <c r="B815" t="s">
        <v>47</v>
      </c>
      <c r="C815" t="s">
        <v>48</v>
      </c>
      <c r="D815" t="s">
        <v>50</v>
      </c>
      <c r="E815">
        <v>0</v>
      </c>
    </row>
    <row r="816" spans="1:5" x14ac:dyDescent="0.45">
      <c r="A816" t="s">
        <v>54</v>
      </c>
      <c r="B816" t="s">
        <v>47</v>
      </c>
      <c r="C816" t="s">
        <v>48</v>
      </c>
      <c r="D816" t="s">
        <v>50</v>
      </c>
      <c r="E816">
        <v>0</v>
      </c>
    </row>
    <row r="817" spans="1:5" x14ac:dyDescent="0.45">
      <c r="A817" t="s">
        <v>54</v>
      </c>
      <c r="B817" t="s">
        <v>47</v>
      </c>
      <c r="C817" t="s">
        <v>48</v>
      </c>
      <c r="D817" t="s">
        <v>50</v>
      </c>
      <c r="E817">
        <v>0</v>
      </c>
    </row>
    <row r="818" spans="1:5" x14ac:dyDescent="0.45">
      <c r="A818" t="s">
        <v>54</v>
      </c>
      <c r="B818" t="s">
        <v>47</v>
      </c>
      <c r="C818" t="s">
        <v>48</v>
      </c>
      <c r="D818" t="s">
        <v>50</v>
      </c>
      <c r="E818">
        <v>0</v>
      </c>
    </row>
    <row r="819" spans="1:5" x14ac:dyDescent="0.45">
      <c r="A819" t="s">
        <v>54</v>
      </c>
      <c r="B819" t="s">
        <v>47</v>
      </c>
      <c r="C819" t="s">
        <v>48</v>
      </c>
      <c r="D819" t="s">
        <v>50</v>
      </c>
      <c r="E819">
        <v>0</v>
      </c>
    </row>
    <row r="820" spans="1:5" x14ac:dyDescent="0.45">
      <c r="A820" t="s">
        <v>54</v>
      </c>
      <c r="B820" t="s">
        <v>47</v>
      </c>
      <c r="C820" t="s">
        <v>48</v>
      </c>
      <c r="D820" t="s">
        <v>50</v>
      </c>
      <c r="E820">
        <v>0</v>
      </c>
    </row>
    <row r="821" spans="1:5" x14ac:dyDescent="0.45">
      <c r="A821" t="s">
        <v>54</v>
      </c>
      <c r="B821" t="s">
        <v>47</v>
      </c>
      <c r="C821" t="s">
        <v>48</v>
      </c>
      <c r="D821" t="s">
        <v>50</v>
      </c>
      <c r="E821">
        <v>0</v>
      </c>
    </row>
    <row r="822" spans="1:5" x14ac:dyDescent="0.45">
      <c r="A822" t="s">
        <v>54</v>
      </c>
      <c r="B822" t="s">
        <v>47</v>
      </c>
      <c r="C822" t="s">
        <v>48</v>
      </c>
      <c r="D822" t="s">
        <v>50</v>
      </c>
      <c r="E822">
        <v>0</v>
      </c>
    </row>
    <row r="823" spans="1:5" x14ac:dyDescent="0.45">
      <c r="A823" t="s">
        <v>54</v>
      </c>
      <c r="B823" t="s">
        <v>47</v>
      </c>
      <c r="C823" t="s">
        <v>48</v>
      </c>
      <c r="D823" t="s">
        <v>50</v>
      </c>
      <c r="E823">
        <v>0</v>
      </c>
    </row>
    <row r="824" spans="1:5" x14ac:dyDescent="0.45">
      <c r="A824" t="s">
        <v>54</v>
      </c>
      <c r="B824" t="s">
        <v>47</v>
      </c>
      <c r="C824" t="s">
        <v>48</v>
      </c>
      <c r="D824" t="s">
        <v>50</v>
      </c>
      <c r="E824">
        <v>0</v>
      </c>
    </row>
    <row r="825" spans="1:5" x14ac:dyDescent="0.45">
      <c r="A825" t="s">
        <v>54</v>
      </c>
      <c r="B825" t="s">
        <v>47</v>
      </c>
      <c r="C825" t="s">
        <v>48</v>
      </c>
      <c r="D825" t="s">
        <v>50</v>
      </c>
      <c r="E825">
        <v>0</v>
      </c>
    </row>
    <row r="826" spans="1:5" x14ac:dyDescent="0.45">
      <c r="A826" t="s">
        <v>54</v>
      </c>
      <c r="B826" t="s">
        <v>47</v>
      </c>
      <c r="C826" t="s">
        <v>48</v>
      </c>
      <c r="D826" t="s">
        <v>50</v>
      </c>
      <c r="E826">
        <v>0</v>
      </c>
    </row>
    <row r="827" spans="1:5" x14ac:dyDescent="0.45">
      <c r="A827" t="s">
        <v>54</v>
      </c>
      <c r="B827" t="s">
        <v>47</v>
      </c>
      <c r="C827" t="s">
        <v>48</v>
      </c>
      <c r="D827" t="s">
        <v>50</v>
      </c>
      <c r="E827">
        <v>0</v>
      </c>
    </row>
    <row r="828" spans="1:5" x14ac:dyDescent="0.45">
      <c r="A828" t="s">
        <v>54</v>
      </c>
      <c r="B828" t="s">
        <v>47</v>
      </c>
      <c r="C828" t="s">
        <v>48</v>
      </c>
      <c r="D828" t="s">
        <v>50</v>
      </c>
      <c r="E828">
        <v>0</v>
      </c>
    </row>
    <row r="829" spans="1:5" x14ac:dyDescent="0.45">
      <c r="A829" t="s">
        <v>54</v>
      </c>
      <c r="B829" t="s">
        <v>47</v>
      </c>
      <c r="C829" t="s">
        <v>48</v>
      </c>
      <c r="D829" t="s">
        <v>50</v>
      </c>
      <c r="E829">
        <v>0</v>
      </c>
    </row>
    <row r="830" spans="1:5" x14ac:dyDescent="0.45">
      <c r="A830" t="s">
        <v>54</v>
      </c>
      <c r="B830" t="s">
        <v>47</v>
      </c>
      <c r="C830" t="s">
        <v>48</v>
      </c>
      <c r="D830" t="s">
        <v>50</v>
      </c>
      <c r="E830">
        <v>0</v>
      </c>
    </row>
    <row r="831" spans="1:5" x14ac:dyDescent="0.45">
      <c r="A831" t="s">
        <v>54</v>
      </c>
      <c r="B831" t="s">
        <v>47</v>
      </c>
      <c r="C831" t="s">
        <v>48</v>
      </c>
      <c r="D831" t="s">
        <v>50</v>
      </c>
      <c r="E831">
        <v>0</v>
      </c>
    </row>
    <row r="832" spans="1:5" x14ac:dyDescent="0.45">
      <c r="A832" t="s">
        <v>54</v>
      </c>
      <c r="B832" t="s">
        <v>47</v>
      </c>
      <c r="C832" t="s">
        <v>48</v>
      </c>
      <c r="D832" t="s">
        <v>50</v>
      </c>
      <c r="E832">
        <v>0</v>
      </c>
    </row>
    <row r="833" spans="1:5" x14ac:dyDescent="0.45">
      <c r="A833" t="s">
        <v>54</v>
      </c>
      <c r="B833" t="s">
        <v>47</v>
      </c>
      <c r="C833" t="s">
        <v>48</v>
      </c>
      <c r="D833" t="s">
        <v>50</v>
      </c>
      <c r="E833">
        <v>0</v>
      </c>
    </row>
    <row r="834" spans="1:5" x14ac:dyDescent="0.45">
      <c r="A834" t="s">
        <v>54</v>
      </c>
      <c r="B834" t="s">
        <v>47</v>
      </c>
      <c r="C834" t="s">
        <v>48</v>
      </c>
      <c r="D834" t="s">
        <v>50</v>
      </c>
      <c r="E834">
        <v>0</v>
      </c>
    </row>
    <row r="835" spans="1:5" x14ac:dyDescent="0.45">
      <c r="A835" t="s">
        <v>54</v>
      </c>
      <c r="B835" t="s">
        <v>47</v>
      </c>
      <c r="C835" t="s">
        <v>48</v>
      </c>
      <c r="D835" t="s">
        <v>50</v>
      </c>
      <c r="E835">
        <v>0</v>
      </c>
    </row>
    <row r="836" spans="1:5" x14ac:dyDescent="0.45">
      <c r="A836" t="s">
        <v>54</v>
      </c>
      <c r="B836" t="s">
        <v>47</v>
      </c>
      <c r="C836" t="s">
        <v>48</v>
      </c>
      <c r="D836" t="s">
        <v>50</v>
      </c>
      <c r="E836">
        <v>0</v>
      </c>
    </row>
    <row r="837" spans="1:5" x14ac:dyDescent="0.45">
      <c r="A837" t="s">
        <v>54</v>
      </c>
      <c r="B837" t="s">
        <v>47</v>
      </c>
      <c r="C837" t="s">
        <v>48</v>
      </c>
      <c r="D837" t="s">
        <v>50</v>
      </c>
      <c r="E837">
        <v>0</v>
      </c>
    </row>
    <row r="838" spans="1:5" x14ac:dyDescent="0.45">
      <c r="A838" t="s">
        <v>54</v>
      </c>
      <c r="B838" t="s">
        <v>47</v>
      </c>
      <c r="C838" t="s">
        <v>48</v>
      </c>
      <c r="D838" t="s">
        <v>50</v>
      </c>
      <c r="E838">
        <v>0</v>
      </c>
    </row>
    <row r="839" spans="1:5" x14ac:dyDescent="0.45">
      <c r="A839" t="s">
        <v>54</v>
      </c>
      <c r="B839" t="s">
        <v>47</v>
      </c>
      <c r="C839" t="s">
        <v>48</v>
      </c>
      <c r="D839" t="s">
        <v>50</v>
      </c>
      <c r="E839">
        <v>0</v>
      </c>
    </row>
    <row r="840" spans="1:5" x14ac:dyDescent="0.45">
      <c r="A840" t="s">
        <v>54</v>
      </c>
      <c r="B840" t="s">
        <v>47</v>
      </c>
      <c r="C840" t="s">
        <v>48</v>
      </c>
      <c r="D840" t="s">
        <v>50</v>
      </c>
      <c r="E840">
        <v>0</v>
      </c>
    </row>
    <row r="841" spans="1:5" x14ac:dyDescent="0.45">
      <c r="A841" t="s">
        <v>54</v>
      </c>
      <c r="B841" t="s">
        <v>47</v>
      </c>
      <c r="C841" t="s">
        <v>48</v>
      </c>
      <c r="D841" t="s">
        <v>50</v>
      </c>
      <c r="E841">
        <v>0</v>
      </c>
    </row>
    <row r="842" spans="1:5" x14ac:dyDescent="0.45">
      <c r="A842" t="s">
        <v>54</v>
      </c>
      <c r="B842" t="s">
        <v>47</v>
      </c>
      <c r="C842" t="s">
        <v>48</v>
      </c>
      <c r="D842" t="s">
        <v>50</v>
      </c>
      <c r="E842">
        <v>0</v>
      </c>
    </row>
    <row r="843" spans="1:5" x14ac:dyDescent="0.45">
      <c r="A843" t="s">
        <v>54</v>
      </c>
      <c r="B843" t="s">
        <v>47</v>
      </c>
      <c r="C843" t="s">
        <v>48</v>
      </c>
      <c r="D843" t="s">
        <v>50</v>
      </c>
      <c r="E843">
        <v>0</v>
      </c>
    </row>
    <row r="844" spans="1:5" x14ac:dyDescent="0.45">
      <c r="A844" t="s">
        <v>54</v>
      </c>
      <c r="B844" t="s">
        <v>47</v>
      </c>
      <c r="C844" t="s">
        <v>48</v>
      </c>
      <c r="D844" t="s">
        <v>50</v>
      </c>
      <c r="E844">
        <v>0</v>
      </c>
    </row>
    <row r="845" spans="1:5" x14ac:dyDescent="0.45">
      <c r="A845" t="s">
        <v>54</v>
      </c>
      <c r="B845" t="s">
        <v>47</v>
      </c>
      <c r="C845" t="s">
        <v>48</v>
      </c>
      <c r="D845" t="s">
        <v>50</v>
      </c>
      <c r="E845">
        <v>0</v>
      </c>
    </row>
    <row r="846" spans="1:5" x14ac:dyDescent="0.45">
      <c r="A846" t="s">
        <v>54</v>
      </c>
      <c r="B846" t="s">
        <v>47</v>
      </c>
      <c r="C846" t="s">
        <v>48</v>
      </c>
      <c r="D846" t="s">
        <v>50</v>
      </c>
      <c r="E846">
        <v>0</v>
      </c>
    </row>
    <row r="847" spans="1:5" x14ac:dyDescent="0.45">
      <c r="A847" t="s">
        <v>54</v>
      </c>
      <c r="B847" t="s">
        <v>47</v>
      </c>
      <c r="C847" t="s">
        <v>48</v>
      </c>
      <c r="D847" t="s">
        <v>50</v>
      </c>
      <c r="E847">
        <v>0</v>
      </c>
    </row>
    <row r="848" spans="1:5" x14ac:dyDescent="0.45">
      <c r="A848" t="s">
        <v>54</v>
      </c>
      <c r="B848" t="s">
        <v>47</v>
      </c>
      <c r="C848" t="s">
        <v>48</v>
      </c>
      <c r="D848" t="s">
        <v>50</v>
      </c>
      <c r="E848">
        <v>0</v>
      </c>
    </row>
    <row r="849" spans="1:5" x14ac:dyDescent="0.45">
      <c r="A849" t="s">
        <v>54</v>
      </c>
      <c r="B849" t="s">
        <v>47</v>
      </c>
      <c r="C849" t="s">
        <v>48</v>
      </c>
      <c r="D849" t="s">
        <v>50</v>
      </c>
      <c r="E849">
        <v>0</v>
      </c>
    </row>
    <row r="850" spans="1:5" x14ac:dyDescent="0.45">
      <c r="A850" t="s">
        <v>54</v>
      </c>
      <c r="B850" t="s">
        <v>47</v>
      </c>
      <c r="C850" t="s">
        <v>48</v>
      </c>
      <c r="D850" t="s">
        <v>50</v>
      </c>
      <c r="E850">
        <v>0</v>
      </c>
    </row>
    <row r="851" spans="1:5" x14ac:dyDescent="0.45">
      <c r="A851" t="s">
        <v>54</v>
      </c>
      <c r="B851" t="s">
        <v>47</v>
      </c>
      <c r="C851" t="s">
        <v>48</v>
      </c>
      <c r="D851" t="s">
        <v>50</v>
      </c>
      <c r="E851">
        <v>0</v>
      </c>
    </row>
    <row r="852" spans="1:5" x14ac:dyDescent="0.45">
      <c r="A852" t="s">
        <v>54</v>
      </c>
      <c r="B852" t="s">
        <v>47</v>
      </c>
      <c r="C852" t="s">
        <v>48</v>
      </c>
      <c r="D852" t="s">
        <v>50</v>
      </c>
      <c r="E852">
        <v>0</v>
      </c>
    </row>
    <row r="853" spans="1:5" x14ac:dyDescent="0.45">
      <c r="A853" t="s">
        <v>54</v>
      </c>
      <c r="B853" t="s">
        <v>47</v>
      </c>
      <c r="C853" t="s">
        <v>48</v>
      </c>
      <c r="D853" t="s">
        <v>50</v>
      </c>
      <c r="E853">
        <v>0</v>
      </c>
    </row>
    <row r="854" spans="1:5" x14ac:dyDescent="0.45">
      <c r="A854" t="s">
        <v>54</v>
      </c>
      <c r="B854" t="s">
        <v>47</v>
      </c>
      <c r="C854" t="s">
        <v>48</v>
      </c>
      <c r="D854" t="s">
        <v>50</v>
      </c>
      <c r="E854">
        <v>0</v>
      </c>
    </row>
    <row r="855" spans="1:5" x14ac:dyDescent="0.45">
      <c r="A855" t="s">
        <v>54</v>
      </c>
      <c r="B855" t="s">
        <v>47</v>
      </c>
      <c r="C855" t="s">
        <v>48</v>
      </c>
      <c r="D855" t="s">
        <v>50</v>
      </c>
      <c r="E855">
        <v>0</v>
      </c>
    </row>
    <row r="856" spans="1:5" x14ac:dyDescent="0.45">
      <c r="A856" t="s">
        <v>54</v>
      </c>
      <c r="B856" t="s">
        <v>47</v>
      </c>
      <c r="C856" t="s">
        <v>48</v>
      </c>
      <c r="D856" t="s">
        <v>50</v>
      </c>
      <c r="E856">
        <v>0</v>
      </c>
    </row>
    <row r="857" spans="1:5" x14ac:dyDescent="0.45">
      <c r="A857" t="s">
        <v>54</v>
      </c>
      <c r="B857" t="s">
        <v>47</v>
      </c>
      <c r="C857" t="s">
        <v>48</v>
      </c>
      <c r="D857" t="s">
        <v>50</v>
      </c>
      <c r="E857">
        <v>0</v>
      </c>
    </row>
    <row r="858" spans="1:5" x14ac:dyDescent="0.45">
      <c r="A858" t="s">
        <v>54</v>
      </c>
      <c r="B858" t="s">
        <v>47</v>
      </c>
      <c r="C858" t="s">
        <v>48</v>
      </c>
      <c r="D858" t="s">
        <v>50</v>
      </c>
      <c r="E858">
        <v>0</v>
      </c>
    </row>
    <row r="859" spans="1:5" x14ac:dyDescent="0.45">
      <c r="A859" t="s">
        <v>54</v>
      </c>
      <c r="B859" t="s">
        <v>47</v>
      </c>
      <c r="C859" t="s">
        <v>48</v>
      </c>
      <c r="D859" t="s">
        <v>50</v>
      </c>
      <c r="E859">
        <v>0</v>
      </c>
    </row>
    <row r="860" spans="1:5" x14ac:dyDescent="0.45">
      <c r="A860" t="s">
        <v>54</v>
      </c>
      <c r="B860" t="s">
        <v>47</v>
      </c>
      <c r="C860" t="s">
        <v>48</v>
      </c>
      <c r="D860" t="s">
        <v>50</v>
      </c>
      <c r="E860">
        <v>0</v>
      </c>
    </row>
    <row r="861" spans="1:5" x14ac:dyDescent="0.45">
      <c r="A861" t="s">
        <v>54</v>
      </c>
      <c r="B861" t="s">
        <v>47</v>
      </c>
      <c r="C861" t="s">
        <v>48</v>
      </c>
      <c r="D861" t="s">
        <v>50</v>
      </c>
      <c r="E861">
        <v>0</v>
      </c>
    </row>
    <row r="862" spans="1:5" x14ac:dyDescent="0.45">
      <c r="A862" t="s">
        <v>54</v>
      </c>
      <c r="B862" t="s">
        <v>47</v>
      </c>
      <c r="C862" t="s">
        <v>48</v>
      </c>
      <c r="D862" t="s">
        <v>50</v>
      </c>
      <c r="E862">
        <v>0</v>
      </c>
    </row>
    <row r="863" spans="1:5" x14ac:dyDescent="0.45">
      <c r="A863" t="s">
        <v>54</v>
      </c>
      <c r="B863" t="s">
        <v>47</v>
      </c>
      <c r="C863" t="s">
        <v>48</v>
      </c>
      <c r="D863" t="s">
        <v>50</v>
      </c>
      <c r="E863">
        <v>0</v>
      </c>
    </row>
    <row r="864" spans="1:5" x14ac:dyDescent="0.45">
      <c r="A864" t="s">
        <v>54</v>
      </c>
      <c r="B864" t="s">
        <v>47</v>
      </c>
      <c r="C864" t="s">
        <v>48</v>
      </c>
      <c r="D864" t="s">
        <v>50</v>
      </c>
      <c r="E864">
        <v>0</v>
      </c>
    </row>
    <row r="865" spans="1:5" x14ac:dyDescent="0.45">
      <c r="A865" t="s">
        <v>54</v>
      </c>
      <c r="B865" t="s">
        <v>47</v>
      </c>
      <c r="C865" t="s">
        <v>48</v>
      </c>
      <c r="D865" t="s">
        <v>50</v>
      </c>
      <c r="E865">
        <v>0</v>
      </c>
    </row>
    <row r="866" spans="1:5" x14ac:dyDescent="0.45">
      <c r="A866" t="s">
        <v>54</v>
      </c>
      <c r="B866" t="s">
        <v>47</v>
      </c>
      <c r="C866" t="s">
        <v>48</v>
      </c>
      <c r="D866" t="s">
        <v>50</v>
      </c>
      <c r="E866">
        <v>0</v>
      </c>
    </row>
    <row r="867" spans="1:5" x14ac:dyDescent="0.45">
      <c r="A867" t="s">
        <v>54</v>
      </c>
      <c r="B867" t="s">
        <v>47</v>
      </c>
      <c r="C867" t="s">
        <v>48</v>
      </c>
      <c r="D867" t="s">
        <v>50</v>
      </c>
      <c r="E867">
        <v>0</v>
      </c>
    </row>
    <row r="868" spans="1:5" x14ac:dyDescent="0.45">
      <c r="A868" t="s">
        <v>54</v>
      </c>
      <c r="B868" t="s">
        <v>47</v>
      </c>
      <c r="C868" t="s">
        <v>48</v>
      </c>
      <c r="D868" t="s">
        <v>50</v>
      </c>
      <c r="E868">
        <v>0</v>
      </c>
    </row>
    <row r="869" spans="1:5" x14ac:dyDescent="0.45">
      <c r="A869" t="s">
        <v>54</v>
      </c>
      <c r="B869" t="s">
        <v>47</v>
      </c>
      <c r="C869" t="s">
        <v>48</v>
      </c>
      <c r="D869" t="s">
        <v>50</v>
      </c>
      <c r="E869">
        <v>0</v>
      </c>
    </row>
    <row r="870" spans="1:5" x14ac:dyDescent="0.45">
      <c r="A870" t="s">
        <v>54</v>
      </c>
      <c r="B870" t="s">
        <v>47</v>
      </c>
      <c r="C870" t="s">
        <v>48</v>
      </c>
      <c r="D870" t="s">
        <v>50</v>
      </c>
      <c r="E870">
        <v>0</v>
      </c>
    </row>
    <row r="871" spans="1:5" x14ac:dyDescent="0.45">
      <c r="A871" t="s">
        <v>54</v>
      </c>
      <c r="B871" t="s">
        <v>47</v>
      </c>
      <c r="C871" t="s">
        <v>48</v>
      </c>
      <c r="D871" t="s">
        <v>50</v>
      </c>
      <c r="E871">
        <v>0</v>
      </c>
    </row>
    <row r="872" spans="1:5" x14ac:dyDescent="0.45">
      <c r="A872" t="s">
        <v>54</v>
      </c>
      <c r="B872" t="s">
        <v>47</v>
      </c>
      <c r="C872" t="s">
        <v>48</v>
      </c>
      <c r="D872" t="s">
        <v>50</v>
      </c>
      <c r="E872">
        <v>0</v>
      </c>
    </row>
    <row r="873" spans="1:5" x14ac:dyDescent="0.45">
      <c r="A873" t="s">
        <v>54</v>
      </c>
      <c r="B873" t="s">
        <v>47</v>
      </c>
      <c r="C873" t="s">
        <v>48</v>
      </c>
      <c r="D873" t="s">
        <v>50</v>
      </c>
      <c r="E873">
        <v>0</v>
      </c>
    </row>
    <row r="874" spans="1:5" x14ac:dyDescent="0.45">
      <c r="A874" t="s">
        <v>54</v>
      </c>
      <c r="B874" t="s">
        <v>47</v>
      </c>
      <c r="C874" t="s">
        <v>48</v>
      </c>
      <c r="D874" t="s">
        <v>50</v>
      </c>
      <c r="E874">
        <v>0</v>
      </c>
    </row>
    <row r="875" spans="1:5" x14ac:dyDescent="0.45">
      <c r="A875" t="s">
        <v>54</v>
      </c>
      <c r="B875" t="s">
        <v>47</v>
      </c>
      <c r="C875" t="s">
        <v>48</v>
      </c>
      <c r="D875" t="s">
        <v>50</v>
      </c>
      <c r="E875">
        <v>0</v>
      </c>
    </row>
    <row r="876" spans="1:5" x14ac:dyDescent="0.45">
      <c r="A876" t="s">
        <v>54</v>
      </c>
      <c r="B876" t="s">
        <v>47</v>
      </c>
      <c r="C876" t="s">
        <v>48</v>
      </c>
      <c r="D876" t="s">
        <v>50</v>
      </c>
      <c r="E876">
        <v>0</v>
      </c>
    </row>
    <row r="877" spans="1:5" x14ac:dyDescent="0.45">
      <c r="A877" t="s">
        <v>54</v>
      </c>
      <c r="B877" t="s">
        <v>47</v>
      </c>
      <c r="C877" t="s">
        <v>48</v>
      </c>
      <c r="D877" t="s">
        <v>50</v>
      </c>
      <c r="E877">
        <v>0</v>
      </c>
    </row>
    <row r="878" spans="1:5" x14ac:dyDescent="0.45">
      <c r="A878" t="s">
        <v>54</v>
      </c>
      <c r="B878" t="s">
        <v>47</v>
      </c>
      <c r="C878" t="s">
        <v>48</v>
      </c>
      <c r="D878" t="s">
        <v>50</v>
      </c>
      <c r="E878">
        <v>0</v>
      </c>
    </row>
    <row r="879" spans="1:5" x14ac:dyDescent="0.45">
      <c r="A879" t="s">
        <v>54</v>
      </c>
      <c r="B879" t="s">
        <v>47</v>
      </c>
      <c r="C879" t="s">
        <v>48</v>
      </c>
      <c r="D879" t="s">
        <v>50</v>
      </c>
      <c r="E879">
        <v>0</v>
      </c>
    </row>
    <row r="880" spans="1:5" x14ac:dyDescent="0.45">
      <c r="A880" t="s">
        <v>54</v>
      </c>
      <c r="B880" t="s">
        <v>47</v>
      </c>
      <c r="C880" t="s">
        <v>48</v>
      </c>
      <c r="D880" t="s">
        <v>50</v>
      </c>
      <c r="E880">
        <v>0</v>
      </c>
    </row>
    <row r="881" spans="1:5" x14ac:dyDescent="0.45">
      <c r="A881" t="s">
        <v>54</v>
      </c>
      <c r="B881" t="s">
        <v>47</v>
      </c>
      <c r="C881" t="s">
        <v>48</v>
      </c>
      <c r="D881" t="s">
        <v>50</v>
      </c>
      <c r="E881">
        <v>0</v>
      </c>
    </row>
    <row r="882" spans="1:5" x14ac:dyDescent="0.45">
      <c r="A882" t="s">
        <v>54</v>
      </c>
      <c r="B882" t="s">
        <v>47</v>
      </c>
      <c r="C882" t="s">
        <v>48</v>
      </c>
      <c r="D882" t="s">
        <v>50</v>
      </c>
      <c r="E882">
        <v>0</v>
      </c>
    </row>
    <row r="883" spans="1:5" x14ac:dyDescent="0.45">
      <c r="A883" t="s">
        <v>54</v>
      </c>
      <c r="B883" t="s">
        <v>47</v>
      </c>
      <c r="C883" t="s">
        <v>48</v>
      </c>
      <c r="D883" t="s">
        <v>50</v>
      </c>
      <c r="E883">
        <v>0</v>
      </c>
    </row>
    <row r="884" spans="1:5" x14ac:dyDescent="0.45">
      <c r="A884" t="s">
        <v>54</v>
      </c>
      <c r="B884" t="s">
        <v>47</v>
      </c>
      <c r="C884" t="s">
        <v>48</v>
      </c>
      <c r="D884" t="s">
        <v>50</v>
      </c>
      <c r="E884">
        <v>0</v>
      </c>
    </row>
    <row r="885" spans="1:5" x14ac:dyDescent="0.45">
      <c r="A885" t="s">
        <v>54</v>
      </c>
      <c r="B885" t="s">
        <v>47</v>
      </c>
      <c r="C885" t="s">
        <v>48</v>
      </c>
      <c r="D885" t="s">
        <v>50</v>
      </c>
      <c r="E885">
        <v>0</v>
      </c>
    </row>
    <row r="886" spans="1:5" x14ac:dyDescent="0.45">
      <c r="A886" t="s">
        <v>54</v>
      </c>
      <c r="B886" t="s">
        <v>47</v>
      </c>
      <c r="C886" t="s">
        <v>48</v>
      </c>
      <c r="D886" t="s">
        <v>50</v>
      </c>
      <c r="E886">
        <v>0</v>
      </c>
    </row>
    <row r="887" spans="1:5" x14ac:dyDescent="0.45">
      <c r="A887" t="s">
        <v>54</v>
      </c>
      <c r="B887" t="s">
        <v>47</v>
      </c>
      <c r="C887" t="s">
        <v>48</v>
      </c>
      <c r="D887" t="s">
        <v>50</v>
      </c>
      <c r="E887">
        <v>0</v>
      </c>
    </row>
    <row r="888" spans="1:5" x14ac:dyDescent="0.45">
      <c r="A888" t="s">
        <v>54</v>
      </c>
      <c r="B888" t="s">
        <v>47</v>
      </c>
      <c r="C888" t="s">
        <v>48</v>
      </c>
      <c r="D888" t="s">
        <v>50</v>
      </c>
      <c r="E888">
        <v>0</v>
      </c>
    </row>
    <row r="889" spans="1:5" x14ac:dyDescent="0.45">
      <c r="A889" t="s">
        <v>54</v>
      </c>
      <c r="B889" t="s">
        <v>47</v>
      </c>
      <c r="C889" t="s">
        <v>48</v>
      </c>
      <c r="D889" t="s">
        <v>50</v>
      </c>
      <c r="E889">
        <v>0</v>
      </c>
    </row>
    <row r="890" spans="1:5" x14ac:dyDescent="0.45">
      <c r="A890" t="s">
        <v>54</v>
      </c>
      <c r="B890" t="s">
        <v>47</v>
      </c>
      <c r="C890" t="s">
        <v>48</v>
      </c>
      <c r="D890" t="s">
        <v>50</v>
      </c>
      <c r="E890">
        <v>0</v>
      </c>
    </row>
    <row r="891" spans="1:5" x14ac:dyDescent="0.45">
      <c r="A891" t="s">
        <v>54</v>
      </c>
      <c r="B891" t="s">
        <v>47</v>
      </c>
      <c r="C891" t="s">
        <v>48</v>
      </c>
      <c r="D891" t="s">
        <v>50</v>
      </c>
      <c r="E891">
        <v>0</v>
      </c>
    </row>
    <row r="892" spans="1:5" x14ac:dyDescent="0.45">
      <c r="A892" t="s">
        <v>54</v>
      </c>
      <c r="B892" t="s">
        <v>47</v>
      </c>
      <c r="C892" t="s">
        <v>48</v>
      </c>
      <c r="D892" t="s">
        <v>50</v>
      </c>
      <c r="E892">
        <v>0</v>
      </c>
    </row>
    <row r="893" spans="1:5" x14ac:dyDescent="0.45">
      <c r="A893" t="s">
        <v>54</v>
      </c>
      <c r="B893" t="s">
        <v>47</v>
      </c>
      <c r="C893" t="s">
        <v>48</v>
      </c>
      <c r="D893" t="s">
        <v>50</v>
      </c>
      <c r="E893">
        <v>0</v>
      </c>
    </row>
    <row r="894" spans="1:5" x14ac:dyDescent="0.45">
      <c r="A894" t="s">
        <v>54</v>
      </c>
      <c r="B894" t="s">
        <v>47</v>
      </c>
      <c r="C894" t="s">
        <v>48</v>
      </c>
      <c r="D894" t="s">
        <v>50</v>
      </c>
      <c r="E894">
        <v>0</v>
      </c>
    </row>
    <row r="895" spans="1:5" x14ac:dyDescent="0.45">
      <c r="A895" t="s">
        <v>54</v>
      </c>
      <c r="B895" t="s">
        <v>47</v>
      </c>
      <c r="C895" t="s">
        <v>48</v>
      </c>
      <c r="D895" t="s">
        <v>50</v>
      </c>
      <c r="E895">
        <v>0</v>
      </c>
    </row>
    <row r="896" spans="1:5" x14ac:dyDescent="0.45">
      <c r="A896" t="s">
        <v>54</v>
      </c>
      <c r="B896" t="s">
        <v>47</v>
      </c>
      <c r="C896" t="s">
        <v>48</v>
      </c>
      <c r="D896" t="s">
        <v>50</v>
      </c>
      <c r="E896">
        <v>0</v>
      </c>
    </row>
    <row r="897" spans="1:5" x14ac:dyDescent="0.45">
      <c r="A897" t="s">
        <v>54</v>
      </c>
      <c r="B897" t="s">
        <v>47</v>
      </c>
      <c r="C897" t="s">
        <v>48</v>
      </c>
      <c r="D897" t="s">
        <v>50</v>
      </c>
      <c r="E897">
        <v>0</v>
      </c>
    </row>
    <row r="898" spans="1:5" x14ac:dyDescent="0.45">
      <c r="A898" t="s">
        <v>54</v>
      </c>
      <c r="B898" t="s">
        <v>47</v>
      </c>
      <c r="C898" t="s">
        <v>48</v>
      </c>
      <c r="D898" t="s">
        <v>50</v>
      </c>
      <c r="E898">
        <v>0</v>
      </c>
    </row>
    <row r="899" spans="1:5" x14ac:dyDescent="0.45">
      <c r="A899" t="s">
        <v>54</v>
      </c>
      <c r="B899" t="s">
        <v>47</v>
      </c>
      <c r="C899" t="s">
        <v>48</v>
      </c>
      <c r="D899" t="s">
        <v>50</v>
      </c>
      <c r="E899">
        <v>0</v>
      </c>
    </row>
    <row r="900" spans="1:5" x14ac:dyDescent="0.45">
      <c r="A900" t="s">
        <v>54</v>
      </c>
      <c r="B900" t="s">
        <v>47</v>
      </c>
      <c r="C900" t="s">
        <v>48</v>
      </c>
      <c r="D900" t="s">
        <v>50</v>
      </c>
      <c r="E900">
        <v>0</v>
      </c>
    </row>
    <row r="901" spans="1:5" x14ac:dyDescent="0.45">
      <c r="A901" t="s">
        <v>54</v>
      </c>
      <c r="B901" t="s">
        <v>47</v>
      </c>
      <c r="C901" t="s">
        <v>48</v>
      </c>
      <c r="D901" t="s">
        <v>50</v>
      </c>
      <c r="E901">
        <v>0</v>
      </c>
    </row>
    <row r="902" spans="1:5" x14ac:dyDescent="0.45">
      <c r="A902" t="s">
        <v>54</v>
      </c>
      <c r="B902" t="s">
        <v>47</v>
      </c>
      <c r="C902" t="s">
        <v>48</v>
      </c>
      <c r="D902" t="s">
        <v>50</v>
      </c>
      <c r="E902">
        <v>0</v>
      </c>
    </row>
    <row r="903" spans="1:5" x14ac:dyDescent="0.45">
      <c r="A903" t="s">
        <v>54</v>
      </c>
      <c r="B903" t="s">
        <v>47</v>
      </c>
      <c r="C903" t="s">
        <v>48</v>
      </c>
      <c r="D903" t="s">
        <v>50</v>
      </c>
      <c r="E903">
        <v>0</v>
      </c>
    </row>
    <row r="904" spans="1:5" x14ac:dyDescent="0.45">
      <c r="A904" t="s">
        <v>54</v>
      </c>
      <c r="B904" t="s">
        <v>47</v>
      </c>
      <c r="C904" t="s">
        <v>48</v>
      </c>
      <c r="D904" t="s">
        <v>50</v>
      </c>
      <c r="E904">
        <v>0</v>
      </c>
    </row>
    <row r="905" spans="1:5" x14ac:dyDescent="0.45">
      <c r="A905" t="s">
        <v>54</v>
      </c>
      <c r="B905" t="s">
        <v>47</v>
      </c>
      <c r="C905" t="s">
        <v>48</v>
      </c>
      <c r="D905" t="s">
        <v>50</v>
      </c>
      <c r="E905">
        <v>0</v>
      </c>
    </row>
    <row r="906" spans="1:5" x14ac:dyDescent="0.45">
      <c r="A906" t="s">
        <v>54</v>
      </c>
      <c r="B906" t="s">
        <v>47</v>
      </c>
      <c r="C906" t="s">
        <v>48</v>
      </c>
      <c r="D906" t="s">
        <v>50</v>
      </c>
      <c r="E906">
        <v>0</v>
      </c>
    </row>
    <row r="907" spans="1:5" x14ac:dyDescent="0.45">
      <c r="A907" t="s">
        <v>54</v>
      </c>
      <c r="B907" t="s">
        <v>47</v>
      </c>
      <c r="C907" t="s">
        <v>48</v>
      </c>
      <c r="D907" t="s">
        <v>50</v>
      </c>
      <c r="E907">
        <v>0</v>
      </c>
    </row>
    <row r="908" spans="1:5" x14ac:dyDescent="0.45">
      <c r="A908" t="s">
        <v>54</v>
      </c>
      <c r="B908" t="s">
        <v>47</v>
      </c>
      <c r="C908" t="s">
        <v>48</v>
      </c>
      <c r="D908" t="s">
        <v>50</v>
      </c>
      <c r="E908">
        <v>0</v>
      </c>
    </row>
    <row r="909" spans="1:5" x14ac:dyDescent="0.45">
      <c r="A909" t="s">
        <v>54</v>
      </c>
      <c r="B909" t="s">
        <v>47</v>
      </c>
      <c r="C909" t="s">
        <v>48</v>
      </c>
      <c r="D909" t="s">
        <v>50</v>
      </c>
      <c r="E909">
        <v>0</v>
      </c>
    </row>
    <row r="910" spans="1:5" x14ac:dyDescent="0.45">
      <c r="A910" t="s">
        <v>54</v>
      </c>
      <c r="B910" t="s">
        <v>47</v>
      </c>
      <c r="C910" t="s">
        <v>48</v>
      </c>
      <c r="D910" t="s">
        <v>50</v>
      </c>
      <c r="E910">
        <v>0</v>
      </c>
    </row>
    <row r="911" spans="1:5" x14ac:dyDescent="0.45">
      <c r="A911" t="s">
        <v>54</v>
      </c>
      <c r="B911" t="s">
        <v>47</v>
      </c>
      <c r="C911" t="s">
        <v>48</v>
      </c>
      <c r="D911" t="s">
        <v>50</v>
      </c>
      <c r="E911">
        <v>0</v>
      </c>
    </row>
    <row r="912" spans="1:5" x14ac:dyDescent="0.45">
      <c r="A912" t="s">
        <v>54</v>
      </c>
      <c r="B912" t="s">
        <v>47</v>
      </c>
      <c r="C912" t="s">
        <v>48</v>
      </c>
      <c r="D912" t="s">
        <v>50</v>
      </c>
      <c r="E912">
        <v>0</v>
      </c>
    </row>
    <row r="913" spans="1:5" x14ac:dyDescent="0.45">
      <c r="A913" t="s">
        <v>54</v>
      </c>
      <c r="B913" t="s">
        <v>47</v>
      </c>
      <c r="C913" t="s">
        <v>48</v>
      </c>
      <c r="D913" t="s">
        <v>50</v>
      </c>
      <c r="E913">
        <v>0</v>
      </c>
    </row>
    <row r="914" spans="1:5" x14ac:dyDescent="0.45">
      <c r="A914" t="s">
        <v>54</v>
      </c>
      <c r="B914" t="s">
        <v>47</v>
      </c>
      <c r="C914" t="s">
        <v>48</v>
      </c>
      <c r="D914" t="s">
        <v>50</v>
      </c>
      <c r="E914">
        <v>0</v>
      </c>
    </row>
    <row r="915" spans="1:5" x14ac:dyDescent="0.45">
      <c r="A915" t="s">
        <v>54</v>
      </c>
      <c r="B915" t="s">
        <v>47</v>
      </c>
      <c r="C915" t="s">
        <v>48</v>
      </c>
      <c r="D915" t="s">
        <v>50</v>
      </c>
      <c r="E915">
        <v>0</v>
      </c>
    </row>
    <row r="916" spans="1:5" x14ac:dyDescent="0.45">
      <c r="A916" t="s">
        <v>54</v>
      </c>
      <c r="B916" t="s">
        <v>47</v>
      </c>
      <c r="C916" t="s">
        <v>48</v>
      </c>
      <c r="D916" t="s">
        <v>50</v>
      </c>
      <c r="E916">
        <v>0</v>
      </c>
    </row>
    <row r="917" spans="1:5" x14ac:dyDescent="0.45">
      <c r="A917" t="s">
        <v>54</v>
      </c>
      <c r="B917" t="s">
        <v>47</v>
      </c>
      <c r="C917" t="s">
        <v>48</v>
      </c>
      <c r="D917" t="s">
        <v>50</v>
      </c>
      <c r="E917">
        <v>0</v>
      </c>
    </row>
    <row r="918" spans="1:5" x14ac:dyDescent="0.45">
      <c r="A918" t="s">
        <v>54</v>
      </c>
      <c r="B918" t="s">
        <v>47</v>
      </c>
      <c r="C918" t="s">
        <v>48</v>
      </c>
      <c r="D918" t="s">
        <v>50</v>
      </c>
      <c r="E918">
        <v>0</v>
      </c>
    </row>
    <row r="919" spans="1:5" x14ac:dyDescent="0.45">
      <c r="A919" t="s">
        <v>54</v>
      </c>
      <c r="B919" t="s">
        <v>47</v>
      </c>
      <c r="C919" t="s">
        <v>48</v>
      </c>
      <c r="D919" t="s">
        <v>50</v>
      </c>
      <c r="E919">
        <v>0</v>
      </c>
    </row>
    <row r="920" spans="1:5" x14ac:dyDescent="0.45">
      <c r="A920" t="s">
        <v>54</v>
      </c>
      <c r="B920" t="s">
        <v>47</v>
      </c>
      <c r="C920" t="s">
        <v>48</v>
      </c>
      <c r="D920" t="s">
        <v>50</v>
      </c>
      <c r="E920">
        <v>0</v>
      </c>
    </row>
    <row r="921" spans="1:5" x14ac:dyDescent="0.45">
      <c r="A921" t="s">
        <v>54</v>
      </c>
      <c r="B921" t="s">
        <v>47</v>
      </c>
      <c r="C921" t="s">
        <v>48</v>
      </c>
      <c r="D921" t="s">
        <v>50</v>
      </c>
      <c r="E921">
        <v>0</v>
      </c>
    </row>
    <row r="922" spans="1:5" x14ac:dyDescent="0.45">
      <c r="A922" t="s">
        <v>54</v>
      </c>
      <c r="B922" t="s">
        <v>47</v>
      </c>
      <c r="C922" t="s">
        <v>48</v>
      </c>
      <c r="D922" t="s">
        <v>50</v>
      </c>
      <c r="E922">
        <v>0</v>
      </c>
    </row>
    <row r="923" spans="1:5" x14ac:dyDescent="0.45">
      <c r="A923" t="s">
        <v>54</v>
      </c>
      <c r="B923" t="s">
        <v>47</v>
      </c>
      <c r="C923" t="s">
        <v>48</v>
      </c>
      <c r="D923" t="s">
        <v>50</v>
      </c>
      <c r="E923">
        <v>0</v>
      </c>
    </row>
    <row r="924" spans="1:5" x14ac:dyDescent="0.45">
      <c r="A924" t="s">
        <v>54</v>
      </c>
      <c r="B924" t="s">
        <v>47</v>
      </c>
      <c r="C924" t="s">
        <v>48</v>
      </c>
      <c r="D924" t="s">
        <v>50</v>
      </c>
      <c r="E924">
        <v>0</v>
      </c>
    </row>
    <row r="925" spans="1:5" x14ac:dyDescent="0.45">
      <c r="A925" t="s">
        <v>54</v>
      </c>
      <c r="B925" t="s">
        <v>47</v>
      </c>
      <c r="C925" t="s">
        <v>48</v>
      </c>
      <c r="D925" t="s">
        <v>50</v>
      </c>
      <c r="E925">
        <v>0</v>
      </c>
    </row>
    <row r="926" spans="1:5" x14ac:dyDescent="0.45">
      <c r="A926" t="s">
        <v>54</v>
      </c>
      <c r="B926" t="s">
        <v>47</v>
      </c>
      <c r="C926" t="s">
        <v>48</v>
      </c>
      <c r="D926" t="s">
        <v>50</v>
      </c>
      <c r="E926">
        <v>0</v>
      </c>
    </row>
    <row r="927" spans="1:5" x14ac:dyDescent="0.45">
      <c r="A927" t="s">
        <v>54</v>
      </c>
      <c r="B927" t="s">
        <v>47</v>
      </c>
      <c r="C927" t="s">
        <v>48</v>
      </c>
      <c r="D927" t="s">
        <v>50</v>
      </c>
      <c r="E927">
        <v>0</v>
      </c>
    </row>
    <row r="928" spans="1:5" x14ac:dyDescent="0.45">
      <c r="A928" t="s">
        <v>54</v>
      </c>
      <c r="B928" t="s">
        <v>47</v>
      </c>
      <c r="C928" t="s">
        <v>48</v>
      </c>
      <c r="D928" t="s">
        <v>50</v>
      </c>
      <c r="E928">
        <v>0</v>
      </c>
    </row>
    <row r="929" spans="1:5" x14ac:dyDescent="0.45">
      <c r="A929" t="s">
        <v>54</v>
      </c>
      <c r="B929" t="s">
        <v>47</v>
      </c>
      <c r="C929" t="s">
        <v>48</v>
      </c>
      <c r="D929" t="s">
        <v>50</v>
      </c>
      <c r="E929">
        <v>0</v>
      </c>
    </row>
    <row r="930" spans="1:5" x14ac:dyDescent="0.45">
      <c r="A930" t="s">
        <v>54</v>
      </c>
      <c r="B930" t="s">
        <v>47</v>
      </c>
      <c r="C930" t="s">
        <v>48</v>
      </c>
      <c r="D930" t="s">
        <v>50</v>
      </c>
      <c r="E930">
        <v>0</v>
      </c>
    </row>
    <row r="931" spans="1:5" x14ac:dyDescent="0.45">
      <c r="A931" t="s">
        <v>54</v>
      </c>
      <c r="B931" t="s">
        <v>47</v>
      </c>
      <c r="C931" t="s">
        <v>48</v>
      </c>
      <c r="D931" t="s">
        <v>50</v>
      </c>
      <c r="E931">
        <v>0</v>
      </c>
    </row>
    <row r="932" spans="1:5" x14ac:dyDescent="0.45">
      <c r="A932" t="s">
        <v>54</v>
      </c>
      <c r="B932" t="s">
        <v>47</v>
      </c>
      <c r="C932" t="s">
        <v>48</v>
      </c>
      <c r="D932" t="s">
        <v>50</v>
      </c>
      <c r="E932">
        <v>0</v>
      </c>
    </row>
    <row r="933" spans="1:5" x14ac:dyDescent="0.45">
      <c r="A933" t="s">
        <v>54</v>
      </c>
      <c r="B933" t="s">
        <v>47</v>
      </c>
      <c r="C933" t="s">
        <v>48</v>
      </c>
      <c r="D933" t="s">
        <v>50</v>
      </c>
      <c r="E933">
        <v>0</v>
      </c>
    </row>
    <row r="934" spans="1:5" x14ac:dyDescent="0.45">
      <c r="A934" t="s">
        <v>54</v>
      </c>
      <c r="B934" t="s">
        <v>47</v>
      </c>
      <c r="C934" t="s">
        <v>48</v>
      </c>
      <c r="D934" t="s">
        <v>50</v>
      </c>
      <c r="E934">
        <v>0</v>
      </c>
    </row>
    <row r="935" spans="1:5" x14ac:dyDescent="0.45">
      <c r="A935" t="s">
        <v>54</v>
      </c>
      <c r="B935" t="s">
        <v>47</v>
      </c>
      <c r="C935" t="s">
        <v>48</v>
      </c>
      <c r="D935" t="s">
        <v>50</v>
      </c>
      <c r="E935">
        <v>0</v>
      </c>
    </row>
    <row r="936" spans="1:5" x14ac:dyDescent="0.45">
      <c r="A936" t="s">
        <v>54</v>
      </c>
      <c r="B936" t="s">
        <v>47</v>
      </c>
      <c r="C936" t="s">
        <v>48</v>
      </c>
      <c r="D936" t="s">
        <v>50</v>
      </c>
      <c r="E936">
        <v>0</v>
      </c>
    </row>
    <row r="937" spans="1:5" x14ac:dyDescent="0.45">
      <c r="A937" t="s">
        <v>54</v>
      </c>
      <c r="B937" t="s">
        <v>47</v>
      </c>
      <c r="C937" t="s">
        <v>48</v>
      </c>
      <c r="D937" t="s">
        <v>50</v>
      </c>
      <c r="E937">
        <v>0</v>
      </c>
    </row>
    <row r="938" spans="1:5" x14ac:dyDescent="0.45">
      <c r="A938" t="s">
        <v>54</v>
      </c>
      <c r="B938" t="s">
        <v>47</v>
      </c>
      <c r="C938" t="s">
        <v>48</v>
      </c>
      <c r="D938" t="s">
        <v>50</v>
      </c>
      <c r="E938">
        <v>0</v>
      </c>
    </row>
    <row r="939" spans="1:5" x14ac:dyDescent="0.45">
      <c r="A939" t="s">
        <v>54</v>
      </c>
      <c r="B939" t="s">
        <v>47</v>
      </c>
      <c r="C939" t="s">
        <v>48</v>
      </c>
      <c r="D939" t="s">
        <v>50</v>
      </c>
      <c r="E939">
        <v>0</v>
      </c>
    </row>
    <row r="940" spans="1:5" x14ac:dyDescent="0.45">
      <c r="A940" t="s">
        <v>54</v>
      </c>
      <c r="B940" t="s">
        <v>47</v>
      </c>
      <c r="C940" t="s">
        <v>48</v>
      </c>
      <c r="D940" t="s">
        <v>50</v>
      </c>
      <c r="E940">
        <v>0</v>
      </c>
    </row>
    <row r="941" spans="1:5" x14ac:dyDescent="0.45">
      <c r="A941" t="s">
        <v>54</v>
      </c>
      <c r="B941" t="s">
        <v>47</v>
      </c>
      <c r="C941" t="s">
        <v>48</v>
      </c>
      <c r="D941" t="s">
        <v>50</v>
      </c>
      <c r="E941">
        <v>0</v>
      </c>
    </row>
    <row r="942" spans="1:5" x14ac:dyDescent="0.45">
      <c r="A942" t="s">
        <v>54</v>
      </c>
      <c r="B942" t="s">
        <v>47</v>
      </c>
      <c r="C942" t="s">
        <v>48</v>
      </c>
      <c r="D942" t="s">
        <v>50</v>
      </c>
      <c r="E942">
        <v>0</v>
      </c>
    </row>
    <row r="943" spans="1:5" x14ac:dyDescent="0.45">
      <c r="A943" t="s">
        <v>54</v>
      </c>
      <c r="B943" t="s">
        <v>47</v>
      </c>
      <c r="C943" t="s">
        <v>48</v>
      </c>
      <c r="D943" t="s">
        <v>50</v>
      </c>
      <c r="E943">
        <v>0</v>
      </c>
    </row>
    <row r="944" spans="1:5" x14ac:dyDescent="0.45">
      <c r="A944" t="s">
        <v>54</v>
      </c>
      <c r="B944" t="s">
        <v>47</v>
      </c>
      <c r="C944" t="s">
        <v>48</v>
      </c>
      <c r="D944" t="s">
        <v>50</v>
      </c>
      <c r="E944">
        <v>0</v>
      </c>
    </row>
    <row r="945" spans="1:5" x14ac:dyDescent="0.45">
      <c r="A945" t="s">
        <v>54</v>
      </c>
      <c r="B945" t="s">
        <v>47</v>
      </c>
      <c r="C945" t="s">
        <v>48</v>
      </c>
      <c r="D945" t="s">
        <v>50</v>
      </c>
      <c r="E945">
        <v>0</v>
      </c>
    </row>
    <row r="946" spans="1:5" x14ac:dyDescent="0.45">
      <c r="A946" t="s">
        <v>54</v>
      </c>
      <c r="B946" t="s">
        <v>47</v>
      </c>
      <c r="C946" t="s">
        <v>48</v>
      </c>
      <c r="D946" t="s">
        <v>50</v>
      </c>
      <c r="E946">
        <v>0</v>
      </c>
    </row>
    <row r="947" spans="1:5" x14ac:dyDescent="0.45">
      <c r="A947" t="s">
        <v>54</v>
      </c>
      <c r="B947" t="s">
        <v>47</v>
      </c>
      <c r="C947" t="s">
        <v>48</v>
      </c>
      <c r="D947" t="s">
        <v>50</v>
      </c>
      <c r="E947">
        <v>0</v>
      </c>
    </row>
    <row r="948" spans="1:5" x14ac:dyDescent="0.45">
      <c r="A948" t="s">
        <v>54</v>
      </c>
      <c r="B948" t="s">
        <v>47</v>
      </c>
      <c r="C948" t="s">
        <v>48</v>
      </c>
      <c r="D948" t="s">
        <v>50</v>
      </c>
      <c r="E948">
        <v>0</v>
      </c>
    </row>
    <row r="949" spans="1:5" x14ac:dyDescent="0.45">
      <c r="A949" t="s">
        <v>54</v>
      </c>
      <c r="B949" t="s">
        <v>47</v>
      </c>
      <c r="C949" t="s">
        <v>48</v>
      </c>
      <c r="D949" t="s">
        <v>50</v>
      </c>
      <c r="E949">
        <v>0</v>
      </c>
    </row>
    <row r="950" spans="1:5" x14ac:dyDescent="0.45">
      <c r="A950" t="s">
        <v>54</v>
      </c>
      <c r="B950" t="s">
        <v>47</v>
      </c>
      <c r="C950" t="s">
        <v>48</v>
      </c>
      <c r="D950" t="s">
        <v>50</v>
      </c>
      <c r="E950">
        <v>0</v>
      </c>
    </row>
    <row r="951" spans="1:5" x14ac:dyDescent="0.45">
      <c r="A951" t="s">
        <v>54</v>
      </c>
      <c r="B951" t="s">
        <v>47</v>
      </c>
      <c r="C951" t="s">
        <v>48</v>
      </c>
      <c r="D951" t="s">
        <v>50</v>
      </c>
      <c r="E951">
        <v>0</v>
      </c>
    </row>
    <row r="952" spans="1:5" x14ac:dyDescent="0.45">
      <c r="A952" t="s">
        <v>54</v>
      </c>
      <c r="B952" t="s">
        <v>47</v>
      </c>
      <c r="C952" t="s">
        <v>48</v>
      </c>
      <c r="D952" t="s">
        <v>50</v>
      </c>
      <c r="E952">
        <v>0</v>
      </c>
    </row>
    <row r="953" spans="1:5" x14ac:dyDescent="0.45">
      <c r="A953" t="s">
        <v>54</v>
      </c>
      <c r="B953" t="s">
        <v>47</v>
      </c>
      <c r="C953" t="s">
        <v>48</v>
      </c>
      <c r="D953" t="s">
        <v>50</v>
      </c>
      <c r="E953">
        <v>0</v>
      </c>
    </row>
    <row r="954" spans="1:5" x14ac:dyDescent="0.45">
      <c r="A954" t="s">
        <v>54</v>
      </c>
      <c r="B954" t="s">
        <v>47</v>
      </c>
      <c r="C954" t="s">
        <v>48</v>
      </c>
      <c r="D954" t="s">
        <v>50</v>
      </c>
      <c r="E954">
        <v>0</v>
      </c>
    </row>
    <row r="955" spans="1:5" x14ac:dyDescent="0.45">
      <c r="A955" t="s">
        <v>54</v>
      </c>
      <c r="B955" t="s">
        <v>47</v>
      </c>
      <c r="C955" t="s">
        <v>48</v>
      </c>
      <c r="D955" t="s">
        <v>50</v>
      </c>
      <c r="E955">
        <v>0</v>
      </c>
    </row>
    <row r="956" spans="1:5" x14ac:dyDescent="0.45">
      <c r="A956" t="s">
        <v>54</v>
      </c>
      <c r="B956" t="s">
        <v>47</v>
      </c>
      <c r="C956" t="s">
        <v>48</v>
      </c>
      <c r="D956" t="s">
        <v>50</v>
      </c>
      <c r="E956">
        <v>0</v>
      </c>
    </row>
    <row r="957" spans="1:5" x14ac:dyDescent="0.45">
      <c r="A957" t="s">
        <v>54</v>
      </c>
      <c r="B957" t="s">
        <v>47</v>
      </c>
      <c r="C957" t="s">
        <v>48</v>
      </c>
      <c r="D957" t="s">
        <v>50</v>
      </c>
      <c r="E957">
        <v>0</v>
      </c>
    </row>
    <row r="958" spans="1:5" x14ac:dyDescent="0.45">
      <c r="A958" t="s">
        <v>54</v>
      </c>
      <c r="B958" t="s">
        <v>47</v>
      </c>
      <c r="C958" t="s">
        <v>48</v>
      </c>
      <c r="D958" t="s">
        <v>50</v>
      </c>
      <c r="E958">
        <v>0</v>
      </c>
    </row>
    <row r="959" spans="1:5" x14ac:dyDescent="0.45">
      <c r="A959" t="s">
        <v>54</v>
      </c>
      <c r="B959" t="s">
        <v>47</v>
      </c>
      <c r="C959" t="s">
        <v>48</v>
      </c>
      <c r="D959" t="s">
        <v>50</v>
      </c>
      <c r="E959">
        <v>0</v>
      </c>
    </row>
    <row r="960" spans="1:5" x14ac:dyDescent="0.45">
      <c r="A960" t="s">
        <v>54</v>
      </c>
      <c r="B960" t="s">
        <v>47</v>
      </c>
      <c r="C960" t="s">
        <v>48</v>
      </c>
      <c r="D960" t="s">
        <v>50</v>
      </c>
      <c r="E960">
        <v>0</v>
      </c>
    </row>
    <row r="961" spans="1:5" x14ac:dyDescent="0.45">
      <c r="A961" t="s">
        <v>54</v>
      </c>
      <c r="B961" t="s">
        <v>47</v>
      </c>
      <c r="C961" t="s">
        <v>48</v>
      </c>
      <c r="D961" t="s">
        <v>50</v>
      </c>
      <c r="E961">
        <v>0</v>
      </c>
    </row>
    <row r="962" spans="1:5" x14ac:dyDescent="0.45">
      <c r="A962" t="s">
        <v>54</v>
      </c>
      <c r="B962" t="s">
        <v>47</v>
      </c>
      <c r="C962" t="s">
        <v>48</v>
      </c>
      <c r="D962" t="s">
        <v>50</v>
      </c>
      <c r="E962">
        <v>0</v>
      </c>
    </row>
    <row r="963" spans="1:5" x14ac:dyDescent="0.45">
      <c r="A963" t="s">
        <v>54</v>
      </c>
      <c r="B963" t="s">
        <v>47</v>
      </c>
      <c r="C963" t="s">
        <v>48</v>
      </c>
      <c r="D963" t="s">
        <v>50</v>
      </c>
      <c r="E963">
        <v>0</v>
      </c>
    </row>
    <row r="964" spans="1:5" x14ac:dyDescent="0.45">
      <c r="A964" t="s">
        <v>54</v>
      </c>
      <c r="B964" t="s">
        <v>47</v>
      </c>
      <c r="C964" t="s">
        <v>48</v>
      </c>
      <c r="D964" t="s">
        <v>50</v>
      </c>
      <c r="E964">
        <v>0</v>
      </c>
    </row>
    <row r="965" spans="1:5" x14ac:dyDescent="0.45">
      <c r="A965" t="s">
        <v>54</v>
      </c>
      <c r="B965" t="s">
        <v>47</v>
      </c>
      <c r="C965" t="s">
        <v>48</v>
      </c>
      <c r="D965" t="s">
        <v>50</v>
      </c>
      <c r="E965">
        <v>0</v>
      </c>
    </row>
    <row r="966" spans="1:5" x14ac:dyDescent="0.45">
      <c r="A966" t="s">
        <v>54</v>
      </c>
      <c r="B966" t="s">
        <v>47</v>
      </c>
      <c r="C966" t="s">
        <v>48</v>
      </c>
      <c r="D966" t="s">
        <v>50</v>
      </c>
      <c r="E966">
        <v>0</v>
      </c>
    </row>
    <row r="967" spans="1:5" x14ac:dyDescent="0.45">
      <c r="A967" t="s">
        <v>54</v>
      </c>
      <c r="B967" t="s">
        <v>47</v>
      </c>
      <c r="C967" t="s">
        <v>48</v>
      </c>
      <c r="D967" t="s">
        <v>50</v>
      </c>
      <c r="E967">
        <v>0</v>
      </c>
    </row>
    <row r="968" spans="1:5" x14ac:dyDescent="0.45">
      <c r="A968" t="s">
        <v>54</v>
      </c>
      <c r="B968" t="s">
        <v>47</v>
      </c>
      <c r="C968" t="s">
        <v>48</v>
      </c>
      <c r="D968" t="s">
        <v>50</v>
      </c>
      <c r="E968">
        <v>0</v>
      </c>
    </row>
    <row r="969" spans="1:5" x14ac:dyDescent="0.45">
      <c r="A969" t="s">
        <v>54</v>
      </c>
      <c r="B969" t="s">
        <v>47</v>
      </c>
      <c r="C969" t="s">
        <v>48</v>
      </c>
      <c r="D969" t="s">
        <v>50</v>
      </c>
      <c r="E969">
        <v>0</v>
      </c>
    </row>
    <row r="970" spans="1:5" x14ac:dyDescent="0.45">
      <c r="A970" t="s">
        <v>54</v>
      </c>
      <c r="B970" t="s">
        <v>47</v>
      </c>
      <c r="C970" t="s">
        <v>48</v>
      </c>
      <c r="D970" t="s">
        <v>50</v>
      </c>
      <c r="E970">
        <v>0</v>
      </c>
    </row>
    <row r="971" spans="1:5" x14ac:dyDescent="0.45">
      <c r="A971" t="s">
        <v>54</v>
      </c>
      <c r="B971" t="s">
        <v>47</v>
      </c>
      <c r="C971" t="s">
        <v>48</v>
      </c>
      <c r="D971" t="s">
        <v>50</v>
      </c>
      <c r="E971">
        <v>0</v>
      </c>
    </row>
    <row r="972" spans="1:5" x14ac:dyDescent="0.45">
      <c r="A972" t="s">
        <v>54</v>
      </c>
      <c r="B972" t="s">
        <v>47</v>
      </c>
      <c r="C972" t="s">
        <v>48</v>
      </c>
      <c r="D972" t="s">
        <v>50</v>
      </c>
      <c r="E972">
        <v>0</v>
      </c>
    </row>
    <row r="973" spans="1:5" x14ac:dyDescent="0.45">
      <c r="A973" t="s">
        <v>54</v>
      </c>
      <c r="B973" t="s">
        <v>47</v>
      </c>
      <c r="C973" t="s">
        <v>48</v>
      </c>
      <c r="D973" t="s">
        <v>50</v>
      </c>
      <c r="E973">
        <v>0</v>
      </c>
    </row>
    <row r="974" spans="1:5" x14ac:dyDescent="0.45">
      <c r="A974" t="s">
        <v>54</v>
      </c>
      <c r="B974" t="s">
        <v>47</v>
      </c>
      <c r="C974" t="s">
        <v>48</v>
      </c>
      <c r="D974" t="s">
        <v>50</v>
      </c>
      <c r="E974">
        <v>0</v>
      </c>
    </row>
    <row r="975" spans="1:5" x14ac:dyDescent="0.45">
      <c r="A975" t="s">
        <v>54</v>
      </c>
      <c r="B975" t="s">
        <v>47</v>
      </c>
      <c r="C975" t="s">
        <v>48</v>
      </c>
      <c r="D975" t="s">
        <v>50</v>
      </c>
      <c r="E975">
        <v>0</v>
      </c>
    </row>
    <row r="976" spans="1:5" x14ac:dyDescent="0.45">
      <c r="A976" t="s">
        <v>54</v>
      </c>
      <c r="B976" t="s">
        <v>47</v>
      </c>
      <c r="C976" t="s">
        <v>48</v>
      </c>
      <c r="D976" t="s">
        <v>50</v>
      </c>
      <c r="E976">
        <v>0</v>
      </c>
    </row>
    <row r="977" spans="1:5" x14ac:dyDescent="0.45">
      <c r="A977" t="s">
        <v>54</v>
      </c>
      <c r="B977" t="s">
        <v>47</v>
      </c>
      <c r="C977" t="s">
        <v>48</v>
      </c>
      <c r="D977" t="s">
        <v>50</v>
      </c>
      <c r="E977">
        <v>0</v>
      </c>
    </row>
    <row r="978" spans="1:5" x14ac:dyDescent="0.45">
      <c r="A978" t="s">
        <v>54</v>
      </c>
      <c r="B978" t="s">
        <v>47</v>
      </c>
      <c r="C978" t="s">
        <v>48</v>
      </c>
      <c r="D978" t="s">
        <v>50</v>
      </c>
      <c r="E978">
        <v>0</v>
      </c>
    </row>
    <row r="979" spans="1:5" x14ac:dyDescent="0.45">
      <c r="A979" t="s">
        <v>54</v>
      </c>
      <c r="B979" t="s">
        <v>47</v>
      </c>
      <c r="C979" t="s">
        <v>48</v>
      </c>
      <c r="D979" t="s">
        <v>50</v>
      </c>
      <c r="E979">
        <v>0</v>
      </c>
    </row>
    <row r="980" spans="1:5" x14ac:dyDescent="0.45">
      <c r="A980" t="s">
        <v>54</v>
      </c>
      <c r="B980" t="s">
        <v>47</v>
      </c>
      <c r="C980" t="s">
        <v>48</v>
      </c>
      <c r="D980" t="s">
        <v>50</v>
      </c>
      <c r="E980">
        <v>0</v>
      </c>
    </row>
    <row r="981" spans="1:5" x14ac:dyDescent="0.45">
      <c r="A981" t="s">
        <v>54</v>
      </c>
      <c r="B981" t="s">
        <v>47</v>
      </c>
      <c r="C981" t="s">
        <v>48</v>
      </c>
      <c r="D981" t="s">
        <v>50</v>
      </c>
      <c r="E981">
        <v>0</v>
      </c>
    </row>
    <row r="982" spans="1:5" x14ac:dyDescent="0.45">
      <c r="A982" t="s">
        <v>54</v>
      </c>
      <c r="B982" t="s">
        <v>47</v>
      </c>
      <c r="C982" t="s">
        <v>48</v>
      </c>
      <c r="D982" t="s">
        <v>50</v>
      </c>
      <c r="E982">
        <v>0</v>
      </c>
    </row>
    <row r="983" spans="1:5" x14ac:dyDescent="0.45">
      <c r="A983" t="s">
        <v>54</v>
      </c>
      <c r="B983" t="s">
        <v>47</v>
      </c>
      <c r="C983" t="s">
        <v>48</v>
      </c>
      <c r="D983" t="s">
        <v>50</v>
      </c>
      <c r="E983">
        <v>0</v>
      </c>
    </row>
    <row r="984" spans="1:5" x14ac:dyDescent="0.45">
      <c r="A984" t="s">
        <v>54</v>
      </c>
      <c r="B984" t="s">
        <v>47</v>
      </c>
      <c r="C984" t="s">
        <v>48</v>
      </c>
      <c r="D984" t="s">
        <v>50</v>
      </c>
      <c r="E984">
        <v>0</v>
      </c>
    </row>
    <row r="985" spans="1:5" x14ac:dyDescent="0.45">
      <c r="A985" t="s">
        <v>54</v>
      </c>
      <c r="B985" t="s">
        <v>47</v>
      </c>
      <c r="C985" t="s">
        <v>48</v>
      </c>
      <c r="D985" t="s">
        <v>50</v>
      </c>
      <c r="E985">
        <v>0</v>
      </c>
    </row>
    <row r="986" spans="1:5" x14ac:dyDescent="0.45">
      <c r="A986" t="s">
        <v>54</v>
      </c>
      <c r="B986" t="s">
        <v>47</v>
      </c>
      <c r="C986" t="s">
        <v>48</v>
      </c>
      <c r="D986" t="s">
        <v>50</v>
      </c>
      <c r="E986">
        <v>0</v>
      </c>
    </row>
    <row r="987" spans="1:5" x14ac:dyDescent="0.45">
      <c r="A987" t="s">
        <v>54</v>
      </c>
      <c r="B987" t="s">
        <v>47</v>
      </c>
      <c r="C987" t="s">
        <v>48</v>
      </c>
      <c r="D987" t="s">
        <v>50</v>
      </c>
      <c r="E987">
        <v>0</v>
      </c>
    </row>
    <row r="988" spans="1:5" x14ac:dyDescent="0.45">
      <c r="A988" t="s">
        <v>54</v>
      </c>
      <c r="B988" t="s">
        <v>47</v>
      </c>
      <c r="C988" t="s">
        <v>48</v>
      </c>
      <c r="D988" t="s">
        <v>50</v>
      </c>
      <c r="E988">
        <v>0</v>
      </c>
    </row>
    <row r="989" spans="1:5" x14ac:dyDescent="0.45">
      <c r="A989" t="s">
        <v>54</v>
      </c>
      <c r="B989" t="s">
        <v>47</v>
      </c>
      <c r="C989" t="s">
        <v>48</v>
      </c>
      <c r="D989" t="s">
        <v>50</v>
      </c>
      <c r="E989">
        <v>0</v>
      </c>
    </row>
    <row r="990" spans="1:5" x14ac:dyDescent="0.45">
      <c r="A990" t="s">
        <v>54</v>
      </c>
      <c r="B990" t="s">
        <v>47</v>
      </c>
      <c r="C990" t="s">
        <v>48</v>
      </c>
      <c r="D990" t="s">
        <v>50</v>
      </c>
      <c r="E990">
        <v>0</v>
      </c>
    </row>
    <row r="991" spans="1:5" x14ac:dyDescent="0.45">
      <c r="A991" t="s">
        <v>54</v>
      </c>
      <c r="B991" t="s">
        <v>47</v>
      </c>
      <c r="C991" t="s">
        <v>48</v>
      </c>
      <c r="D991" t="s">
        <v>50</v>
      </c>
      <c r="E991">
        <v>0</v>
      </c>
    </row>
    <row r="992" spans="1:5" x14ac:dyDescent="0.45">
      <c r="A992" t="s">
        <v>54</v>
      </c>
      <c r="B992" t="s">
        <v>47</v>
      </c>
      <c r="C992" t="s">
        <v>48</v>
      </c>
      <c r="D992" t="s">
        <v>50</v>
      </c>
      <c r="E992">
        <v>0</v>
      </c>
    </row>
    <row r="993" spans="1:5" x14ac:dyDescent="0.45">
      <c r="A993" t="s">
        <v>54</v>
      </c>
      <c r="B993" t="s">
        <v>47</v>
      </c>
      <c r="C993" t="s">
        <v>48</v>
      </c>
      <c r="D993" t="s">
        <v>50</v>
      </c>
      <c r="E993">
        <v>0</v>
      </c>
    </row>
    <row r="994" spans="1:5" x14ac:dyDescent="0.45">
      <c r="A994" t="s">
        <v>54</v>
      </c>
      <c r="B994" t="s">
        <v>47</v>
      </c>
      <c r="C994" t="s">
        <v>48</v>
      </c>
      <c r="D994" t="s">
        <v>50</v>
      </c>
      <c r="E994">
        <v>0</v>
      </c>
    </row>
    <row r="995" spans="1:5" x14ac:dyDescent="0.45">
      <c r="A995" t="s">
        <v>54</v>
      </c>
      <c r="B995" t="s">
        <v>47</v>
      </c>
      <c r="C995" t="s">
        <v>48</v>
      </c>
      <c r="D995" t="s">
        <v>50</v>
      </c>
      <c r="E995">
        <v>0</v>
      </c>
    </row>
    <row r="996" spans="1:5" x14ac:dyDescent="0.45">
      <c r="A996" t="s">
        <v>54</v>
      </c>
      <c r="B996" t="s">
        <v>47</v>
      </c>
      <c r="C996" t="s">
        <v>48</v>
      </c>
      <c r="D996" t="s">
        <v>50</v>
      </c>
      <c r="E996">
        <v>0</v>
      </c>
    </row>
    <row r="997" spans="1:5" x14ac:dyDescent="0.45">
      <c r="A997" t="s">
        <v>54</v>
      </c>
      <c r="B997" t="s">
        <v>47</v>
      </c>
      <c r="C997" t="s">
        <v>48</v>
      </c>
      <c r="D997" t="s">
        <v>50</v>
      </c>
      <c r="E997">
        <v>0</v>
      </c>
    </row>
    <row r="998" spans="1:5" x14ac:dyDescent="0.45">
      <c r="A998" t="s">
        <v>54</v>
      </c>
      <c r="B998" t="s">
        <v>47</v>
      </c>
      <c r="C998" t="s">
        <v>48</v>
      </c>
      <c r="D998" t="s">
        <v>50</v>
      </c>
      <c r="E998">
        <v>0</v>
      </c>
    </row>
    <row r="999" spans="1:5" x14ac:dyDescent="0.45">
      <c r="A999" t="s">
        <v>54</v>
      </c>
      <c r="B999" t="s">
        <v>47</v>
      </c>
      <c r="C999" t="s">
        <v>48</v>
      </c>
      <c r="D999" t="s">
        <v>50</v>
      </c>
      <c r="E999">
        <v>0</v>
      </c>
    </row>
    <row r="1000" spans="1:5" x14ac:dyDescent="0.45">
      <c r="A1000" t="s">
        <v>54</v>
      </c>
      <c r="B1000" t="s">
        <v>47</v>
      </c>
      <c r="C1000" t="s">
        <v>48</v>
      </c>
      <c r="D1000" t="s">
        <v>50</v>
      </c>
      <c r="E1000">
        <v>0</v>
      </c>
    </row>
    <row r="1001" spans="1:5" x14ac:dyDescent="0.45">
      <c r="A1001" t="s">
        <v>54</v>
      </c>
      <c r="B1001" t="s">
        <v>47</v>
      </c>
      <c r="C1001" t="s">
        <v>48</v>
      </c>
      <c r="D1001" t="s">
        <v>50</v>
      </c>
      <c r="E1001">
        <v>0</v>
      </c>
    </row>
    <row r="1002" spans="1:5" x14ac:dyDescent="0.45">
      <c r="A1002" t="s">
        <v>54</v>
      </c>
      <c r="B1002" t="s">
        <v>47</v>
      </c>
      <c r="C1002" t="s">
        <v>48</v>
      </c>
      <c r="D1002" t="s">
        <v>50</v>
      </c>
      <c r="E1002">
        <v>0</v>
      </c>
    </row>
    <row r="1003" spans="1:5" x14ac:dyDescent="0.45">
      <c r="A1003" t="s">
        <v>54</v>
      </c>
      <c r="B1003" t="s">
        <v>47</v>
      </c>
      <c r="C1003" t="s">
        <v>48</v>
      </c>
      <c r="D1003" t="s">
        <v>50</v>
      </c>
      <c r="E1003">
        <v>0</v>
      </c>
    </row>
    <row r="1004" spans="1:5" x14ac:dyDescent="0.45">
      <c r="A1004" t="s">
        <v>54</v>
      </c>
      <c r="B1004" t="s">
        <v>47</v>
      </c>
      <c r="C1004" t="s">
        <v>48</v>
      </c>
      <c r="D1004" t="s">
        <v>50</v>
      </c>
      <c r="E1004">
        <v>0</v>
      </c>
    </row>
    <row r="1005" spans="1:5" x14ac:dyDescent="0.45">
      <c r="A1005" t="s">
        <v>54</v>
      </c>
      <c r="B1005" t="s">
        <v>47</v>
      </c>
      <c r="C1005" t="s">
        <v>48</v>
      </c>
      <c r="D1005" t="s">
        <v>50</v>
      </c>
      <c r="E1005">
        <v>0</v>
      </c>
    </row>
    <row r="1006" spans="1:5" x14ac:dyDescent="0.45">
      <c r="A1006" t="s">
        <v>54</v>
      </c>
      <c r="B1006" t="s">
        <v>47</v>
      </c>
      <c r="C1006" t="s">
        <v>48</v>
      </c>
      <c r="D1006" t="s">
        <v>50</v>
      </c>
      <c r="E1006">
        <v>0</v>
      </c>
    </row>
    <row r="1007" spans="1:5" x14ac:dyDescent="0.45">
      <c r="A1007" t="s">
        <v>54</v>
      </c>
      <c r="B1007" t="s">
        <v>47</v>
      </c>
      <c r="C1007" t="s">
        <v>48</v>
      </c>
      <c r="D1007" t="s">
        <v>50</v>
      </c>
      <c r="E1007">
        <v>0</v>
      </c>
    </row>
    <row r="1008" spans="1:5" x14ac:dyDescent="0.45">
      <c r="A1008" t="s">
        <v>54</v>
      </c>
      <c r="B1008" t="s">
        <v>47</v>
      </c>
      <c r="C1008" t="s">
        <v>48</v>
      </c>
      <c r="D1008" t="s">
        <v>50</v>
      </c>
      <c r="E1008">
        <v>0</v>
      </c>
    </row>
    <row r="1009" spans="1:5" x14ac:dyDescent="0.45">
      <c r="A1009" t="s">
        <v>54</v>
      </c>
      <c r="B1009" t="s">
        <v>47</v>
      </c>
      <c r="C1009" t="s">
        <v>48</v>
      </c>
      <c r="D1009" t="s">
        <v>50</v>
      </c>
      <c r="E1009">
        <v>0</v>
      </c>
    </row>
    <row r="1010" spans="1:5" x14ac:dyDescent="0.45">
      <c r="A1010" t="s">
        <v>54</v>
      </c>
      <c r="B1010" t="s">
        <v>47</v>
      </c>
      <c r="C1010" t="s">
        <v>48</v>
      </c>
      <c r="D1010" t="s">
        <v>50</v>
      </c>
      <c r="E1010">
        <v>0</v>
      </c>
    </row>
    <row r="1011" spans="1:5" x14ac:dyDescent="0.45">
      <c r="A1011" t="s">
        <v>54</v>
      </c>
      <c r="B1011" t="s">
        <v>47</v>
      </c>
      <c r="C1011" t="s">
        <v>48</v>
      </c>
      <c r="D1011" t="s">
        <v>50</v>
      </c>
      <c r="E1011">
        <v>0</v>
      </c>
    </row>
    <row r="1012" spans="1:5" x14ac:dyDescent="0.45">
      <c r="A1012" t="s">
        <v>54</v>
      </c>
      <c r="B1012" t="s">
        <v>47</v>
      </c>
      <c r="C1012" t="s">
        <v>48</v>
      </c>
      <c r="D1012" t="s">
        <v>50</v>
      </c>
      <c r="E1012">
        <v>0</v>
      </c>
    </row>
    <row r="1013" spans="1:5" x14ac:dyDescent="0.45">
      <c r="A1013" t="s">
        <v>54</v>
      </c>
      <c r="B1013" t="s">
        <v>47</v>
      </c>
      <c r="C1013" t="s">
        <v>48</v>
      </c>
      <c r="D1013" t="s">
        <v>50</v>
      </c>
      <c r="E1013">
        <v>0</v>
      </c>
    </row>
    <row r="1014" spans="1:5" x14ac:dyDescent="0.45">
      <c r="A1014" t="s">
        <v>54</v>
      </c>
      <c r="B1014" t="s">
        <v>47</v>
      </c>
      <c r="C1014" t="s">
        <v>48</v>
      </c>
      <c r="D1014" t="s">
        <v>50</v>
      </c>
      <c r="E1014">
        <v>0</v>
      </c>
    </row>
    <row r="1015" spans="1:5" x14ac:dyDescent="0.45">
      <c r="A1015" t="s">
        <v>54</v>
      </c>
      <c r="B1015" t="s">
        <v>47</v>
      </c>
      <c r="C1015" t="s">
        <v>48</v>
      </c>
      <c r="D1015" t="s">
        <v>50</v>
      </c>
      <c r="E1015">
        <v>0</v>
      </c>
    </row>
    <row r="1016" spans="1:5" x14ac:dyDescent="0.45">
      <c r="A1016" t="s">
        <v>54</v>
      </c>
      <c r="B1016" t="s">
        <v>47</v>
      </c>
      <c r="C1016" t="s">
        <v>48</v>
      </c>
      <c r="D1016" t="s">
        <v>50</v>
      </c>
      <c r="E1016">
        <v>0</v>
      </c>
    </row>
    <row r="1017" spans="1:5" x14ac:dyDescent="0.45">
      <c r="A1017" t="s">
        <v>54</v>
      </c>
      <c r="B1017" t="s">
        <v>47</v>
      </c>
      <c r="C1017" t="s">
        <v>48</v>
      </c>
      <c r="D1017" t="s">
        <v>50</v>
      </c>
      <c r="E1017">
        <v>0</v>
      </c>
    </row>
    <row r="1018" spans="1:5" x14ac:dyDescent="0.45">
      <c r="A1018" t="s">
        <v>54</v>
      </c>
      <c r="B1018" t="s">
        <v>47</v>
      </c>
      <c r="C1018" t="s">
        <v>48</v>
      </c>
      <c r="D1018" t="s">
        <v>50</v>
      </c>
      <c r="E1018">
        <v>0</v>
      </c>
    </row>
    <row r="1019" spans="1:5" x14ac:dyDescent="0.45">
      <c r="A1019" t="s">
        <v>54</v>
      </c>
      <c r="B1019" t="s">
        <v>47</v>
      </c>
      <c r="C1019" t="s">
        <v>48</v>
      </c>
      <c r="D1019" t="s">
        <v>50</v>
      </c>
      <c r="E1019">
        <v>0</v>
      </c>
    </row>
    <row r="1020" spans="1:5" x14ac:dyDescent="0.45">
      <c r="A1020" t="s">
        <v>54</v>
      </c>
      <c r="B1020" t="s">
        <v>47</v>
      </c>
      <c r="C1020" t="s">
        <v>48</v>
      </c>
      <c r="D1020" t="s">
        <v>50</v>
      </c>
      <c r="E1020">
        <v>0</v>
      </c>
    </row>
    <row r="1021" spans="1:5" x14ac:dyDescent="0.45">
      <c r="A1021" t="s">
        <v>54</v>
      </c>
      <c r="B1021" t="s">
        <v>47</v>
      </c>
      <c r="C1021" t="s">
        <v>48</v>
      </c>
      <c r="D1021" t="s">
        <v>50</v>
      </c>
      <c r="E1021">
        <v>0</v>
      </c>
    </row>
    <row r="1022" spans="1:5" x14ac:dyDescent="0.45">
      <c r="A1022" t="s">
        <v>54</v>
      </c>
      <c r="B1022" t="s">
        <v>47</v>
      </c>
      <c r="C1022" t="s">
        <v>48</v>
      </c>
      <c r="D1022" t="s">
        <v>50</v>
      </c>
      <c r="E1022">
        <v>0</v>
      </c>
    </row>
    <row r="1023" spans="1:5" x14ac:dyDescent="0.45">
      <c r="A1023" t="s">
        <v>54</v>
      </c>
      <c r="B1023" t="s">
        <v>47</v>
      </c>
      <c r="C1023" t="s">
        <v>48</v>
      </c>
      <c r="D1023" t="s">
        <v>50</v>
      </c>
      <c r="E1023">
        <v>0</v>
      </c>
    </row>
    <row r="1024" spans="1:5" x14ac:dyDescent="0.45">
      <c r="A1024" t="s">
        <v>54</v>
      </c>
      <c r="B1024" t="s">
        <v>47</v>
      </c>
      <c r="C1024" t="s">
        <v>48</v>
      </c>
      <c r="D1024" t="s">
        <v>50</v>
      </c>
      <c r="E1024">
        <v>0</v>
      </c>
    </row>
    <row r="1025" spans="1:5" x14ac:dyDescent="0.45">
      <c r="A1025" t="s">
        <v>54</v>
      </c>
      <c r="B1025" t="s">
        <v>47</v>
      </c>
      <c r="C1025" t="s">
        <v>48</v>
      </c>
      <c r="D1025" t="s">
        <v>50</v>
      </c>
      <c r="E1025">
        <v>0</v>
      </c>
    </row>
    <row r="1026" spans="1:5" x14ac:dyDescent="0.45">
      <c r="A1026" t="s">
        <v>54</v>
      </c>
      <c r="B1026" t="s">
        <v>47</v>
      </c>
      <c r="C1026" t="s">
        <v>48</v>
      </c>
      <c r="D1026" t="s">
        <v>50</v>
      </c>
      <c r="E1026">
        <v>0</v>
      </c>
    </row>
    <row r="1027" spans="1:5" x14ac:dyDescent="0.45">
      <c r="A1027" t="s">
        <v>54</v>
      </c>
      <c r="B1027" t="s">
        <v>47</v>
      </c>
      <c r="C1027" t="s">
        <v>48</v>
      </c>
      <c r="D1027" t="s">
        <v>50</v>
      </c>
      <c r="E1027">
        <v>0</v>
      </c>
    </row>
    <row r="1028" spans="1:5" x14ac:dyDescent="0.45">
      <c r="A1028" t="s">
        <v>54</v>
      </c>
      <c r="B1028" t="s">
        <v>47</v>
      </c>
      <c r="C1028" t="s">
        <v>48</v>
      </c>
      <c r="D1028" t="s">
        <v>50</v>
      </c>
      <c r="E1028">
        <v>0</v>
      </c>
    </row>
    <row r="1029" spans="1:5" x14ac:dyDescent="0.45">
      <c r="A1029" t="s">
        <v>54</v>
      </c>
      <c r="B1029" t="s">
        <v>47</v>
      </c>
      <c r="C1029" t="s">
        <v>48</v>
      </c>
      <c r="D1029" t="s">
        <v>50</v>
      </c>
      <c r="E1029">
        <v>0</v>
      </c>
    </row>
    <row r="1030" spans="1:5" x14ac:dyDescent="0.45">
      <c r="A1030" t="s">
        <v>54</v>
      </c>
      <c r="B1030" t="s">
        <v>47</v>
      </c>
      <c r="C1030" t="s">
        <v>48</v>
      </c>
      <c r="D1030" t="s">
        <v>50</v>
      </c>
      <c r="E1030">
        <v>0</v>
      </c>
    </row>
    <row r="1031" spans="1:5" x14ac:dyDescent="0.45">
      <c r="A1031" t="s">
        <v>54</v>
      </c>
      <c r="B1031" t="s">
        <v>47</v>
      </c>
      <c r="C1031" t="s">
        <v>48</v>
      </c>
      <c r="D1031" t="s">
        <v>50</v>
      </c>
      <c r="E1031">
        <v>0</v>
      </c>
    </row>
    <row r="1032" spans="1:5" x14ac:dyDescent="0.45">
      <c r="A1032" t="s">
        <v>54</v>
      </c>
      <c r="B1032" t="s">
        <v>47</v>
      </c>
      <c r="C1032" t="s">
        <v>48</v>
      </c>
      <c r="D1032" t="s">
        <v>50</v>
      </c>
      <c r="E1032">
        <v>0</v>
      </c>
    </row>
    <row r="1033" spans="1:5" x14ac:dyDescent="0.45">
      <c r="A1033" t="s">
        <v>54</v>
      </c>
      <c r="B1033" t="s">
        <v>47</v>
      </c>
      <c r="C1033" t="s">
        <v>48</v>
      </c>
      <c r="D1033" t="s">
        <v>50</v>
      </c>
      <c r="E1033">
        <v>0</v>
      </c>
    </row>
    <row r="1034" spans="1:5" x14ac:dyDescent="0.45">
      <c r="A1034" t="s">
        <v>54</v>
      </c>
      <c r="B1034" t="s">
        <v>47</v>
      </c>
      <c r="C1034" t="s">
        <v>48</v>
      </c>
      <c r="D1034" t="s">
        <v>50</v>
      </c>
      <c r="E1034">
        <v>0</v>
      </c>
    </row>
    <row r="1035" spans="1:5" x14ac:dyDescent="0.45">
      <c r="A1035" t="s">
        <v>54</v>
      </c>
      <c r="B1035" t="s">
        <v>47</v>
      </c>
      <c r="C1035" t="s">
        <v>48</v>
      </c>
      <c r="D1035" t="s">
        <v>50</v>
      </c>
      <c r="E1035">
        <v>0</v>
      </c>
    </row>
    <row r="1036" spans="1:5" x14ac:dyDescent="0.45">
      <c r="A1036" t="s">
        <v>54</v>
      </c>
      <c r="B1036" t="s">
        <v>47</v>
      </c>
      <c r="C1036" t="s">
        <v>48</v>
      </c>
      <c r="D1036" t="s">
        <v>50</v>
      </c>
      <c r="E1036">
        <v>0</v>
      </c>
    </row>
    <row r="1037" spans="1:5" x14ac:dyDescent="0.45">
      <c r="A1037" t="s">
        <v>54</v>
      </c>
      <c r="B1037" t="s">
        <v>47</v>
      </c>
      <c r="C1037" t="s">
        <v>48</v>
      </c>
      <c r="D1037" t="s">
        <v>50</v>
      </c>
      <c r="E1037">
        <v>0</v>
      </c>
    </row>
    <row r="1038" spans="1:5" x14ac:dyDescent="0.45">
      <c r="A1038" t="s">
        <v>54</v>
      </c>
      <c r="B1038" t="s">
        <v>47</v>
      </c>
      <c r="C1038" t="s">
        <v>48</v>
      </c>
      <c r="D1038" t="s">
        <v>50</v>
      </c>
      <c r="E1038">
        <v>0</v>
      </c>
    </row>
    <row r="1039" spans="1:5" x14ac:dyDescent="0.45">
      <c r="A1039" t="s">
        <v>54</v>
      </c>
      <c r="B1039" t="s">
        <v>47</v>
      </c>
      <c r="C1039" t="s">
        <v>48</v>
      </c>
      <c r="D1039" t="s">
        <v>50</v>
      </c>
      <c r="E1039">
        <v>0</v>
      </c>
    </row>
    <row r="1040" spans="1:5" x14ac:dyDescent="0.45">
      <c r="A1040" t="s">
        <v>54</v>
      </c>
      <c r="B1040" t="s">
        <v>47</v>
      </c>
      <c r="C1040" t="s">
        <v>48</v>
      </c>
      <c r="D1040" t="s">
        <v>50</v>
      </c>
      <c r="E1040">
        <v>0</v>
      </c>
    </row>
    <row r="1041" spans="1:5" x14ac:dyDescent="0.45">
      <c r="A1041" t="s">
        <v>54</v>
      </c>
      <c r="B1041" t="s">
        <v>47</v>
      </c>
      <c r="C1041" t="s">
        <v>48</v>
      </c>
      <c r="D1041" t="s">
        <v>50</v>
      </c>
      <c r="E1041">
        <v>0</v>
      </c>
    </row>
    <row r="1042" spans="1:5" x14ac:dyDescent="0.45">
      <c r="A1042" t="s">
        <v>54</v>
      </c>
      <c r="B1042" t="s">
        <v>47</v>
      </c>
      <c r="C1042" t="s">
        <v>48</v>
      </c>
      <c r="D1042" t="s">
        <v>50</v>
      </c>
      <c r="E1042">
        <v>0</v>
      </c>
    </row>
    <row r="1043" spans="1:5" x14ac:dyDescent="0.45">
      <c r="A1043" t="s">
        <v>54</v>
      </c>
      <c r="B1043" t="s">
        <v>47</v>
      </c>
      <c r="C1043" t="s">
        <v>48</v>
      </c>
      <c r="D1043" t="s">
        <v>50</v>
      </c>
      <c r="E1043">
        <v>0</v>
      </c>
    </row>
    <row r="1044" spans="1:5" x14ac:dyDescent="0.45">
      <c r="A1044" t="s">
        <v>54</v>
      </c>
      <c r="B1044" t="s">
        <v>47</v>
      </c>
      <c r="C1044" t="s">
        <v>48</v>
      </c>
      <c r="D1044" t="s">
        <v>50</v>
      </c>
      <c r="E1044">
        <v>0</v>
      </c>
    </row>
    <row r="1045" spans="1:5" x14ac:dyDescent="0.45">
      <c r="A1045" t="s">
        <v>54</v>
      </c>
      <c r="B1045" t="s">
        <v>47</v>
      </c>
      <c r="C1045" t="s">
        <v>48</v>
      </c>
      <c r="D1045" t="s">
        <v>50</v>
      </c>
      <c r="E1045">
        <v>0</v>
      </c>
    </row>
    <row r="1046" spans="1:5" x14ac:dyDescent="0.45">
      <c r="A1046" t="s">
        <v>54</v>
      </c>
      <c r="B1046" t="s">
        <v>47</v>
      </c>
      <c r="C1046" t="s">
        <v>48</v>
      </c>
      <c r="D1046" t="s">
        <v>50</v>
      </c>
      <c r="E1046">
        <v>0</v>
      </c>
    </row>
    <row r="1047" spans="1:5" x14ac:dyDescent="0.45">
      <c r="A1047" t="s">
        <v>54</v>
      </c>
      <c r="B1047" t="s">
        <v>47</v>
      </c>
      <c r="C1047" t="s">
        <v>48</v>
      </c>
      <c r="D1047" t="s">
        <v>50</v>
      </c>
      <c r="E1047">
        <v>0</v>
      </c>
    </row>
    <row r="1048" spans="1:5" x14ac:dyDescent="0.45">
      <c r="A1048" t="s">
        <v>54</v>
      </c>
      <c r="B1048" t="s">
        <v>47</v>
      </c>
      <c r="C1048" t="s">
        <v>48</v>
      </c>
      <c r="D1048" t="s">
        <v>50</v>
      </c>
      <c r="E1048">
        <v>0</v>
      </c>
    </row>
    <row r="1049" spans="1:5" x14ac:dyDescent="0.45">
      <c r="A1049" t="s">
        <v>54</v>
      </c>
      <c r="B1049" t="s">
        <v>47</v>
      </c>
      <c r="C1049" t="s">
        <v>48</v>
      </c>
      <c r="D1049" t="s">
        <v>50</v>
      </c>
      <c r="E1049">
        <v>0</v>
      </c>
    </row>
    <row r="1050" spans="1:5" x14ac:dyDescent="0.45">
      <c r="A1050" t="s">
        <v>54</v>
      </c>
      <c r="B1050" t="s">
        <v>47</v>
      </c>
      <c r="C1050" t="s">
        <v>48</v>
      </c>
      <c r="D1050" t="s">
        <v>50</v>
      </c>
      <c r="E1050">
        <v>0</v>
      </c>
    </row>
    <row r="1051" spans="1:5" x14ac:dyDescent="0.45">
      <c r="A1051" t="s">
        <v>54</v>
      </c>
      <c r="B1051" t="s">
        <v>47</v>
      </c>
      <c r="C1051" t="s">
        <v>48</v>
      </c>
      <c r="D1051" t="s">
        <v>50</v>
      </c>
      <c r="E1051">
        <v>0</v>
      </c>
    </row>
    <row r="1052" spans="1:5" x14ac:dyDescent="0.45">
      <c r="A1052" t="s">
        <v>54</v>
      </c>
      <c r="B1052" t="s">
        <v>47</v>
      </c>
      <c r="C1052" t="s">
        <v>48</v>
      </c>
      <c r="D1052" t="s">
        <v>50</v>
      </c>
      <c r="E1052">
        <v>0</v>
      </c>
    </row>
    <row r="1053" spans="1:5" x14ac:dyDescent="0.45">
      <c r="A1053" t="s">
        <v>54</v>
      </c>
      <c r="B1053" t="s">
        <v>47</v>
      </c>
      <c r="C1053" t="s">
        <v>48</v>
      </c>
      <c r="D1053" t="s">
        <v>50</v>
      </c>
      <c r="E1053">
        <v>0</v>
      </c>
    </row>
    <row r="1054" spans="1:5" x14ac:dyDescent="0.45">
      <c r="A1054" t="s">
        <v>54</v>
      </c>
      <c r="B1054" t="s">
        <v>47</v>
      </c>
      <c r="C1054" t="s">
        <v>48</v>
      </c>
      <c r="D1054" t="s">
        <v>50</v>
      </c>
      <c r="E1054">
        <v>0</v>
      </c>
    </row>
    <row r="1055" spans="1:5" x14ac:dyDescent="0.45">
      <c r="A1055" t="s">
        <v>54</v>
      </c>
      <c r="B1055" t="s">
        <v>47</v>
      </c>
      <c r="C1055" t="s">
        <v>48</v>
      </c>
      <c r="D1055" t="s">
        <v>50</v>
      </c>
      <c r="E1055">
        <v>0</v>
      </c>
    </row>
    <row r="1056" spans="1:5" x14ac:dyDescent="0.45">
      <c r="A1056" t="s">
        <v>54</v>
      </c>
      <c r="B1056" t="s">
        <v>47</v>
      </c>
      <c r="C1056" t="s">
        <v>48</v>
      </c>
      <c r="D1056" t="s">
        <v>50</v>
      </c>
      <c r="E1056">
        <v>0</v>
      </c>
    </row>
    <row r="1057" spans="1:5" x14ac:dyDescent="0.45">
      <c r="A1057" t="s">
        <v>54</v>
      </c>
      <c r="B1057" t="s">
        <v>47</v>
      </c>
      <c r="C1057" t="s">
        <v>48</v>
      </c>
      <c r="D1057" t="s">
        <v>50</v>
      </c>
      <c r="E1057">
        <v>0</v>
      </c>
    </row>
    <row r="1058" spans="1:5" x14ac:dyDescent="0.45">
      <c r="A1058" t="s">
        <v>54</v>
      </c>
      <c r="B1058" t="s">
        <v>47</v>
      </c>
      <c r="C1058" t="s">
        <v>48</v>
      </c>
      <c r="D1058" t="s">
        <v>50</v>
      </c>
      <c r="E1058">
        <v>0</v>
      </c>
    </row>
    <row r="1059" spans="1:5" x14ac:dyDescent="0.45">
      <c r="A1059" t="s">
        <v>54</v>
      </c>
      <c r="B1059" t="s">
        <v>47</v>
      </c>
      <c r="C1059" t="s">
        <v>48</v>
      </c>
      <c r="D1059" t="s">
        <v>50</v>
      </c>
      <c r="E1059">
        <v>0</v>
      </c>
    </row>
    <row r="1060" spans="1:5" x14ac:dyDescent="0.45">
      <c r="A1060" t="s">
        <v>54</v>
      </c>
      <c r="B1060" t="s">
        <v>47</v>
      </c>
      <c r="C1060" t="s">
        <v>48</v>
      </c>
      <c r="D1060" t="s">
        <v>50</v>
      </c>
      <c r="E1060">
        <v>0</v>
      </c>
    </row>
    <row r="1061" spans="1:5" x14ac:dyDescent="0.45">
      <c r="A1061" t="s">
        <v>54</v>
      </c>
      <c r="B1061" t="s">
        <v>47</v>
      </c>
      <c r="C1061" t="s">
        <v>48</v>
      </c>
      <c r="D1061" t="s">
        <v>50</v>
      </c>
      <c r="E1061">
        <v>0</v>
      </c>
    </row>
    <row r="1062" spans="1:5" x14ac:dyDescent="0.45">
      <c r="A1062" t="s">
        <v>54</v>
      </c>
      <c r="B1062" t="s">
        <v>47</v>
      </c>
      <c r="C1062" t="s">
        <v>48</v>
      </c>
      <c r="D1062" t="s">
        <v>50</v>
      </c>
      <c r="E1062">
        <v>0</v>
      </c>
    </row>
    <row r="1063" spans="1:5" x14ac:dyDescent="0.45">
      <c r="A1063" t="s">
        <v>54</v>
      </c>
      <c r="B1063" t="s">
        <v>47</v>
      </c>
      <c r="C1063" t="s">
        <v>48</v>
      </c>
      <c r="D1063" t="s">
        <v>50</v>
      </c>
      <c r="E1063">
        <v>0</v>
      </c>
    </row>
    <row r="1064" spans="1:5" x14ac:dyDescent="0.45">
      <c r="A1064" t="s">
        <v>54</v>
      </c>
      <c r="B1064" t="s">
        <v>47</v>
      </c>
      <c r="C1064" t="s">
        <v>48</v>
      </c>
      <c r="D1064" t="s">
        <v>50</v>
      </c>
      <c r="E1064">
        <v>0</v>
      </c>
    </row>
    <row r="1065" spans="1:5" x14ac:dyDescent="0.45">
      <c r="A1065" t="s">
        <v>54</v>
      </c>
      <c r="B1065" t="s">
        <v>47</v>
      </c>
      <c r="C1065" t="s">
        <v>48</v>
      </c>
      <c r="D1065" t="s">
        <v>50</v>
      </c>
      <c r="E1065">
        <v>0</v>
      </c>
    </row>
    <row r="1066" spans="1:5" x14ac:dyDescent="0.45">
      <c r="A1066" t="s">
        <v>54</v>
      </c>
      <c r="B1066" t="s">
        <v>47</v>
      </c>
      <c r="C1066" t="s">
        <v>48</v>
      </c>
      <c r="D1066" t="s">
        <v>50</v>
      </c>
      <c r="E1066">
        <v>0</v>
      </c>
    </row>
    <row r="1067" spans="1:5" x14ac:dyDescent="0.45">
      <c r="A1067" t="s">
        <v>54</v>
      </c>
      <c r="B1067" t="s">
        <v>47</v>
      </c>
      <c r="C1067" t="s">
        <v>48</v>
      </c>
      <c r="D1067" t="s">
        <v>50</v>
      </c>
      <c r="E1067">
        <v>0</v>
      </c>
    </row>
    <row r="1068" spans="1:5" x14ac:dyDescent="0.45">
      <c r="A1068" t="s">
        <v>54</v>
      </c>
      <c r="B1068" t="s">
        <v>47</v>
      </c>
      <c r="C1068" t="s">
        <v>48</v>
      </c>
      <c r="D1068" t="s">
        <v>50</v>
      </c>
      <c r="E1068">
        <v>0</v>
      </c>
    </row>
    <row r="1069" spans="1:5" x14ac:dyDescent="0.45">
      <c r="A1069" t="s">
        <v>54</v>
      </c>
      <c r="B1069" t="s">
        <v>47</v>
      </c>
      <c r="C1069" t="s">
        <v>48</v>
      </c>
      <c r="D1069" t="s">
        <v>50</v>
      </c>
      <c r="E1069">
        <v>0</v>
      </c>
    </row>
    <row r="1070" spans="1:5" x14ac:dyDescent="0.45">
      <c r="A1070" t="s">
        <v>54</v>
      </c>
      <c r="B1070" t="s">
        <v>47</v>
      </c>
      <c r="C1070" t="s">
        <v>48</v>
      </c>
      <c r="D1070" t="s">
        <v>50</v>
      </c>
      <c r="E1070">
        <v>0</v>
      </c>
    </row>
    <row r="1071" spans="1:5" x14ac:dyDescent="0.45">
      <c r="A1071" t="s">
        <v>54</v>
      </c>
      <c r="B1071" t="s">
        <v>47</v>
      </c>
      <c r="C1071" t="s">
        <v>48</v>
      </c>
      <c r="D1071" t="s">
        <v>50</v>
      </c>
      <c r="E1071">
        <v>0</v>
      </c>
    </row>
    <row r="1072" spans="1:5" x14ac:dyDescent="0.45">
      <c r="A1072" t="s">
        <v>54</v>
      </c>
      <c r="B1072" t="s">
        <v>47</v>
      </c>
      <c r="C1072" t="s">
        <v>48</v>
      </c>
      <c r="D1072" t="s">
        <v>50</v>
      </c>
      <c r="E1072">
        <v>0</v>
      </c>
    </row>
    <row r="1073" spans="1:5" x14ac:dyDescent="0.45">
      <c r="A1073" t="s">
        <v>54</v>
      </c>
      <c r="B1073" t="s">
        <v>47</v>
      </c>
      <c r="C1073" t="s">
        <v>48</v>
      </c>
      <c r="D1073" t="s">
        <v>50</v>
      </c>
      <c r="E1073">
        <v>0</v>
      </c>
    </row>
    <row r="1074" spans="1:5" x14ac:dyDescent="0.45">
      <c r="A1074" t="s">
        <v>54</v>
      </c>
      <c r="B1074" t="s">
        <v>47</v>
      </c>
      <c r="C1074" t="s">
        <v>51</v>
      </c>
      <c r="D1074" t="s">
        <v>49</v>
      </c>
      <c r="E1074">
        <v>1</v>
      </c>
    </row>
    <row r="1075" spans="1:5" x14ac:dyDescent="0.45">
      <c r="A1075" t="s">
        <v>54</v>
      </c>
      <c r="B1075" t="s">
        <v>47</v>
      </c>
      <c r="C1075" t="s">
        <v>51</v>
      </c>
      <c r="D1075" t="s">
        <v>49</v>
      </c>
      <c r="E1075">
        <v>1</v>
      </c>
    </row>
    <row r="1076" spans="1:5" x14ac:dyDescent="0.45">
      <c r="A1076" t="s">
        <v>54</v>
      </c>
      <c r="B1076" t="s">
        <v>47</v>
      </c>
      <c r="C1076" t="s">
        <v>51</v>
      </c>
      <c r="D1076" t="s">
        <v>49</v>
      </c>
      <c r="E1076">
        <v>1</v>
      </c>
    </row>
    <row r="1077" spans="1:5" x14ac:dyDescent="0.45">
      <c r="A1077" t="s">
        <v>54</v>
      </c>
      <c r="B1077" t="s">
        <v>47</v>
      </c>
      <c r="C1077" t="s">
        <v>51</v>
      </c>
      <c r="D1077" t="s">
        <v>49</v>
      </c>
      <c r="E1077">
        <v>1</v>
      </c>
    </row>
    <row r="1078" spans="1:5" x14ac:dyDescent="0.45">
      <c r="A1078" t="s">
        <v>54</v>
      </c>
      <c r="B1078" t="s">
        <v>47</v>
      </c>
      <c r="C1078" t="s">
        <v>51</v>
      </c>
      <c r="D1078" t="s">
        <v>49</v>
      </c>
      <c r="E1078">
        <v>1</v>
      </c>
    </row>
    <row r="1079" spans="1:5" x14ac:dyDescent="0.45">
      <c r="A1079" t="s">
        <v>54</v>
      </c>
      <c r="B1079" t="s">
        <v>47</v>
      </c>
      <c r="C1079" t="s">
        <v>51</v>
      </c>
      <c r="D1079" t="s">
        <v>49</v>
      </c>
      <c r="E1079">
        <v>1</v>
      </c>
    </row>
    <row r="1080" spans="1:5" x14ac:dyDescent="0.45">
      <c r="A1080" t="s">
        <v>54</v>
      </c>
      <c r="B1080" t="s">
        <v>47</v>
      </c>
      <c r="C1080" t="s">
        <v>51</v>
      </c>
      <c r="D1080" t="s">
        <v>49</v>
      </c>
      <c r="E1080">
        <v>1</v>
      </c>
    </row>
    <row r="1081" spans="1:5" x14ac:dyDescent="0.45">
      <c r="A1081" t="s">
        <v>54</v>
      </c>
      <c r="B1081" t="s">
        <v>47</v>
      </c>
      <c r="C1081" t="s">
        <v>51</v>
      </c>
      <c r="D1081" t="s">
        <v>49</v>
      </c>
      <c r="E1081">
        <v>1</v>
      </c>
    </row>
    <row r="1082" spans="1:5" x14ac:dyDescent="0.45">
      <c r="A1082" t="s">
        <v>54</v>
      </c>
      <c r="B1082" t="s">
        <v>47</v>
      </c>
      <c r="C1082" t="s">
        <v>51</v>
      </c>
      <c r="D1082" t="s">
        <v>49</v>
      </c>
      <c r="E1082">
        <v>1</v>
      </c>
    </row>
    <row r="1083" spans="1:5" x14ac:dyDescent="0.45">
      <c r="A1083" t="s">
        <v>54</v>
      </c>
      <c r="B1083" t="s">
        <v>47</v>
      </c>
      <c r="C1083" t="s">
        <v>51</v>
      </c>
      <c r="D1083" t="s">
        <v>49</v>
      </c>
      <c r="E1083">
        <v>1</v>
      </c>
    </row>
    <row r="1084" spans="1:5" x14ac:dyDescent="0.45">
      <c r="A1084" t="s">
        <v>54</v>
      </c>
      <c r="B1084" t="s">
        <v>47</v>
      </c>
      <c r="C1084" t="s">
        <v>51</v>
      </c>
      <c r="D1084" t="s">
        <v>49</v>
      </c>
      <c r="E1084">
        <v>1</v>
      </c>
    </row>
    <row r="1085" spans="1:5" x14ac:dyDescent="0.45">
      <c r="A1085" t="s">
        <v>54</v>
      </c>
      <c r="B1085" t="s">
        <v>47</v>
      </c>
      <c r="C1085" t="s">
        <v>51</v>
      </c>
      <c r="D1085" t="s">
        <v>49</v>
      </c>
      <c r="E1085">
        <v>1</v>
      </c>
    </row>
    <row r="1086" spans="1:5" x14ac:dyDescent="0.45">
      <c r="A1086" t="s">
        <v>54</v>
      </c>
      <c r="B1086" t="s">
        <v>47</v>
      </c>
      <c r="C1086" t="s">
        <v>51</v>
      </c>
      <c r="D1086" t="s">
        <v>49</v>
      </c>
      <c r="E1086">
        <v>1</v>
      </c>
    </row>
    <row r="1087" spans="1:5" x14ac:dyDescent="0.45">
      <c r="A1087" t="s">
        <v>54</v>
      </c>
      <c r="B1087" t="s">
        <v>47</v>
      </c>
      <c r="C1087" t="s">
        <v>51</v>
      </c>
      <c r="D1087" t="s">
        <v>49</v>
      </c>
      <c r="E1087">
        <v>1</v>
      </c>
    </row>
    <row r="1088" spans="1:5" x14ac:dyDescent="0.45">
      <c r="A1088" t="s">
        <v>54</v>
      </c>
      <c r="B1088" t="s">
        <v>47</v>
      </c>
      <c r="C1088" t="s">
        <v>51</v>
      </c>
      <c r="D1088" t="s">
        <v>49</v>
      </c>
      <c r="E1088">
        <v>1</v>
      </c>
    </row>
    <row r="1089" spans="1:5" x14ac:dyDescent="0.45">
      <c r="A1089" t="s">
        <v>54</v>
      </c>
      <c r="B1089" t="s">
        <v>47</v>
      </c>
      <c r="C1089" t="s">
        <v>51</v>
      </c>
      <c r="D1089" t="s">
        <v>49</v>
      </c>
      <c r="E1089">
        <v>1</v>
      </c>
    </row>
    <row r="1090" spans="1:5" x14ac:dyDescent="0.45">
      <c r="A1090" t="s">
        <v>54</v>
      </c>
      <c r="B1090" t="s">
        <v>47</v>
      </c>
      <c r="C1090" t="s">
        <v>51</v>
      </c>
      <c r="D1090" t="s">
        <v>49</v>
      </c>
      <c r="E1090">
        <v>1</v>
      </c>
    </row>
    <row r="1091" spans="1:5" x14ac:dyDescent="0.45">
      <c r="A1091" t="s">
        <v>54</v>
      </c>
      <c r="B1091" t="s">
        <v>47</v>
      </c>
      <c r="C1091" t="s">
        <v>51</v>
      </c>
      <c r="D1091" t="s">
        <v>49</v>
      </c>
      <c r="E1091">
        <v>1</v>
      </c>
    </row>
    <row r="1092" spans="1:5" x14ac:dyDescent="0.45">
      <c r="A1092" t="s">
        <v>54</v>
      </c>
      <c r="B1092" t="s">
        <v>47</v>
      </c>
      <c r="C1092" t="s">
        <v>51</v>
      </c>
      <c r="D1092" t="s">
        <v>49</v>
      </c>
      <c r="E1092">
        <v>1</v>
      </c>
    </row>
    <row r="1093" spans="1:5" x14ac:dyDescent="0.45">
      <c r="A1093" t="s">
        <v>54</v>
      </c>
      <c r="B1093" t="s">
        <v>47</v>
      </c>
      <c r="C1093" t="s">
        <v>51</v>
      </c>
      <c r="D1093" t="s">
        <v>49</v>
      </c>
      <c r="E1093">
        <v>1</v>
      </c>
    </row>
    <row r="1094" spans="1:5" x14ac:dyDescent="0.45">
      <c r="A1094" t="s">
        <v>54</v>
      </c>
      <c r="B1094" t="s">
        <v>47</v>
      </c>
      <c r="C1094" t="s">
        <v>51</v>
      </c>
      <c r="D1094" t="s">
        <v>49</v>
      </c>
      <c r="E1094">
        <v>1</v>
      </c>
    </row>
    <row r="1095" spans="1:5" x14ac:dyDescent="0.45">
      <c r="A1095" t="s">
        <v>54</v>
      </c>
      <c r="B1095" t="s">
        <v>47</v>
      </c>
      <c r="C1095" t="s">
        <v>51</v>
      </c>
      <c r="D1095" t="s">
        <v>49</v>
      </c>
      <c r="E1095">
        <v>1</v>
      </c>
    </row>
    <row r="1096" spans="1:5" x14ac:dyDescent="0.45">
      <c r="A1096" t="s">
        <v>54</v>
      </c>
      <c r="B1096" t="s">
        <v>47</v>
      </c>
      <c r="C1096" t="s">
        <v>51</v>
      </c>
      <c r="D1096" t="s">
        <v>49</v>
      </c>
      <c r="E1096">
        <v>1</v>
      </c>
    </row>
    <row r="1097" spans="1:5" x14ac:dyDescent="0.45">
      <c r="A1097" t="s">
        <v>54</v>
      </c>
      <c r="B1097" t="s">
        <v>47</v>
      </c>
      <c r="C1097" t="s">
        <v>51</v>
      </c>
      <c r="D1097" t="s">
        <v>49</v>
      </c>
      <c r="E1097">
        <v>1</v>
      </c>
    </row>
    <row r="1098" spans="1:5" x14ac:dyDescent="0.45">
      <c r="A1098" t="s">
        <v>54</v>
      </c>
      <c r="B1098" t="s">
        <v>47</v>
      </c>
      <c r="C1098" t="s">
        <v>51</v>
      </c>
      <c r="D1098" t="s">
        <v>49</v>
      </c>
      <c r="E1098">
        <v>1</v>
      </c>
    </row>
    <row r="1099" spans="1:5" x14ac:dyDescent="0.45">
      <c r="A1099" t="s">
        <v>54</v>
      </c>
      <c r="B1099" t="s">
        <v>47</v>
      </c>
      <c r="C1099" t="s">
        <v>51</v>
      </c>
      <c r="D1099" t="s">
        <v>49</v>
      </c>
      <c r="E1099">
        <v>1</v>
      </c>
    </row>
    <row r="1100" spans="1:5" x14ac:dyDescent="0.45">
      <c r="A1100" t="s">
        <v>54</v>
      </c>
      <c r="B1100" t="s">
        <v>47</v>
      </c>
      <c r="C1100" t="s">
        <v>51</v>
      </c>
      <c r="D1100" t="s">
        <v>49</v>
      </c>
      <c r="E1100">
        <v>1</v>
      </c>
    </row>
    <row r="1101" spans="1:5" x14ac:dyDescent="0.45">
      <c r="A1101" t="s">
        <v>54</v>
      </c>
      <c r="B1101" t="s">
        <v>47</v>
      </c>
      <c r="C1101" t="s">
        <v>51</v>
      </c>
      <c r="D1101" t="s">
        <v>49</v>
      </c>
      <c r="E1101">
        <v>1</v>
      </c>
    </row>
    <row r="1102" spans="1:5" x14ac:dyDescent="0.45">
      <c r="A1102" t="s">
        <v>54</v>
      </c>
      <c r="B1102" t="s">
        <v>47</v>
      </c>
      <c r="C1102" t="s">
        <v>51</v>
      </c>
      <c r="D1102" t="s">
        <v>49</v>
      </c>
      <c r="E1102">
        <v>1</v>
      </c>
    </row>
    <row r="1103" spans="1:5" x14ac:dyDescent="0.45">
      <c r="A1103" t="s">
        <v>54</v>
      </c>
      <c r="B1103" t="s">
        <v>47</v>
      </c>
      <c r="C1103" t="s">
        <v>51</v>
      </c>
      <c r="D1103" t="s">
        <v>49</v>
      </c>
      <c r="E1103">
        <v>1</v>
      </c>
    </row>
    <row r="1104" spans="1:5" x14ac:dyDescent="0.45">
      <c r="A1104" t="s">
        <v>54</v>
      </c>
      <c r="B1104" t="s">
        <v>47</v>
      </c>
      <c r="C1104" t="s">
        <v>51</v>
      </c>
      <c r="D1104" t="s">
        <v>49</v>
      </c>
      <c r="E1104">
        <v>1</v>
      </c>
    </row>
    <row r="1105" spans="1:5" x14ac:dyDescent="0.45">
      <c r="A1105" t="s">
        <v>54</v>
      </c>
      <c r="B1105" t="s">
        <v>47</v>
      </c>
      <c r="C1105" t="s">
        <v>51</v>
      </c>
      <c r="D1105" t="s">
        <v>49</v>
      </c>
      <c r="E1105">
        <v>1</v>
      </c>
    </row>
    <row r="1106" spans="1:5" x14ac:dyDescent="0.45">
      <c r="A1106" t="s">
        <v>54</v>
      </c>
      <c r="B1106" t="s">
        <v>47</v>
      </c>
      <c r="C1106" t="s">
        <v>51</v>
      </c>
      <c r="D1106" t="s">
        <v>49</v>
      </c>
      <c r="E1106">
        <v>1</v>
      </c>
    </row>
    <row r="1107" spans="1:5" x14ac:dyDescent="0.45">
      <c r="A1107" t="s">
        <v>54</v>
      </c>
      <c r="B1107" t="s">
        <v>47</v>
      </c>
      <c r="C1107" t="s">
        <v>51</v>
      </c>
      <c r="D1107" t="s">
        <v>49</v>
      </c>
      <c r="E1107">
        <v>1</v>
      </c>
    </row>
    <row r="1108" spans="1:5" x14ac:dyDescent="0.45">
      <c r="A1108" t="s">
        <v>54</v>
      </c>
      <c r="B1108" t="s">
        <v>47</v>
      </c>
      <c r="C1108" t="s">
        <v>51</v>
      </c>
      <c r="D1108" t="s">
        <v>49</v>
      </c>
      <c r="E1108">
        <v>1</v>
      </c>
    </row>
    <row r="1109" spans="1:5" x14ac:dyDescent="0.45">
      <c r="A1109" t="s">
        <v>54</v>
      </c>
      <c r="B1109" t="s">
        <v>47</v>
      </c>
      <c r="C1109" t="s">
        <v>51</v>
      </c>
      <c r="D1109" t="s">
        <v>49</v>
      </c>
      <c r="E1109">
        <v>1</v>
      </c>
    </row>
    <row r="1110" spans="1:5" x14ac:dyDescent="0.45">
      <c r="A1110" t="s">
        <v>54</v>
      </c>
      <c r="B1110" t="s">
        <v>47</v>
      </c>
      <c r="C1110" t="s">
        <v>51</v>
      </c>
      <c r="D1110" t="s">
        <v>49</v>
      </c>
      <c r="E1110">
        <v>1</v>
      </c>
    </row>
    <row r="1111" spans="1:5" x14ac:dyDescent="0.45">
      <c r="A1111" t="s">
        <v>54</v>
      </c>
      <c r="B1111" t="s">
        <v>47</v>
      </c>
      <c r="C1111" t="s">
        <v>51</v>
      </c>
      <c r="D1111" t="s">
        <v>49</v>
      </c>
      <c r="E1111">
        <v>1</v>
      </c>
    </row>
    <row r="1112" spans="1:5" x14ac:dyDescent="0.45">
      <c r="A1112" t="s">
        <v>54</v>
      </c>
      <c r="B1112" t="s">
        <v>47</v>
      </c>
      <c r="C1112" t="s">
        <v>51</v>
      </c>
      <c r="D1112" t="s">
        <v>49</v>
      </c>
      <c r="E1112">
        <v>1</v>
      </c>
    </row>
    <row r="1113" spans="1:5" x14ac:dyDescent="0.45">
      <c r="A1113" t="s">
        <v>54</v>
      </c>
      <c r="B1113" t="s">
        <v>47</v>
      </c>
      <c r="C1113" t="s">
        <v>51</v>
      </c>
      <c r="D1113" t="s">
        <v>49</v>
      </c>
      <c r="E1113">
        <v>1</v>
      </c>
    </row>
    <row r="1114" spans="1:5" x14ac:dyDescent="0.45">
      <c r="A1114" t="s">
        <v>54</v>
      </c>
      <c r="B1114" t="s">
        <v>47</v>
      </c>
      <c r="C1114" t="s">
        <v>51</v>
      </c>
      <c r="D1114" t="s">
        <v>49</v>
      </c>
      <c r="E1114">
        <v>1</v>
      </c>
    </row>
    <row r="1115" spans="1:5" x14ac:dyDescent="0.45">
      <c r="A1115" t="s">
        <v>54</v>
      </c>
      <c r="B1115" t="s">
        <v>47</v>
      </c>
      <c r="C1115" t="s">
        <v>51</v>
      </c>
      <c r="D1115" t="s">
        <v>49</v>
      </c>
      <c r="E1115">
        <v>1</v>
      </c>
    </row>
    <row r="1116" spans="1:5" x14ac:dyDescent="0.45">
      <c r="A1116" t="s">
        <v>54</v>
      </c>
      <c r="B1116" t="s">
        <v>47</v>
      </c>
      <c r="C1116" t="s">
        <v>51</v>
      </c>
      <c r="D1116" t="s">
        <v>49</v>
      </c>
      <c r="E1116">
        <v>1</v>
      </c>
    </row>
    <row r="1117" spans="1:5" x14ac:dyDescent="0.45">
      <c r="A1117" t="s">
        <v>54</v>
      </c>
      <c r="B1117" t="s">
        <v>47</v>
      </c>
      <c r="C1117" t="s">
        <v>51</v>
      </c>
      <c r="D1117" t="s">
        <v>49</v>
      </c>
      <c r="E1117">
        <v>1</v>
      </c>
    </row>
    <row r="1118" spans="1:5" x14ac:dyDescent="0.45">
      <c r="A1118" t="s">
        <v>54</v>
      </c>
      <c r="B1118" t="s">
        <v>47</v>
      </c>
      <c r="C1118" t="s">
        <v>51</v>
      </c>
      <c r="D1118" t="s">
        <v>49</v>
      </c>
      <c r="E1118">
        <v>1</v>
      </c>
    </row>
    <row r="1119" spans="1:5" x14ac:dyDescent="0.45">
      <c r="A1119" t="s">
        <v>54</v>
      </c>
      <c r="B1119" t="s">
        <v>47</v>
      </c>
      <c r="C1119" t="s">
        <v>51</v>
      </c>
      <c r="D1119" t="s">
        <v>49</v>
      </c>
      <c r="E1119">
        <v>1</v>
      </c>
    </row>
    <row r="1120" spans="1:5" x14ac:dyDescent="0.45">
      <c r="A1120" t="s">
        <v>54</v>
      </c>
      <c r="B1120" t="s">
        <v>47</v>
      </c>
      <c r="C1120" t="s">
        <v>51</v>
      </c>
      <c r="D1120" t="s">
        <v>49</v>
      </c>
      <c r="E1120">
        <v>1</v>
      </c>
    </row>
    <row r="1121" spans="1:5" x14ac:dyDescent="0.45">
      <c r="A1121" t="s">
        <v>54</v>
      </c>
      <c r="B1121" t="s">
        <v>47</v>
      </c>
      <c r="C1121" t="s">
        <v>51</v>
      </c>
      <c r="D1121" t="s">
        <v>49</v>
      </c>
      <c r="E1121">
        <v>1</v>
      </c>
    </row>
    <row r="1122" spans="1:5" x14ac:dyDescent="0.45">
      <c r="A1122" t="s">
        <v>54</v>
      </c>
      <c r="B1122" t="s">
        <v>47</v>
      </c>
      <c r="C1122" t="s">
        <v>51</v>
      </c>
      <c r="D1122" t="s">
        <v>49</v>
      </c>
      <c r="E1122">
        <v>1</v>
      </c>
    </row>
    <row r="1123" spans="1:5" x14ac:dyDescent="0.45">
      <c r="A1123" t="s">
        <v>54</v>
      </c>
      <c r="B1123" t="s">
        <v>47</v>
      </c>
      <c r="C1123" t="s">
        <v>51</v>
      </c>
      <c r="D1123" t="s">
        <v>49</v>
      </c>
      <c r="E1123">
        <v>1</v>
      </c>
    </row>
    <row r="1124" spans="1:5" x14ac:dyDescent="0.45">
      <c r="A1124" t="s">
        <v>54</v>
      </c>
      <c r="B1124" t="s">
        <v>47</v>
      </c>
      <c r="C1124" t="s">
        <v>51</v>
      </c>
      <c r="D1124" t="s">
        <v>49</v>
      </c>
      <c r="E1124">
        <v>1</v>
      </c>
    </row>
    <row r="1125" spans="1:5" x14ac:dyDescent="0.45">
      <c r="A1125" t="s">
        <v>54</v>
      </c>
      <c r="B1125" t="s">
        <v>47</v>
      </c>
      <c r="C1125" t="s">
        <v>51</v>
      </c>
      <c r="D1125" t="s">
        <v>49</v>
      </c>
      <c r="E1125">
        <v>1</v>
      </c>
    </row>
    <row r="1126" spans="1:5" x14ac:dyDescent="0.45">
      <c r="A1126" t="s">
        <v>54</v>
      </c>
      <c r="B1126" t="s">
        <v>47</v>
      </c>
      <c r="C1126" t="s">
        <v>51</v>
      </c>
      <c r="D1126" t="s">
        <v>49</v>
      </c>
      <c r="E1126">
        <v>1</v>
      </c>
    </row>
    <row r="1127" spans="1:5" x14ac:dyDescent="0.45">
      <c r="A1127" t="s">
        <v>54</v>
      </c>
      <c r="B1127" t="s">
        <v>47</v>
      </c>
      <c r="C1127" t="s">
        <v>51</v>
      </c>
      <c r="D1127" t="s">
        <v>49</v>
      </c>
      <c r="E1127">
        <v>1</v>
      </c>
    </row>
    <row r="1128" spans="1:5" x14ac:dyDescent="0.45">
      <c r="A1128" t="s">
        <v>54</v>
      </c>
      <c r="B1128" t="s">
        <v>47</v>
      </c>
      <c r="C1128" t="s">
        <v>51</v>
      </c>
      <c r="D1128" t="s">
        <v>49</v>
      </c>
      <c r="E1128">
        <v>1</v>
      </c>
    </row>
    <row r="1129" spans="1:5" x14ac:dyDescent="0.45">
      <c r="A1129" t="s">
        <v>54</v>
      </c>
      <c r="B1129" t="s">
        <v>47</v>
      </c>
      <c r="C1129" t="s">
        <v>51</v>
      </c>
      <c r="D1129" t="s">
        <v>49</v>
      </c>
      <c r="E1129">
        <v>1</v>
      </c>
    </row>
    <row r="1130" spans="1:5" x14ac:dyDescent="0.45">
      <c r="A1130" t="s">
        <v>54</v>
      </c>
      <c r="B1130" t="s">
        <v>47</v>
      </c>
      <c r="C1130" t="s">
        <v>51</v>
      </c>
      <c r="D1130" t="s">
        <v>49</v>
      </c>
      <c r="E1130">
        <v>1</v>
      </c>
    </row>
    <row r="1131" spans="1:5" x14ac:dyDescent="0.45">
      <c r="A1131" t="s">
        <v>54</v>
      </c>
      <c r="B1131" t="s">
        <v>47</v>
      </c>
      <c r="C1131" t="s">
        <v>51</v>
      </c>
      <c r="D1131" t="s">
        <v>49</v>
      </c>
      <c r="E1131">
        <v>1</v>
      </c>
    </row>
    <row r="1132" spans="1:5" x14ac:dyDescent="0.45">
      <c r="A1132" t="s">
        <v>54</v>
      </c>
      <c r="B1132" t="s">
        <v>47</v>
      </c>
      <c r="C1132" t="s">
        <v>51</v>
      </c>
      <c r="D1132" t="s">
        <v>49</v>
      </c>
      <c r="E1132">
        <v>1</v>
      </c>
    </row>
    <row r="1133" spans="1:5" x14ac:dyDescent="0.45">
      <c r="A1133" t="s">
        <v>54</v>
      </c>
      <c r="B1133" t="s">
        <v>47</v>
      </c>
      <c r="C1133" t="s">
        <v>51</v>
      </c>
      <c r="D1133" t="s">
        <v>49</v>
      </c>
      <c r="E1133">
        <v>1</v>
      </c>
    </row>
    <row r="1134" spans="1:5" x14ac:dyDescent="0.45">
      <c r="A1134" t="s">
        <v>54</v>
      </c>
      <c r="B1134" t="s">
        <v>47</v>
      </c>
      <c r="C1134" t="s">
        <v>51</v>
      </c>
      <c r="D1134" t="s">
        <v>49</v>
      </c>
      <c r="E1134">
        <v>1</v>
      </c>
    </row>
    <row r="1135" spans="1:5" x14ac:dyDescent="0.45">
      <c r="A1135" t="s">
        <v>54</v>
      </c>
      <c r="B1135" t="s">
        <v>47</v>
      </c>
      <c r="C1135" t="s">
        <v>51</v>
      </c>
      <c r="D1135" t="s">
        <v>49</v>
      </c>
      <c r="E1135">
        <v>1</v>
      </c>
    </row>
    <row r="1136" spans="1:5" x14ac:dyDescent="0.45">
      <c r="A1136" t="s">
        <v>54</v>
      </c>
      <c r="B1136" t="s">
        <v>47</v>
      </c>
      <c r="C1136" t="s">
        <v>51</v>
      </c>
      <c r="D1136" t="s">
        <v>49</v>
      </c>
      <c r="E1136">
        <v>1</v>
      </c>
    </row>
    <row r="1137" spans="1:5" x14ac:dyDescent="0.45">
      <c r="A1137" t="s">
        <v>54</v>
      </c>
      <c r="B1137" t="s">
        <v>47</v>
      </c>
      <c r="C1137" t="s">
        <v>51</v>
      </c>
      <c r="D1137" t="s">
        <v>49</v>
      </c>
      <c r="E1137">
        <v>1</v>
      </c>
    </row>
    <row r="1138" spans="1:5" x14ac:dyDescent="0.45">
      <c r="A1138" t="s">
        <v>54</v>
      </c>
      <c r="B1138" t="s">
        <v>47</v>
      </c>
      <c r="C1138" t="s">
        <v>51</v>
      </c>
      <c r="D1138" t="s">
        <v>49</v>
      </c>
      <c r="E1138">
        <v>1</v>
      </c>
    </row>
    <row r="1139" spans="1:5" x14ac:dyDescent="0.45">
      <c r="A1139" t="s">
        <v>54</v>
      </c>
      <c r="B1139" t="s">
        <v>47</v>
      </c>
      <c r="C1139" t="s">
        <v>51</v>
      </c>
      <c r="D1139" t="s">
        <v>49</v>
      </c>
      <c r="E1139">
        <v>1</v>
      </c>
    </row>
    <row r="1140" spans="1:5" x14ac:dyDescent="0.45">
      <c r="A1140" t="s">
        <v>54</v>
      </c>
      <c r="B1140" t="s">
        <v>47</v>
      </c>
      <c r="C1140" t="s">
        <v>51</v>
      </c>
      <c r="D1140" t="s">
        <v>49</v>
      </c>
      <c r="E1140">
        <v>1</v>
      </c>
    </row>
    <row r="1141" spans="1:5" x14ac:dyDescent="0.45">
      <c r="A1141" t="s">
        <v>54</v>
      </c>
      <c r="B1141" t="s">
        <v>47</v>
      </c>
      <c r="C1141" t="s">
        <v>51</v>
      </c>
      <c r="D1141" t="s">
        <v>49</v>
      </c>
      <c r="E1141">
        <v>1</v>
      </c>
    </row>
    <row r="1142" spans="1:5" x14ac:dyDescent="0.45">
      <c r="A1142" t="s">
        <v>54</v>
      </c>
      <c r="B1142" t="s">
        <v>47</v>
      </c>
      <c r="C1142" t="s">
        <v>51</v>
      </c>
      <c r="D1142" t="s">
        <v>49</v>
      </c>
      <c r="E1142">
        <v>1</v>
      </c>
    </row>
    <row r="1143" spans="1:5" x14ac:dyDescent="0.45">
      <c r="A1143" t="s">
        <v>54</v>
      </c>
      <c r="B1143" t="s">
        <v>47</v>
      </c>
      <c r="C1143" t="s">
        <v>51</v>
      </c>
      <c r="D1143" t="s">
        <v>49</v>
      </c>
      <c r="E1143">
        <v>1</v>
      </c>
    </row>
    <row r="1144" spans="1:5" x14ac:dyDescent="0.45">
      <c r="A1144" t="s">
        <v>54</v>
      </c>
      <c r="B1144" t="s">
        <v>47</v>
      </c>
      <c r="C1144" t="s">
        <v>51</v>
      </c>
      <c r="D1144" t="s">
        <v>49</v>
      </c>
      <c r="E1144">
        <v>1</v>
      </c>
    </row>
    <row r="1145" spans="1:5" x14ac:dyDescent="0.45">
      <c r="A1145" t="s">
        <v>54</v>
      </c>
      <c r="B1145" t="s">
        <v>47</v>
      </c>
      <c r="C1145" t="s">
        <v>51</v>
      </c>
      <c r="D1145" t="s">
        <v>49</v>
      </c>
      <c r="E1145">
        <v>1</v>
      </c>
    </row>
    <row r="1146" spans="1:5" x14ac:dyDescent="0.45">
      <c r="A1146" t="s">
        <v>54</v>
      </c>
      <c r="B1146" t="s">
        <v>47</v>
      </c>
      <c r="C1146" t="s">
        <v>51</v>
      </c>
      <c r="D1146" t="s">
        <v>49</v>
      </c>
      <c r="E1146">
        <v>1</v>
      </c>
    </row>
    <row r="1147" spans="1:5" x14ac:dyDescent="0.45">
      <c r="A1147" t="s">
        <v>54</v>
      </c>
      <c r="B1147" t="s">
        <v>47</v>
      </c>
      <c r="C1147" t="s">
        <v>51</v>
      </c>
      <c r="D1147" t="s">
        <v>49</v>
      </c>
      <c r="E1147">
        <v>1</v>
      </c>
    </row>
    <row r="1148" spans="1:5" x14ac:dyDescent="0.45">
      <c r="A1148" t="s">
        <v>54</v>
      </c>
      <c r="B1148" t="s">
        <v>47</v>
      </c>
      <c r="C1148" t="s">
        <v>51</v>
      </c>
      <c r="D1148" t="s">
        <v>49</v>
      </c>
      <c r="E1148">
        <v>1</v>
      </c>
    </row>
    <row r="1149" spans="1:5" x14ac:dyDescent="0.45">
      <c r="A1149" t="s">
        <v>54</v>
      </c>
      <c r="B1149" t="s">
        <v>47</v>
      </c>
      <c r="C1149" t="s">
        <v>51</v>
      </c>
      <c r="D1149" t="s">
        <v>49</v>
      </c>
      <c r="E1149">
        <v>1</v>
      </c>
    </row>
    <row r="1150" spans="1:5" x14ac:dyDescent="0.45">
      <c r="A1150" t="s">
        <v>54</v>
      </c>
      <c r="B1150" t="s">
        <v>47</v>
      </c>
      <c r="C1150" t="s">
        <v>51</v>
      </c>
      <c r="D1150" t="s">
        <v>50</v>
      </c>
      <c r="E1150">
        <v>0</v>
      </c>
    </row>
    <row r="1151" spans="1:5" x14ac:dyDescent="0.45">
      <c r="A1151" t="s">
        <v>54</v>
      </c>
      <c r="B1151" t="s">
        <v>47</v>
      </c>
      <c r="C1151" t="s">
        <v>51</v>
      </c>
      <c r="D1151" t="s">
        <v>50</v>
      </c>
      <c r="E1151">
        <v>0</v>
      </c>
    </row>
    <row r="1152" spans="1:5" x14ac:dyDescent="0.45">
      <c r="A1152" t="s">
        <v>54</v>
      </c>
      <c r="B1152" t="s">
        <v>47</v>
      </c>
      <c r="C1152" t="s">
        <v>51</v>
      </c>
      <c r="D1152" t="s">
        <v>50</v>
      </c>
      <c r="E1152">
        <v>0</v>
      </c>
    </row>
    <row r="1153" spans="1:5" x14ac:dyDescent="0.45">
      <c r="A1153" t="s">
        <v>54</v>
      </c>
      <c r="B1153" t="s">
        <v>47</v>
      </c>
      <c r="C1153" t="s">
        <v>51</v>
      </c>
      <c r="D1153" t="s">
        <v>50</v>
      </c>
      <c r="E1153">
        <v>0</v>
      </c>
    </row>
    <row r="1154" spans="1:5" x14ac:dyDescent="0.45">
      <c r="A1154" t="s">
        <v>54</v>
      </c>
      <c r="B1154" t="s">
        <v>47</v>
      </c>
      <c r="C1154" t="s">
        <v>51</v>
      </c>
      <c r="D1154" t="s">
        <v>50</v>
      </c>
      <c r="E1154">
        <v>0</v>
      </c>
    </row>
    <row r="1155" spans="1:5" x14ac:dyDescent="0.45">
      <c r="A1155" t="s">
        <v>54</v>
      </c>
      <c r="B1155" t="s">
        <v>47</v>
      </c>
      <c r="C1155" t="s">
        <v>51</v>
      </c>
      <c r="D1155" t="s">
        <v>50</v>
      </c>
      <c r="E1155">
        <v>0</v>
      </c>
    </row>
    <row r="1156" spans="1:5" x14ac:dyDescent="0.45">
      <c r="A1156" t="s">
        <v>54</v>
      </c>
      <c r="B1156" t="s">
        <v>47</v>
      </c>
      <c r="C1156" t="s">
        <v>51</v>
      </c>
      <c r="D1156" t="s">
        <v>50</v>
      </c>
      <c r="E1156">
        <v>0</v>
      </c>
    </row>
    <row r="1157" spans="1:5" x14ac:dyDescent="0.45">
      <c r="A1157" t="s">
        <v>54</v>
      </c>
      <c r="B1157" t="s">
        <v>47</v>
      </c>
      <c r="C1157" t="s">
        <v>51</v>
      </c>
      <c r="D1157" t="s">
        <v>50</v>
      </c>
      <c r="E1157">
        <v>0</v>
      </c>
    </row>
    <row r="1158" spans="1:5" x14ac:dyDescent="0.45">
      <c r="A1158" t="s">
        <v>54</v>
      </c>
      <c r="B1158" t="s">
        <v>47</v>
      </c>
      <c r="C1158" t="s">
        <v>51</v>
      </c>
      <c r="D1158" t="s">
        <v>50</v>
      </c>
      <c r="E1158">
        <v>0</v>
      </c>
    </row>
    <row r="1159" spans="1:5" x14ac:dyDescent="0.45">
      <c r="A1159" t="s">
        <v>54</v>
      </c>
      <c r="B1159" t="s">
        <v>47</v>
      </c>
      <c r="C1159" t="s">
        <v>51</v>
      </c>
      <c r="D1159" t="s">
        <v>50</v>
      </c>
      <c r="E1159">
        <v>0</v>
      </c>
    </row>
    <row r="1160" spans="1:5" x14ac:dyDescent="0.45">
      <c r="A1160" t="s">
        <v>54</v>
      </c>
      <c r="B1160" t="s">
        <v>47</v>
      </c>
      <c r="C1160" t="s">
        <v>51</v>
      </c>
      <c r="D1160" t="s">
        <v>50</v>
      </c>
      <c r="E1160">
        <v>0</v>
      </c>
    </row>
    <row r="1161" spans="1:5" x14ac:dyDescent="0.45">
      <c r="A1161" t="s">
        <v>54</v>
      </c>
      <c r="B1161" t="s">
        <v>47</v>
      </c>
      <c r="C1161" t="s">
        <v>51</v>
      </c>
      <c r="D1161" t="s">
        <v>50</v>
      </c>
      <c r="E1161">
        <v>0</v>
      </c>
    </row>
    <row r="1162" spans="1:5" x14ac:dyDescent="0.45">
      <c r="A1162" t="s">
        <v>54</v>
      </c>
      <c r="B1162" t="s">
        <v>47</v>
      </c>
      <c r="C1162" t="s">
        <v>51</v>
      </c>
      <c r="D1162" t="s">
        <v>50</v>
      </c>
      <c r="E1162">
        <v>0</v>
      </c>
    </row>
    <row r="1163" spans="1:5" x14ac:dyDescent="0.45">
      <c r="A1163" t="s">
        <v>54</v>
      </c>
      <c r="B1163" t="s">
        <v>47</v>
      </c>
      <c r="C1163" t="s">
        <v>51</v>
      </c>
      <c r="D1163" t="s">
        <v>50</v>
      </c>
      <c r="E1163">
        <v>0</v>
      </c>
    </row>
    <row r="1164" spans="1:5" x14ac:dyDescent="0.45">
      <c r="A1164" t="s">
        <v>54</v>
      </c>
      <c r="B1164" t="s">
        <v>47</v>
      </c>
      <c r="C1164" t="s">
        <v>51</v>
      </c>
      <c r="D1164" t="s">
        <v>50</v>
      </c>
      <c r="E1164">
        <v>0</v>
      </c>
    </row>
    <row r="1165" spans="1:5" x14ac:dyDescent="0.45">
      <c r="A1165" t="s">
        <v>54</v>
      </c>
      <c r="B1165" t="s">
        <v>47</v>
      </c>
      <c r="C1165" t="s">
        <v>51</v>
      </c>
      <c r="D1165" t="s">
        <v>50</v>
      </c>
      <c r="E1165">
        <v>0</v>
      </c>
    </row>
    <row r="1166" spans="1:5" x14ac:dyDescent="0.45">
      <c r="A1166" t="s">
        <v>54</v>
      </c>
      <c r="B1166" t="s">
        <v>47</v>
      </c>
      <c r="C1166" t="s">
        <v>51</v>
      </c>
      <c r="D1166" t="s">
        <v>50</v>
      </c>
      <c r="E1166">
        <v>0</v>
      </c>
    </row>
    <row r="1167" spans="1:5" x14ac:dyDescent="0.45">
      <c r="A1167" t="s">
        <v>54</v>
      </c>
      <c r="B1167" t="s">
        <v>47</v>
      </c>
      <c r="C1167" t="s">
        <v>51</v>
      </c>
      <c r="D1167" t="s">
        <v>50</v>
      </c>
      <c r="E1167">
        <v>0</v>
      </c>
    </row>
    <row r="1168" spans="1:5" x14ac:dyDescent="0.45">
      <c r="A1168" t="s">
        <v>54</v>
      </c>
      <c r="B1168" t="s">
        <v>47</v>
      </c>
      <c r="C1168" t="s">
        <v>51</v>
      </c>
      <c r="D1168" t="s">
        <v>50</v>
      </c>
      <c r="E1168">
        <v>0</v>
      </c>
    </row>
    <row r="1169" spans="1:5" x14ac:dyDescent="0.45">
      <c r="A1169" t="s">
        <v>54</v>
      </c>
      <c r="B1169" t="s">
        <v>47</v>
      </c>
      <c r="C1169" t="s">
        <v>51</v>
      </c>
      <c r="D1169" t="s">
        <v>50</v>
      </c>
      <c r="E1169">
        <v>0</v>
      </c>
    </row>
    <row r="1170" spans="1:5" x14ac:dyDescent="0.45">
      <c r="A1170" t="s">
        <v>54</v>
      </c>
      <c r="B1170" t="s">
        <v>47</v>
      </c>
      <c r="C1170" t="s">
        <v>51</v>
      </c>
      <c r="D1170" t="s">
        <v>50</v>
      </c>
      <c r="E1170">
        <v>0</v>
      </c>
    </row>
    <row r="1171" spans="1:5" x14ac:dyDescent="0.45">
      <c r="A1171" t="s">
        <v>54</v>
      </c>
      <c r="B1171" t="s">
        <v>47</v>
      </c>
      <c r="C1171" t="s">
        <v>51</v>
      </c>
      <c r="D1171" t="s">
        <v>50</v>
      </c>
      <c r="E1171">
        <v>0</v>
      </c>
    </row>
    <row r="1172" spans="1:5" x14ac:dyDescent="0.45">
      <c r="A1172" t="s">
        <v>54</v>
      </c>
      <c r="B1172" t="s">
        <v>47</v>
      </c>
      <c r="C1172" t="s">
        <v>51</v>
      </c>
      <c r="D1172" t="s">
        <v>50</v>
      </c>
      <c r="E1172">
        <v>0</v>
      </c>
    </row>
    <row r="1173" spans="1:5" x14ac:dyDescent="0.45">
      <c r="A1173" t="s">
        <v>54</v>
      </c>
      <c r="B1173" t="s">
        <v>47</v>
      </c>
      <c r="C1173" t="s">
        <v>51</v>
      </c>
      <c r="D1173" t="s">
        <v>50</v>
      </c>
      <c r="E1173">
        <v>0</v>
      </c>
    </row>
    <row r="1174" spans="1:5" x14ac:dyDescent="0.45">
      <c r="A1174" t="s">
        <v>54</v>
      </c>
      <c r="B1174" t="s">
        <v>47</v>
      </c>
      <c r="C1174" t="s">
        <v>51</v>
      </c>
      <c r="D1174" t="s">
        <v>50</v>
      </c>
      <c r="E1174">
        <v>0</v>
      </c>
    </row>
    <row r="1175" spans="1:5" x14ac:dyDescent="0.45">
      <c r="A1175" t="s">
        <v>54</v>
      </c>
      <c r="B1175" t="s">
        <v>47</v>
      </c>
      <c r="C1175" t="s">
        <v>51</v>
      </c>
      <c r="D1175" t="s">
        <v>50</v>
      </c>
      <c r="E1175">
        <v>0</v>
      </c>
    </row>
    <row r="1176" spans="1:5" x14ac:dyDescent="0.45">
      <c r="A1176" t="s">
        <v>54</v>
      </c>
      <c r="B1176" t="s">
        <v>47</v>
      </c>
      <c r="C1176" t="s">
        <v>51</v>
      </c>
      <c r="D1176" t="s">
        <v>50</v>
      </c>
      <c r="E1176">
        <v>0</v>
      </c>
    </row>
    <row r="1177" spans="1:5" x14ac:dyDescent="0.45">
      <c r="A1177" t="s">
        <v>54</v>
      </c>
      <c r="B1177" t="s">
        <v>47</v>
      </c>
      <c r="C1177" t="s">
        <v>51</v>
      </c>
      <c r="D1177" t="s">
        <v>50</v>
      </c>
      <c r="E1177">
        <v>0</v>
      </c>
    </row>
    <row r="1178" spans="1:5" x14ac:dyDescent="0.45">
      <c r="A1178" t="s">
        <v>54</v>
      </c>
      <c r="B1178" t="s">
        <v>47</v>
      </c>
      <c r="C1178" t="s">
        <v>51</v>
      </c>
      <c r="D1178" t="s">
        <v>50</v>
      </c>
      <c r="E1178">
        <v>0</v>
      </c>
    </row>
    <row r="1179" spans="1:5" x14ac:dyDescent="0.45">
      <c r="A1179" t="s">
        <v>54</v>
      </c>
      <c r="B1179" t="s">
        <v>47</v>
      </c>
      <c r="C1179" t="s">
        <v>51</v>
      </c>
      <c r="D1179" t="s">
        <v>50</v>
      </c>
      <c r="E1179">
        <v>0</v>
      </c>
    </row>
    <row r="1180" spans="1:5" x14ac:dyDescent="0.45">
      <c r="A1180" t="s">
        <v>54</v>
      </c>
      <c r="B1180" t="s">
        <v>47</v>
      </c>
      <c r="C1180" t="s">
        <v>51</v>
      </c>
      <c r="D1180" t="s">
        <v>50</v>
      </c>
      <c r="E1180">
        <v>0</v>
      </c>
    </row>
    <row r="1181" spans="1:5" x14ac:dyDescent="0.45">
      <c r="A1181" t="s">
        <v>54</v>
      </c>
      <c r="B1181" t="s">
        <v>47</v>
      </c>
      <c r="C1181" t="s">
        <v>51</v>
      </c>
      <c r="D1181" t="s">
        <v>50</v>
      </c>
      <c r="E1181">
        <v>0</v>
      </c>
    </row>
    <row r="1182" spans="1:5" x14ac:dyDescent="0.45">
      <c r="A1182" t="s">
        <v>54</v>
      </c>
      <c r="B1182" t="s">
        <v>47</v>
      </c>
      <c r="C1182" t="s">
        <v>51</v>
      </c>
      <c r="D1182" t="s">
        <v>50</v>
      </c>
      <c r="E1182">
        <v>0</v>
      </c>
    </row>
    <row r="1183" spans="1:5" x14ac:dyDescent="0.45">
      <c r="A1183" t="s">
        <v>54</v>
      </c>
      <c r="B1183" t="s">
        <v>47</v>
      </c>
      <c r="C1183" t="s">
        <v>51</v>
      </c>
      <c r="D1183" t="s">
        <v>50</v>
      </c>
      <c r="E1183">
        <v>0</v>
      </c>
    </row>
    <row r="1184" spans="1:5" x14ac:dyDescent="0.45">
      <c r="A1184" t="s">
        <v>54</v>
      </c>
      <c r="B1184" t="s">
        <v>47</v>
      </c>
      <c r="C1184" t="s">
        <v>51</v>
      </c>
      <c r="D1184" t="s">
        <v>50</v>
      </c>
      <c r="E1184">
        <v>0</v>
      </c>
    </row>
    <row r="1185" spans="1:5" x14ac:dyDescent="0.45">
      <c r="A1185" t="s">
        <v>54</v>
      </c>
      <c r="B1185" t="s">
        <v>47</v>
      </c>
      <c r="C1185" t="s">
        <v>51</v>
      </c>
      <c r="D1185" t="s">
        <v>50</v>
      </c>
      <c r="E1185">
        <v>0</v>
      </c>
    </row>
    <row r="1186" spans="1:5" x14ac:dyDescent="0.45">
      <c r="A1186" t="s">
        <v>54</v>
      </c>
      <c r="B1186" t="s">
        <v>47</v>
      </c>
      <c r="C1186" t="s">
        <v>51</v>
      </c>
      <c r="D1186" t="s">
        <v>50</v>
      </c>
      <c r="E1186">
        <v>0</v>
      </c>
    </row>
    <row r="1187" spans="1:5" x14ac:dyDescent="0.45">
      <c r="A1187" t="s">
        <v>54</v>
      </c>
      <c r="B1187" t="s">
        <v>47</v>
      </c>
      <c r="C1187" t="s">
        <v>51</v>
      </c>
      <c r="D1187" t="s">
        <v>50</v>
      </c>
      <c r="E1187">
        <v>0</v>
      </c>
    </row>
    <row r="1188" spans="1:5" x14ac:dyDescent="0.45">
      <c r="A1188" t="s">
        <v>54</v>
      </c>
      <c r="B1188" t="s">
        <v>47</v>
      </c>
      <c r="C1188" t="s">
        <v>51</v>
      </c>
      <c r="D1188" t="s">
        <v>50</v>
      </c>
      <c r="E1188">
        <v>0</v>
      </c>
    </row>
    <row r="1189" spans="1:5" x14ac:dyDescent="0.45">
      <c r="A1189" t="s">
        <v>54</v>
      </c>
      <c r="B1189" t="s">
        <v>47</v>
      </c>
      <c r="C1189" t="s">
        <v>51</v>
      </c>
      <c r="D1189" t="s">
        <v>50</v>
      </c>
      <c r="E1189">
        <v>0</v>
      </c>
    </row>
    <row r="1190" spans="1:5" x14ac:dyDescent="0.45">
      <c r="A1190" t="s">
        <v>54</v>
      </c>
      <c r="B1190" t="s">
        <v>47</v>
      </c>
      <c r="C1190" t="s">
        <v>51</v>
      </c>
      <c r="D1190" t="s">
        <v>50</v>
      </c>
      <c r="E1190">
        <v>0</v>
      </c>
    </row>
    <row r="1191" spans="1:5" x14ac:dyDescent="0.45">
      <c r="A1191" t="s">
        <v>54</v>
      </c>
      <c r="B1191" t="s">
        <v>47</v>
      </c>
      <c r="C1191" t="s">
        <v>51</v>
      </c>
      <c r="D1191" t="s">
        <v>50</v>
      </c>
      <c r="E1191">
        <v>0</v>
      </c>
    </row>
    <row r="1192" spans="1:5" x14ac:dyDescent="0.45">
      <c r="A1192" t="s">
        <v>54</v>
      </c>
      <c r="B1192" t="s">
        <v>47</v>
      </c>
      <c r="C1192" t="s">
        <v>51</v>
      </c>
      <c r="D1192" t="s">
        <v>50</v>
      </c>
      <c r="E1192">
        <v>0</v>
      </c>
    </row>
    <row r="1193" spans="1:5" x14ac:dyDescent="0.45">
      <c r="A1193" t="s">
        <v>54</v>
      </c>
      <c r="B1193" t="s">
        <v>47</v>
      </c>
      <c r="C1193" t="s">
        <v>51</v>
      </c>
      <c r="D1193" t="s">
        <v>50</v>
      </c>
      <c r="E1193">
        <v>0</v>
      </c>
    </row>
    <row r="1194" spans="1:5" x14ac:dyDescent="0.45">
      <c r="A1194" t="s">
        <v>54</v>
      </c>
      <c r="B1194" t="s">
        <v>47</v>
      </c>
      <c r="C1194" t="s">
        <v>51</v>
      </c>
      <c r="D1194" t="s">
        <v>50</v>
      </c>
      <c r="E1194">
        <v>0</v>
      </c>
    </row>
    <row r="1195" spans="1:5" x14ac:dyDescent="0.45">
      <c r="A1195" t="s">
        <v>54</v>
      </c>
      <c r="B1195" t="s">
        <v>47</v>
      </c>
      <c r="C1195" t="s">
        <v>51</v>
      </c>
      <c r="D1195" t="s">
        <v>50</v>
      </c>
      <c r="E1195">
        <v>0</v>
      </c>
    </row>
    <row r="1196" spans="1:5" x14ac:dyDescent="0.45">
      <c r="A1196" t="s">
        <v>54</v>
      </c>
      <c r="B1196" t="s">
        <v>47</v>
      </c>
      <c r="C1196" t="s">
        <v>51</v>
      </c>
      <c r="D1196" t="s">
        <v>50</v>
      </c>
      <c r="E1196">
        <v>0</v>
      </c>
    </row>
    <row r="1197" spans="1:5" x14ac:dyDescent="0.45">
      <c r="A1197" t="s">
        <v>54</v>
      </c>
      <c r="B1197" t="s">
        <v>47</v>
      </c>
      <c r="C1197" t="s">
        <v>51</v>
      </c>
      <c r="D1197" t="s">
        <v>50</v>
      </c>
      <c r="E1197">
        <v>0</v>
      </c>
    </row>
    <row r="1198" spans="1:5" x14ac:dyDescent="0.45">
      <c r="A1198" t="s">
        <v>54</v>
      </c>
      <c r="B1198" t="s">
        <v>47</v>
      </c>
      <c r="C1198" t="s">
        <v>51</v>
      </c>
      <c r="D1198" t="s">
        <v>50</v>
      </c>
      <c r="E1198">
        <v>0</v>
      </c>
    </row>
    <row r="1199" spans="1:5" x14ac:dyDescent="0.45">
      <c r="A1199" t="s">
        <v>54</v>
      </c>
      <c r="B1199" t="s">
        <v>47</v>
      </c>
      <c r="C1199" t="s">
        <v>51</v>
      </c>
      <c r="D1199" t="s">
        <v>50</v>
      </c>
      <c r="E1199">
        <v>0</v>
      </c>
    </row>
    <row r="1200" spans="1:5" x14ac:dyDescent="0.45">
      <c r="A1200" t="s">
        <v>54</v>
      </c>
      <c r="B1200" t="s">
        <v>47</v>
      </c>
      <c r="C1200" t="s">
        <v>51</v>
      </c>
      <c r="D1200" t="s">
        <v>50</v>
      </c>
      <c r="E1200">
        <v>0</v>
      </c>
    </row>
    <row r="1201" spans="1:5" x14ac:dyDescent="0.45">
      <c r="A1201" t="s">
        <v>54</v>
      </c>
      <c r="B1201" t="s">
        <v>47</v>
      </c>
      <c r="C1201" t="s">
        <v>51</v>
      </c>
      <c r="D1201" t="s">
        <v>50</v>
      </c>
      <c r="E1201">
        <v>0</v>
      </c>
    </row>
    <row r="1202" spans="1:5" x14ac:dyDescent="0.45">
      <c r="A1202" t="s">
        <v>54</v>
      </c>
      <c r="B1202" t="s">
        <v>47</v>
      </c>
      <c r="C1202" t="s">
        <v>51</v>
      </c>
      <c r="D1202" t="s">
        <v>50</v>
      </c>
      <c r="E1202">
        <v>0</v>
      </c>
    </row>
    <row r="1203" spans="1:5" x14ac:dyDescent="0.45">
      <c r="A1203" t="s">
        <v>54</v>
      </c>
      <c r="B1203" t="s">
        <v>47</v>
      </c>
      <c r="C1203" t="s">
        <v>51</v>
      </c>
      <c r="D1203" t="s">
        <v>50</v>
      </c>
      <c r="E1203">
        <v>0</v>
      </c>
    </row>
    <row r="1204" spans="1:5" x14ac:dyDescent="0.45">
      <c r="A1204" t="s">
        <v>54</v>
      </c>
      <c r="B1204" t="s">
        <v>47</v>
      </c>
      <c r="C1204" t="s">
        <v>51</v>
      </c>
      <c r="D1204" t="s">
        <v>50</v>
      </c>
      <c r="E1204">
        <v>0</v>
      </c>
    </row>
    <row r="1205" spans="1:5" x14ac:dyDescent="0.45">
      <c r="A1205" t="s">
        <v>54</v>
      </c>
      <c r="B1205" t="s">
        <v>47</v>
      </c>
      <c r="C1205" t="s">
        <v>51</v>
      </c>
      <c r="D1205" t="s">
        <v>50</v>
      </c>
      <c r="E1205">
        <v>0</v>
      </c>
    </row>
    <row r="1206" spans="1:5" x14ac:dyDescent="0.45">
      <c r="A1206" t="s">
        <v>54</v>
      </c>
      <c r="B1206" t="s">
        <v>47</v>
      </c>
      <c r="C1206" t="s">
        <v>51</v>
      </c>
      <c r="D1206" t="s">
        <v>50</v>
      </c>
      <c r="E1206">
        <v>0</v>
      </c>
    </row>
    <row r="1207" spans="1:5" x14ac:dyDescent="0.45">
      <c r="A1207" t="s">
        <v>54</v>
      </c>
      <c r="B1207" t="s">
        <v>47</v>
      </c>
      <c r="C1207" t="s">
        <v>51</v>
      </c>
      <c r="D1207" t="s">
        <v>50</v>
      </c>
      <c r="E1207">
        <v>0</v>
      </c>
    </row>
    <row r="1208" spans="1:5" x14ac:dyDescent="0.45">
      <c r="A1208" t="s">
        <v>54</v>
      </c>
      <c r="B1208" t="s">
        <v>47</v>
      </c>
      <c r="C1208" t="s">
        <v>51</v>
      </c>
      <c r="D1208" t="s">
        <v>50</v>
      </c>
      <c r="E1208">
        <v>0</v>
      </c>
    </row>
    <row r="1209" spans="1:5" x14ac:dyDescent="0.45">
      <c r="A1209" t="s">
        <v>54</v>
      </c>
      <c r="B1209" t="s">
        <v>47</v>
      </c>
      <c r="C1209" t="s">
        <v>51</v>
      </c>
      <c r="D1209" t="s">
        <v>50</v>
      </c>
      <c r="E1209">
        <v>0</v>
      </c>
    </row>
    <row r="1210" spans="1:5" x14ac:dyDescent="0.45">
      <c r="A1210" t="s">
        <v>54</v>
      </c>
      <c r="B1210" t="s">
        <v>47</v>
      </c>
      <c r="C1210" t="s">
        <v>51</v>
      </c>
      <c r="D1210" t="s">
        <v>50</v>
      </c>
      <c r="E1210">
        <v>0</v>
      </c>
    </row>
    <row r="1211" spans="1:5" x14ac:dyDescent="0.45">
      <c r="A1211" t="s">
        <v>54</v>
      </c>
      <c r="B1211" t="s">
        <v>47</v>
      </c>
      <c r="C1211" t="s">
        <v>51</v>
      </c>
      <c r="D1211" t="s">
        <v>50</v>
      </c>
      <c r="E1211">
        <v>0</v>
      </c>
    </row>
    <row r="1212" spans="1:5" x14ac:dyDescent="0.45">
      <c r="A1212" t="s">
        <v>54</v>
      </c>
      <c r="B1212" t="s">
        <v>47</v>
      </c>
      <c r="C1212" t="s">
        <v>51</v>
      </c>
      <c r="D1212" t="s">
        <v>50</v>
      </c>
      <c r="E1212">
        <v>0</v>
      </c>
    </row>
    <row r="1213" spans="1:5" x14ac:dyDescent="0.45">
      <c r="A1213" t="s">
        <v>54</v>
      </c>
      <c r="B1213" t="s">
        <v>47</v>
      </c>
      <c r="C1213" t="s">
        <v>51</v>
      </c>
      <c r="D1213" t="s">
        <v>50</v>
      </c>
      <c r="E1213">
        <v>0</v>
      </c>
    </row>
    <row r="1214" spans="1:5" x14ac:dyDescent="0.45">
      <c r="A1214" t="s">
        <v>54</v>
      </c>
      <c r="B1214" t="s">
        <v>47</v>
      </c>
      <c r="C1214" t="s">
        <v>51</v>
      </c>
      <c r="D1214" t="s">
        <v>50</v>
      </c>
      <c r="E1214">
        <v>0</v>
      </c>
    </row>
    <row r="1215" spans="1:5" x14ac:dyDescent="0.45">
      <c r="A1215" t="s">
        <v>54</v>
      </c>
      <c r="B1215" t="s">
        <v>47</v>
      </c>
      <c r="C1215" t="s">
        <v>51</v>
      </c>
      <c r="D1215" t="s">
        <v>50</v>
      </c>
      <c r="E1215">
        <v>0</v>
      </c>
    </row>
    <row r="1216" spans="1:5" x14ac:dyDescent="0.45">
      <c r="A1216" t="s">
        <v>54</v>
      </c>
      <c r="B1216" t="s">
        <v>47</v>
      </c>
      <c r="C1216" t="s">
        <v>51</v>
      </c>
      <c r="D1216" t="s">
        <v>50</v>
      </c>
      <c r="E1216">
        <v>0</v>
      </c>
    </row>
    <row r="1217" spans="1:5" x14ac:dyDescent="0.45">
      <c r="A1217" t="s">
        <v>54</v>
      </c>
      <c r="B1217" t="s">
        <v>47</v>
      </c>
      <c r="C1217" t="s">
        <v>51</v>
      </c>
      <c r="D1217" t="s">
        <v>50</v>
      </c>
      <c r="E1217">
        <v>0</v>
      </c>
    </row>
    <row r="1218" spans="1:5" x14ac:dyDescent="0.45">
      <c r="A1218" t="s">
        <v>54</v>
      </c>
      <c r="B1218" t="s">
        <v>47</v>
      </c>
      <c r="C1218" t="s">
        <v>51</v>
      </c>
      <c r="D1218" t="s">
        <v>50</v>
      </c>
      <c r="E1218">
        <v>0</v>
      </c>
    </row>
    <row r="1219" spans="1:5" x14ac:dyDescent="0.45">
      <c r="A1219" t="s">
        <v>54</v>
      </c>
      <c r="B1219" t="s">
        <v>47</v>
      </c>
      <c r="C1219" t="s">
        <v>51</v>
      </c>
      <c r="D1219" t="s">
        <v>50</v>
      </c>
      <c r="E1219">
        <v>0</v>
      </c>
    </row>
    <row r="1220" spans="1:5" x14ac:dyDescent="0.45">
      <c r="A1220" t="s">
        <v>54</v>
      </c>
      <c r="B1220" t="s">
        <v>47</v>
      </c>
      <c r="C1220" t="s">
        <v>51</v>
      </c>
      <c r="D1220" t="s">
        <v>50</v>
      </c>
      <c r="E1220">
        <v>0</v>
      </c>
    </row>
    <row r="1221" spans="1:5" x14ac:dyDescent="0.45">
      <c r="A1221" t="s">
        <v>54</v>
      </c>
      <c r="B1221" t="s">
        <v>47</v>
      </c>
      <c r="C1221" t="s">
        <v>51</v>
      </c>
      <c r="D1221" t="s">
        <v>50</v>
      </c>
      <c r="E1221">
        <v>0</v>
      </c>
    </row>
    <row r="1222" spans="1:5" x14ac:dyDescent="0.45">
      <c r="A1222" t="s">
        <v>54</v>
      </c>
      <c r="B1222" t="s">
        <v>47</v>
      </c>
      <c r="C1222" t="s">
        <v>51</v>
      </c>
      <c r="D1222" t="s">
        <v>50</v>
      </c>
      <c r="E1222">
        <v>0</v>
      </c>
    </row>
    <row r="1223" spans="1:5" x14ac:dyDescent="0.45">
      <c r="A1223" t="s">
        <v>54</v>
      </c>
      <c r="B1223" t="s">
        <v>47</v>
      </c>
      <c r="C1223" t="s">
        <v>51</v>
      </c>
      <c r="D1223" t="s">
        <v>50</v>
      </c>
      <c r="E1223">
        <v>0</v>
      </c>
    </row>
    <row r="1224" spans="1:5" x14ac:dyDescent="0.45">
      <c r="A1224" t="s">
        <v>54</v>
      </c>
      <c r="B1224" t="s">
        <v>47</v>
      </c>
      <c r="C1224" t="s">
        <v>51</v>
      </c>
      <c r="D1224" t="s">
        <v>50</v>
      </c>
      <c r="E1224">
        <v>0</v>
      </c>
    </row>
    <row r="1225" spans="1:5" x14ac:dyDescent="0.45">
      <c r="A1225" t="s">
        <v>54</v>
      </c>
      <c r="B1225" t="s">
        <v>47</v>
      </c>
      <c r="C1225" t="s">
        <v>51</v>
      </c>
      <c r="D1225" t="s">
        <v>50</v>
      </c>
      <c r="E1225">
        <v>0</v>
      </c>
    </row>
    <row r="1226" spans="1:5" x14ac:dyDescent="0.45">
      <c r="A1226" t="s">
        <v>54</v>
      </c>
      <c r="B1226" t="s">
        <v>47</v>
      </c>
      <c r="C1226" t="s">
        <v>51</v>
      </c>
      <c r="D1226" t="s">
        <v>50</v>
      </c>
      <c r="E1226">
        <v>0</v>
      </c>
    </row>
    <row r="1227" spans="1:5" x14ac:dyDescent="0.45">
      <c r="A1227" t="s">
        <v>54</v>
      </c>
      <c r="B1227" t="s">
        <v>47</v>
      </c>
      <c r="C1227" t="s">
        <v>51</v>
      </c>
      <c r="D1227" t="s">
        <v>50</v>
      </c>
      <c r="E1227">
        <v>0</v>
      </c>
    </row>
    <row r="1228" spans="1:5" x14ac:dyDescent="0.45">
      <c r="A1228" t="s">
        <v>54</v>
      </c>
      <c r="B1228" t="s">
        <v>47</v>
      </c>
      <c r="C1228" t="s">
        <v>51</v>
      </c>
      <c r="D1228" t="s">
        <v>50</v>
      </c>
      <c r="E1228">
        <v>0</v>
      </c>
    </row>
    <row r="1229" spans="1:5" x14ac:dyDescent="0.45">
      <c r="A1229" t="s">
        <v>54</v>
      </c>
      <c r="B1229" t="s">
        <v>47</v>
      </c>
      <c r="C1229" t="s">
        <v>51</v>
      </c>
      <c r="D1229" t="s">
        <v>50</v>
      </c>
      <c r="E1229">
        <v>0</v>
      </c>
    </row>
    <row r="1230" spans="1:5" x14ac:dyDescent="0.45">
      <c r="A1230" t="s">
        <v>54</v>
      </c>
      <c r="B1230" t="s">
        <v>47</v>
      </c>
      <c r="C1230" t="s">
        <v>51</v>
      </c>
      <c r="D1230" t="s">
        <v>50</v>
      </c>
      <c r="E1230">
        <v>0</v>
      </c>
    </row>
    <row r="1231" spans="1:5" x14ac:dyDescent="0.45">
      <c r="A1231" t="s">
        <v>54</v>
      </c>
      <c r="B1231" t="s">
        <v>47</v>
      </c>
      <c r="C1231" t="s">
        <v>51</v>
      </c>
      <c r="D1231" t="s">
        <v>50</v>
      </c>
      <c r="E1231">
        <v>0</v>
      </c>
    </row>
    <row r="1232" spans="1:5" x14ac:dyDescent="0.45">
      <c r="A1232" t="s">
        <v>54</v>
      </c>
      <c r="B1232" t="s">
        <v>47</v>
      </c>
      <c r="C1232" t="s">
        <v>51</v>
      </c>
      <c r="D1232" t="s">
        <v>50</v>
      </c>
      <c r="E1232">
        <v>0</v>
      </c>
    </row>
    <row r="1233" spans="1:5" x14ac:dyDescent="0.45">
      <c r="A1233" t="s">
        <v>54</v>
      </c>
      <c r="B1233" t="s">
        <v>47</v>
      </c>
      <c r="C1233" t="s">
        <v>51</v>
      </c>
      <c r="D1233" t="s">
        <v>50</v>
      </c>
      <c r="E1233">
        <v>0</v>
      </c>
    </row>
    <row r="1234" spans="1:5" x14ac:dyDescent="0.45">
      <c r="A1234" t="s">
        <v>54</v>
      </c>
      <c r="B1234" t="s">
        <v>47</v>
      </c>
      <c r="C1234" t="s">
        <v>51</v>
      </c>
      <c r="D1234" t="s">
        <v>50</v>
      </c>
      <c r="E1234">
        <v>0</v>
      </c>
    </row>
    <row r="1235" spans="1:5" x14ac:dyDescent="0.45">
      <c r="A1235" t="s">
        <v>54</v>
      </c>
      <c r="B1235" t="s">
        <v>47</v>
      </c>
      <c r="C1235" t="s">
        <v>51</v>
      </c>
      <c r="D1235" t="s">
        <v>50</v>
      </c>
      <c r="E1235">
        <v>0</v>
      </c>
    </row>
    <row r="1236" spans="1:5" x14ac:dyDescent="0.45">
      <c r="A1236" t="s">
        <v>54</v>
      </c>
      <c r="B1236" t="s">
        <v>47</v>
      </c>
      <c r="C1236" t="s">
        <v>51</v>
      </c>
      <c r="D1236" t="s">
        <v>50</v>
      </c>
      <c r="E1236">
        <v>0</v>
      </c>
    </row>
    <row r="1237" spans="1:5" x14ac:dyDescent="0.45">
      <c r="A1237" t="s">
        <v>54</v>
      </c>
      <c r="B1237" t="s">
        <v>47</v>
      </c>
      <c r="C1237" t="s">
        <v>51</v>
      </c>
      <c r="D1237" t="s">
        <v>50</v>
      </c>
      <c r="E1237">
        <v>0</v>
      </c>
    </row>
    <row r="1238" spans="1:5" x14ac:dyDescent="0.45">
      <c r="A1238" t="s">
        <v>54</v>
      </c>
      <c r="B1238" t="s">
        <v>47</v>
      </c>
      <c r="C1238" t="s">
        <v>51</v>
      </c>
      <c r="D1238" t="s">
        <v>50</v>
      </c>
      <c r="E1238">
        <v>0</v>
      </c>
    </row>
    <row r="1239" spans="1:5" x14ac:dyDescent="0.45">
      <c r="A1239" t="s">
        <v>54</v>
      </c>
      <c r="B1239" t="s">
        <v>52</v>
      </c>
      <c r="C1239" t="s">
        <v>48</v>
      </c>
      <c r="D1239" t="s">
        <v>49</v>
      </c>
      <c r="E1239">
        <v>1</v>
      </c>
    </row>
    <row r="1240" spans="1:5" x14ac:dyDescent="0.45">
      <c r="A1240" t="s">
        <v>54</v>
      </c>
      <c r="B1240" t="s">
        <v>52</v>
      </c>
      <c r="C1240" t="s">
        <v>48</v>
      </c>
      <c r="D1240" t="s">
        <v>49</v>
      </c>
      <c r="E1240">
        <v>1</v>
      </c>
    </row>
    <row r="1241" spans="1:5" x14ac:dyDescent="0.45">
      <c r="A1241" t="s">
        <v>54</v>
      </c>
      <c r="B1241" t="s">
        <v>52</v>
      </c>
      <c r="C1241" t="s">
        <v>48</v>
      </c>
      <c r="D1241" t="s">
        <v>49</v>
      </c>
      <c r="E1241">
        <v>1</v>
      </c>
    </row>
    <row r="1242" spans="1:5" x14ac:dyDescent="0.45">
      <c r="A1242" t="s">
        <v>54</v>
      </c>
      <c r="B1242" t="s">
        <v>52</v>
      </c>
      <c r="C1242" t="s">
        <v>48</v>
      </c>
      <c r="D1242" t="s">
        <v>49</v>
      </c>
      <c r="E1242">
        <v>1</v>
      </c>
    </row>
    <row r="1243" spans="1:5" x14ac:dyDescent="0.45">
      <c r="A1243" t="s">
        <v>54</v>
      </c>
      <c r="B1243" t="s">
        <v>52</v>
      </c>
      <c r="C1243" t="s">
        <v>48</v>
      </c>
      <c r="D1243" t="s">
        <v>49</v>
      </c>
      <c r="E1243">
        <v>1</v>
      </c>
    </row>
    <row r="1244" spans="1:5" x14ac:dyDescent="0.45">
      <c r="A1244" t="s">
        <v>54</v>
      </c>
      <c r="B1244" t="s">
        <v>52</v>
      </c>
      <c r="C1244" t="s">
        <v>48</v>
      </c>
      <c r="D1244" t="s">
        <v>49</v>
      </c>
      <c r="E1244">
        <v>1</v>
      </c>
    </row>
    <row r="1245" spans="1:5" x14ac:dyDescent="0.45">
      <c r="A1245" t="s">
        <v>54</v>
      </c>
      <c r="B1245" t="s">
        <v>52</v>
      </c>
      <c r="C1245" t="s">
        <v>48</v>
      </c>
      <c r="D1245" t="s">
        <v>49</v>
      </c>
      <c r="E1245">
        <v>1</v>
      </c>
    </row>
    <row r="1246" spans="1:5" x14ac:dyDescent="0.45">
      <c r="A1246" t="s">
        <v>54</v>
      </c>
      <c r="B1246" t="s">
        <v>52</v>
      </c>
      <c r="C1246" t="s">
        <v>48</v>
      </c>
      <c r="D1246" t="s">
        <v>49</v>
      </c>
      <c r="E1246">
        <v>1</v>
      </c>
    </row>
    <row r="1247" spans="1:5" x14ac:dyDescent="0.45">
      <c r="A1247" t="s">
        <v>54</v>
      </c>
      <c r="B1247" t="s">
        <v>52</v>
      </c>
      <c r="C1247" t="s">
        <v>48</v>
      </c>
      <c r="D1247" t="s">
        <v>49</v>
      </c>
      <c r="E1247">
        <v>1</v>
      </c>
    </row>
    <row r="1248" spans="1:5" x14ac:dyDescent="0.45">
      <c r="A1248" t="s">
        <v>54</v>
      </c>
      <c r="B1248" t="s">
        <v>52</v>
      </c>
      <c r="C1248" t="s">
        <v>48</v>
      </c>
      <c r="D1248" t="s">
        <v>49</v>
      </c>
      <c r="E1248">
        <v>1</v>
      </c>
    </row>
    <row r="1249" spans="1:5" x14ac:dyDescent="0.45">
      <c r="A1249" t="s">
        <v>54</v>
      </c>
      <c r="B1249" t="s">
        <v>52</v>
      </c>
      <c r="C1249" t="s">
        <v>48</v>
      </c>
      <c r="D1249" t="s">
        <v>49</v>
      </c>
      <c r="E1249">
        <v>1</v>
      </c>
    </row>
    <row r="1250" spans="1:5" x14ac:dyDescent="0.45">
      <c r="A1250" t="s">
        <v>54</v>
      </c>
      <c r="B1250" t="s">
        <v>52</v>
      </c>
      <c r="C1250" t="s">
        <v>48</v>
      </c>
      <c r="D1250" t="s">
        <v>49</v>
      </c>
      <c r="E1250">
        <v>1</v>
      </c>
    </row>
    <row r="1251" spans="1:5" x14ac:dyDescent="0.45">
      <c r="A1251" t="s">
        <v>54</v>
      </c>
      <c r="B1251" t="s">
        <v>52</v>
      </c>
      <c r="C1251" t="s">
        <v>48</v>
      </c>
      <c r="D1251" t="s">
        <v>49</v>
      </c>
      <c r="E1251">
        <v>1</v>
      </c>
    </row>
    <row r="1252" spans="1:5" x14ac:dyDescent="0.45">
      <c r="A1252" t="s">
        <v>54</v>
      </c>
      <c r="B1252" t="s">
        <v>52</v>
      </c>
      <c r="C1252" t="s">
        <v>48</v>
      </c>
      <c r="D1252" t="s">
        <v>50</v>
      </c>
      <c r="E1252">
        <v>0</v>
      </c>
    </row>
    <row r="1253" spans="1:5" x14ac:dyDescent="0.45">
      <c r="A1253" t="s">
        <v>54</v>
      </c>
      <c r="B1253" t="s">
        <v>52</v>
      </c>
      <c r="C1253" t="s">
        <v>48</v>
      </c>
      <c r="D1253" t="s">
        <v>50</v>
      </c>
      <c r="E1253">
        <v>0</v>
      </c>
    </row>
    <row r="1254" spans="1:5" x14ac:dyDescent="0.45">
      <c r="A1254" t="s">
        <v>54</v>
      </c>
      <c r="B1254" t="s">
        <v>52</v>
      </c>
      <c r="C1254" t="s">
        <v>48</v>
      </c>
      <c r="D1254" t="s">
        <v>50</v>
      </c>
      <c r="E1254">
        <v>0</v>
      </c>
    </row>
    <row r="1255" spans="1:5" x14ac:dyDescent="0.45">
      <c r="A1255" t="s">
        <v>54</v>
      </c>
      <c r="B1255" t="s">
        <v>52</v>
      </c>
      <c r="C1255" t="s">
        <v>48</v>
      </c>
      <c r="D1255" t="s">
        <v>50</v>
      </c>
      <c r="E1255">
        <v>0</v>
      </c>
    </row>
    <row r="1256" spans="1:5" x14ac:dyDescent="0.45">
      <c r="A1256" t="s">
        <v>54</v>
      </c>
      <c r="B1256" t="s">
        <v>52</v>
      </c>
      <c r="C1256" t="s">
        <v>48</v>
      </c>
      <c r="D1256" t="s">
        <v>50</v>
      </c>
      <c r="E1256">
        <v>0</v>
      </c>
    </row>
    <row r="1257" spans="1:5" x14ac:dyDescent="0.45">
      <c r="A1257" t="s">
        <v>54</v>
      </c>
      <c r="B1257" t="s">
        <v>52</v>
      </c>
      <c r="C1257" t="s">
        <v>48</v>
      </c>
      <c r="D1257" t="s">
        <v>50</v>
      </c>
      <c r="E1257">
        <v>0</v>
      </c>
    </row>
    <row r="1258" spans="1:5" x14ac:dyDescent="0.45">
      <c r="A1258" t="s">
        <v>54</v>
      </c>
      <c r="B1258" t="s">
        <v>52</v>
      </c>
      <c r="C1258" t="s">
        <v>48</v>
      </c>
      <c r="D1258" t="s">
        <v>50</v>
      </c>
      <c r="E1258">
        <v>0</v>
      </c>
    </row>
    <row r="1259" spans="1:5" x14ac:dyDescent="0.45">
      <c r="A1259" t="s">
        <v>54</v>
      </c>
      <c r="B1259" t="s">
        <v>52</v>
      </c>
      <c r="C1259" t="s">
        <v>48</v>
      </c>
      <c r="D1259" t="s">
        <v>50</v>
      </c>
      <c r="E1259">
        <v>0</v>
      </c>
    </row>
    <row r="1260" spans="1:5" x14ac:dyDescent="0.45">
      <c r="A1260" t="s">
        <v>54</v>
      </c>
      <c r="B1260" t="s">
        <v>52</v>
      </c>
      <c r="C1260" t="s">
        <v>48</v>
      </c>
      <c r="D1260" t="s">
        <v>50</v>
      </c>
      <c r="E1260">
        <v>0</v>
      </c>
    </row>
    <row r="1261" spans="1:5" x14ac:dyDescent="0.45">
      <c r="A1261" t="s">
        <v>54</v>
      </c>
      <c r="B1261" t="s">
        <v>52</v>
      </c>
      <c r="C1261" t="s">
        <v>48</v>
      </c>
      <c r="D1261" t="s">
        <v>50</v>
      </c>
      <c r="E1261">
        <v>0</v>
      </c>
    </row>
    <row r="1262" spans="1:5" x14ac:dyDescent="0.45">
      <c r="A1262" t="s">
        <v>54</v>
      </c>
      <c r="B1262" t="s">
        <v>52</v>
      </c>
      <c r="C1262" t="s">
        <v>48</v>
      </c>
      <c r="D1262" t="s">
        <v>50</v>
      </c>
      <c r="E1262">
        <v>0</v>
      </c>
    </row>
    <row r="1263" spans="1:5" x14ac:dyDescent="0.45">
      <c r="A1263" t="s">
        <v>54</v>
      </c>
      <c r="B1263" t="s">
        <v>52</v>
      </c>
      <c r="C1263" t="s">
        <v>48</v>
      </c>
      <c r="D1263" t="s">
        <v>50</v>
      </c>
      <c r="E1263">
        <v>0</v>
      </c>
    </row>
    <row r="1264" spans="1:5" x14ac:dyDescent="0.45">
      <c r="A1264" t="s">
        <v>54</v>
      </c>
      <c r="B1264" t="s">
        <v>52</v>
      </c>
      <c r="C1264" t="s">
        <v>48</v>
      </c>
      <c r="D1264" t="s">
        <v>50</v>
      </c>
      <c r="E1264">
        <v>0</v>
      </c>
    </row>
    <row r="1265" spans="1:5" x14ac:dyDescent="0.45">
      <c r="A1265" t="s">
        <v>54</v>
      </c>
      <c r="B1265" t="s">
        <v>52</v>
      </c>
      <c r="C1265" t="s">
        <v>48</v>
      </c>
      <c r="D1265" t="s">
        <v>50</v>
      </c>
      <c r="E1265">
        <v>0</v>
      </c>
    </row>
    <row r="1266" spans="1:5" x14ac:dyDescent="0.45">
      <c r="A1266" t="s">
        <v>54</v>
      </c>
      <c r="B1266" t="s">
        <v>52</v>
      </c>
      <c r="C1266" t="s">
        <v>48</v>
      </c>
      <c r="D1266" t="s">
        <v>50</v>
      </c>
      <c r="E1266">
        <v>0</v>
      </c>
    </row>
    <row r="1267" spans="1:5" x14ac:dyDescent="0.45">
      <c r="A1267" t="s">
        <v>54</v>
      </c>
      <c r="B1267" t="s">
        <v>52</v>
      </c>
      <c r="C1267" t="s">
        <v>48</v>
      </c>
      <c r="D1267" t="s">
        <v>50</v>
      </c>
      <c r="E1267">
        <v>0</v>
      </c>
    </row>
    <row r="1268" spans="1:5" x14ac:dyDescent="0.45">
      <c r="A1268" t="s">
        <v>54</v>
      </c>
      <c r="B1268" t="s">
        <v>52</v>
      </c>
      <c r="C1268" t="s">
        <v>48</v>
      </c>
      <c r="D1268" t="s">
        <v>50</v>
      </c>
      <c r="E1268">
        <v>0</v>
      </c>
    </row>
    <row r="1269" spans="1:5" x14ac:dyDescent="0.45">
      <c r="A1269" t="s">
        <v>54</v>
      </c>
      <c r="B1269" t="s">
        <v>52</v>
      </c>
      <c r="C1269" t="s">
        <v>48</v>
      </c>
      <c r="D1269" t="s">
        <v>50</v>
      </c>
      <c r="E1269">
        <v>0</v>
      </c>
    </row>
    <row r="1270" spans="1:5" x14ac:dyDescent="0.45">
      <c r="A1270" t="s">
        <v>54</v>
      </c>
      <c r="B1270" t="s">
        <v>52</v>
      </c>
      <c r="C1270" t="s">
        <v>48</v>
      </c>
      <c r="D1270" t="s">
        <v>50</v>
      </c>
      <c r="E1270">
        <v>0</v>
      </c>
    </row>
    <row r="1271" spans="1:5" x14ac:dyDescent="0.45">
      <c r="A1271" t="s">
        <v>54</v>
      </c>
      <c r="B1271" t="s">
        <v>52</v>
      </c>
      <c r="C1271" t="s">
        <v>48</v>
      </c>
      <c r="D1271" t="s">
        <v>50</v>
      </c>
      <c r="E1271">
        <v>0</v>
      </c>
    </row>
    <row r="1272" spans="1:5" x14ac:dyDescent="0.45">
      <c r="A1272" t="s">
        <v>54</v>
      </c>
      <c r="B1272" t="s">
        <v>52</v>
      </c>
      <c r="C1272" t="s">
        <v>48</v>
      </c>
      <c r="D1272" t="s">
        <v>50</v>
      </c>
      <c r="E1272">
        <v>0</v>
      </c>
    </row>
    <row r="1273" spans="1:5" x14ac:dyDescent="0.45">
      <c r="A1273" t="s">
        <v>54</v>
      </c>
      <c r="B1273" t="s">
        <v>52</v>
      </c>
      <c r="C1273" t="s">
        <v>48</v>
      </c>
      <c r="D1273" t="s">
        <v>50</v>
      </c>
      <c r="E1273">
        <v>0</v>
      </c>
    </row>
    <row r="1274" spans="1:5" x14ac:dyDescent="0.45">
      <c r="A1274" t="s">
        <v>54</v>
      </c>
      <c r="B1274" t="s">
        <v>52</v>
      </c>
      <c r="C1274" t="s">
        <v>48</v>
      </c>
      <c r="D1274" t="s">
        <v>50</v>
      </c>
      <c r="E1274">
        <v>0</v>
      </c>
    </row>
    <row r="1275" spans="1:5" x14ac:dyDescent="0.45">
      <c r="A1275" t="s">
        <v>54</v>
      </c>
      <c r="B1275" t="s">
        <v>52</v>
      </c>
      <c r="C1275" t="s">
        <v>48</v>
      </c>
      <c r="D1275" t="s">
        <v>50</v>
      </c>
      <c r="E1275">
        <v>0</v>
      </c>
    </row>
    <row r="1276" spans="1:5" x14ac:dyDescent="0.45">
      <c r="A1276" t="s">
        <v>54</v>
      </c>
      <c r="B1276" t="s">
        <v>52</v>
      </c>
      <c r="C1276" t="s">
        <v>48</v>
      </c>
      <c r="D1276" t="s">
        <v>50</v>
      </c>
      <c r="E1276">
        <v>0</v>
      </c>
    </row>
    <row r="1277" spans="1:5" x14ac:dyDescent="0.45">
      <c r="A1277" t="s">
        <v>54</v>
      </c>
      <c r="B1277" t="s">
        <v>52</v>
      </c>
      <c r="C1277" t="s">
        <v>48</v>
      </c>
      <c r="D1277" t="s">
        <v>50</v>
      </c>
      <c r="E1277">
        <v>0</v>
      </c>
    </row>
    <row r="1278" spans="1:5" x14ac:dyDescent="0.45">
      <c r="A1278" t="s">
        <v>54</v>
      </c>
      <c r="B1278" t="s">
        <v>52</v>
      </c>
      <c r="C1278" t="s">
        <v>48</v>
      </c>
      <c r="D1278" t="s">
        <v>50</v>
      </c>
      <c r="E1278">
        <v>0</v>
      </c>
    </row>
    <row r="1279" spans="1:5" x14ac:dyDescent="0.45">
      <c r="A1279" t="s">
        <v>54</v>
      </c>
      <c r="B1279" t="s">
        <v>52</v>
      </c>
      <c r="C1279" t="s">
        <v>48</v>
      </c>
      <c r="D1279" t="s">
        <v>50</v>
      </c>
      <c r="E1279">
        <v>0</v>
      </c>
    </row>
    <row r="1280" spans="1:5" x14ac:dyDescent="0.45">
      <c r="A1280" t="s">
        <v>54</v>
      </c>
      <c r="B1280" t="s">
        <v>52</v>
      </c>
      <c r="C1280" t="s">
        <v>48</v>
      </c>
      <c r="D1280" t="s">
        <v>50</v>
      </c>
      <c r="E1280">
        <v>0</v>
      </c>
    </row>
    <row r="1281" spans="1:5" x14ac:dyDescent="0.45">
      <c r="A1281" t="s">
        <v>54</v>
      </c>
      <c r="B1281" t="s">
        <v>52</v>
      </c>
      <c r="C1281" t="s">
        <v>48</v>
      </c>
      <c r="D1281" t="s">
        <v>50</v>
      </c>
      <c r="E1281">
        <v>0</v>
      </c>
    </row>
    <row r="1282" spans="1:5" x14ac:dyDescent="0.45">
      <c r="A1282" t="s">
        <v>54</v>
      </c>
      <c r="B1282" t="s">
        <v>52</v>
      </c>
      <c r="C1282" t="s">
        <v>48</v>
      </c>
      <c r="D1282" t="s">
        <v>50</v>
      </c>
      <c r="E1282">
        <v>0</v>
      </c>
    </row>
    <row r="1283" spans="1:5" x14ac:dyDescent="0.45">
      <c r="A1283" t="s">
        <v>54</v>
      </c>
      <c r="B1283" t="s">
        <v>52</v>
      </c>
      <c r="C1283" t="s">
        <v>48</v>
      </c>
      <c r="D1283" t="s">
        <v>50</v>
      </c>
      <c r="E1283">
        <v>0</v>
      </c>
    </row>
    <row r="1284" spans="1:5" x14ac:dyDescent="0.45">
      <c r="A1284" t="s">
        <v>54</v>
      </c>
      <c r="B1284" t="s">
        <v>52</v>
      </c>
      <c r="C1284" t="s">
        <v>48</v>
      </c>
      <c r="D1284" t="s">
        <v>50</v>
      </c>
      <c r="E1284">
        <v>0</v>
      </c>
    </row>
    <row r="1285" spans="1:5" x14ac:dyDescent="0.45">
      <c r="A1285" t="s">
        <v>54</v>
      </c>
      <c r="B1285" t="s">
        <v>52</v>
      </c>
      <c r="C1285" t="s">
        <v>48</v>
      </c>
      <c r="D1285" t="s">
        <v>50</v>
      </c>
      <c r="E1285">
        <v>0</v>
      </c>
    </row>
    <row r="1286" spans="1:5" x14ac:dyDescent="0.45">
      <c r="A1286" t="s">
        <v>54</v>
      </c>
      <c r="B1286" t="s">
        <v>52</v>
      </c>
      <c r="C1286" t="s">
        <v>48</v>
      </c>
      <c r="D1286" t="s">
        <v>50</v>
      </c>
      <c r="E1286">
        <v>0</v>
      </c>
    </row>
    <row r="1287" spans="1:5" x14ac:dyDescent="0.45">
      <c r="A1287" t="s">
        <v>54</v>
      </c>
      <c r="B1287" t="s">
        <v>52</v>
      </c>
      <c r="C1287" t="s">
        <v>51</v>
      </c>
      <c r="D1287" t="s">
        <v>49</v>
      </c>
      <c r="E1287">
        <v>1</v>
      </c>
    </row>
    <row r="1288" spans="1:5" x14ac:dyDescent="0.45">
      <c r="A1288" t="s">
        <v>54</v>
      </c>
      <c r="B1288" t="s">
        <v>52</v>
      </c>
      <c r="C1288" t="s">
        <v>51</v>
      </c>
      <c r="D1288" t="s">
        <v>49</v>
      </c>
      <c r="E1288">
        <v>1</v>
      </c>
    </row>
    <row r="1289" spans="1:5" x14ac:dyDescent="0.45">
      <c r="A1289" t="s">
        <v>54</v>
      </c>
      <c r="B1289" t="s">
        <v>52</v>
      </c>
      <c r="C1289" t="s">
        <v>51</v>
      </c>
      <c r="D1289" t="s">
        <v>49</v>
      </c>
      <c r="E1289">
        <v>1</v>
      </c>
    </row>
    <row r="1290" spans="1:5" x14ac:dyDescent="0.45">
      <c r="A1290" t="s">
        <v>54</v>
      </c>
      <c r="B1290" t="s">
        <v>52</v>
      </c>
      <c r="C1290" t="s">
        <v>51</v>
      </c>
      <c r="D1290" t="s">
        <v>49</v>
      </c>
      <c r="E1290">
        <v>1</v>
      </c>
    </row>
    <row r="1291" spans="1:5" x14ac:dyDescent="0.45">
      <c r="A1291" t="s">
        <v>54</v>
      </c>
      <c r="B1291" t="s">
        <v>52</v>
      </c>
      <c r="C1291" t="s">
        <v>51</v>
      </c>
      <c r="D1291" t="s">
        <v>49</v>
      </c>
      <c r="E1291">
        <v>1</v>
      </c>
    </row>
    <row r="1292" spans="1:5" x14ac:dyDescent="0.45">
      <c r="A1292" t="s">
        <v>54</v>
      </c>
      <c r="B1292" t="s">
        <v>52</v>
      </c>
      <c r="C1292" t="s">
        <v>51</v>
      </c>
      <c r="D1292" t="s">
        <v>49</v>
      </c>
      <c r="E1292">
        <v>1</v>
      </c>
    </row>
    <row r="1293" spans="1:5" x14ac:dyDescent="0.45">
      <c r="A1293" t="s">
        <v>54</v>
      </c>
      <c r="B1293" t="s">
        <v>52</v>
      </c>
      <c r="C1293" t="s">
        <v>51</v>
      </c>
      <c r="D1293" t="s">
        <v>49</v>
      </c>
      <c r="E1293">
        <v>1</v>
      </c>
    </row>
    <row r="1294" spans="1:5" x14ac:dyDescent="0.45">
      <c r="A1294" t="s">
        <v>54</v>
      </c>
      <c r="B1294" t="s">
        <v>52</v>
      </c>
      <c r="C1294" t="s">
        <v>51</v>
      </c>
      <c r="D1294" t="s">
        <v>49</v>
      </c>
      <c r="E1294">
        <v>1</v>
      </c>
    </row>
    <row r="1295" spans="1:5" x14ac:dyDescent="0.45">
      <c r="A1295" t="s">
        <v>54</v>
      </c>
      <c r="B1295" t="s">
        <v>52</v>
      </c>
      <c r="C1295" t="s">
        <v>51</v>
      </c>
      <c r="D1295" t="s">
        <v>49</v>
      </c>
      <c r="E1295">
        <v>1</v>
      </c>
    </row>
    <row r="1296" spans="1:5" x14ac:dyDescent="0.45">
      <c r="A1296" t="s">
        <v>54</v>
      </c>
      <c r="B1296" t="s">
        <v>52</v>
      </c>
      <c r="C1296" t="s">
        <v>51</v>
      </c>
      <c r="D1296" t="s">
        <v>49</v>
      </c>
      <c r="E1296">
        <v>1</v>
      </c>
    </row>
    <row r="1297" spans="1:5" x14ac:dyDescent="0.45">
      <c r="A1297" t="s">
        <v>54</v>
      </c>
      <c r="B1297" t="s">
        <v>52</v>
      </c>
      <c r="C1297" t="s">
        <v>51</v>
      </c>
      <c r="D1297" t="s">
        <v>49</v>
      </c>
      <c r="E1297">
        <v>1</v>
      </c>
    </row>
    <row r="1298" spans="1:5" x14ac:dyDescent="0.45">
      <c r="A1298" t="s">
        <v>54</v>
      </c>
      <c r="B1298" t="s">
        <v>52</v>
      </c>
      <c r="C1298" t="s">
        <v>51</v>
      </c>
      <c r="D1298" t="s">
        <v>49</v>
      </c>
      <c r="E1298">
        <v>1</v>
      </c>
    </row>
    <row r="1299" spans="1:5" x14ac:dyDescent="0.45">
      <c r="A1299" t="s">
        <v>54</v>
      </c>
      <c r="B1299" t="s">
        <v>52</v>
      </c>
      <c r="C1299" t="s">
        <v>51</v>
      </c>
      <c r="D1299" t="s">
        <v>49</v>
      </c>
      <c r="E1299">
        <v>1</v>
      </c>
    </row>
    <row r="1300" spans="1:5" x14ac:dyDescent="0.45">
      <c r="A1300" t="s">
        <v>54</v>
      </c>
      <c r="B1300" t="s">
        <v>52</v>
      </c>
      <c r="C1300" t="s">
        <v>51</v>
      </c>
      <c r="D1300" t="s">
        <v>49</v>
      </c>
      <c r="E1300">
        <v>1</v>
      </c>
    </row>
    <row r="1301" spans="1:5" x14ac:dyDescent="0.45">
      <c r="A1301" t="s">
        <v>54</v>
      </c>
      <c r="B1301" t="s">
        <v>52</v>
      </c>
      <c r="C1301" t="s">
        <v>51</v>
      </c>
      <c r="D1301" t="s">
        <v>50</v>
      </c>
      <c r="E1301">
        <v>0</v>
      </c>
    </row>
    <row r="1302" spans="1:5" x14ac:dyDescent="0.45">
      <c r="A1302" t="s">
        <v>54</v>
      </c>
      <c r="B1302" t="s">
        <v>52</v>
      </c>
      <c r="C1302" t="s">
        <v>51</v>
      </c>
      <c r="D1302" t="s">
        <v>50</v>
      </c>
      <c r="E1302">
        <v>0</v>
      </c>
    </row>
    <row r="1303" spans="1:5" x14ac:dyDescent="0.45">
      <c r="A1303" t="s">
        <v>54</v>
      </c>
      <c r="B1303" t="s">
        <v>52</v>
      </c>
      <c r="C1303" t="s">
        <v>51</v>
      </c>
      <c r="D1303" t="s">
        <v>50</v>
      </c>
      <c r="E1303">
        <v>0</v>
      </c>
    </row>
    <row r="1304" spans="1:5" x14ac:dyDescent="0.45">
      <c r="A1304" t="s">
        <v>54</v>
      </c>
      <c r="B1304" t="s">
        <v>52</v>
      </c>
      <c r="C1304" t="s">
        <v>51</v>
      </c>
      <c r="D1304" t="s">
        <v>50</v>
      </c>
      <c r="E1304">
        <v>0</v>
      </c>
    </row>
    <row r="1305" spans="1:5" x14ac:dyDescent="0.45">
      <c r="A1305" t="s">
        <v>54</v>
      </c>
      <c r="B1305" t="s">
        <v>52</v>
      </c>
      <c r="C1305" t="s">
        <v>51</v>
      </c>
      <c r="D1305" t="s">
        <v>50</v>
      </c>
      <c r="E1305">
        <v>0</v>
      </c>
    </row>
    <row r="1306" spans="1:5" x14ac:dyDescent="0.45">
      <c r="A1306" t="s">
        <v>54</v>
      </c>
      <c r="B1306" t="s">
        <v>52</v>
      </c>
      <c r="C1306" t="s">
        <v>51</v>
      </c>
      <c r="D1306" t="s">
        <v>50</v>
      </c>
      <c r="E1306">
        <v>0</v>
      </c>
    </row>
    <row r="1307" spans="1:5" x14ac:dyDescent="0.45">
      <c r="A1307" t="s">
        <v>54</v>
      </c>
      <c r="B1307" t="s">
        <v>52</v>
      </c>
      <c r="C1307" t="s">
        <v>51</v>
      </c>
      <c r="D1307" t="s">
        <v>50</v>
      </c>
      <c r="E1307">
        <v>0</v>
      </c>
    </row>
    <row r="1308" spans="1:5" x14ac:dyDescent="0.45">
      <c r="A1308" t="s">
        <v>54</v>
      </c>
      <c r="B1308" t="s">
        <v>52</v>
      </c>
      <c r="C1308" t="s">
        <v>51</v>
      </c>
      <c r="D1308" t="s">
        <v>50</v>
      </c>
      <c r="E1308">
        <v>0</v>
      </c>
    </row>
    <row r="1309" spans="1:5" x14ac:dyDescent="0.45">
      <c r="A1309" t="s">
        <v>54</v>
      </c>
      <c r="B1309" t="s">
        <v>52</v>
      </c>
      <c r="C1309" t="s">
        <v>51</v>
      </c>
      <c r="D1309" t="s">
        <v>50</v>
      </c>
      <c r="E1309">
        <v>0</v>
      </c>
    </row>
    <row r="1310" spans="1:5" x14ac:dyDescent="0.45">
      <c r="A1310" t="s">
        <v>54</v>
      </c>
      <c r="B1310" t="s">
        <v>52</v>
      </c>
      <c r="C1310" t="s">
        <v>51</v>
      </c>
      <c r="D1310" t="s">
        <v>50</v>
      </c>
      <c r="E1310">
        <v>0</v>
      </c>
    </row>
    <row r="1311" spans="1:5" x14ac:dyDescent="0.45">
      <c r="A1311" t="s">
        <v>54</v>
      </c>
      <c r="B1311" t="s">
        <v>52</v>
      </c>
      <c r="C1311" t="s">
        <v>51</v>
      </c>
      <c r="D1311" t="s">
        <v>50</v>
      </c>
      <c r="E1311">
        <v>0</v>
      </c>
    </row>
    <row r="1312" spans="1:5" x14ac:dyDescent="0.45">
      <c r="A1312" t="s">
        <v>54</v>
      </c>
      <c r="B1312" t="s">
        <v>52</v>
      </c>
      <c r="C1312" t="s">
        <v>51</v>
      </c>
      <c r="D1312" t="s">
        <v>50</v>
      </c>
      <c r="E1312">
        <v>0</v>
      </c>
    </row>
    <row r="1313" spans="1:5" x14ac:dyDescent="0.45">
      <c r="A1313" t="s">
        <v>54</v>
      </c>
      <c r="B1313" t="s">
        <v>52</v>
      </c>
      <c r="C1313" t="s">
        <v>51</v>
      </c>
      <c r="D1313" t="s">
        <v>50</v>
      </c>
      <c r="E1313">
        <v>0</v>
      </c>
    </row>
    <row r="1314" spans="1:5" x14ac:dyDescent="0.45">
      <c r="A1314" t="s">
        <v>54</v>
      </c>
      <c r="B1314" t="s">
        <v>52</v>
      </c>
      <c r="C1314" t="s">
        <v>51</v>
      </c>
      <c r="D1314" t="s">
        <v>50</v>
      </c>
      <c r="E1314">
        <v>0</v>
      </c>
    </row>
    <row r="1315" spans="1:5" x14ac:dyDescent="0.45">
      <c r="A1315" t="s">
        <v>54</v>
      </c>
      <c r="B1315" t="s">
        <v>52</v>
      </c>
      <c r="C1315" t="s">
        <v>51</v>
      </c>
      <c r="D1315" t="s">
        <v>50</v>
      </c>
      <c r="E1315">
        <v>0</v>
      </c>
    </row>
    <row r="1316" spans="1:5" x14ac:dyDescent="0.45">
      <c r="A1316" t="s">
        <v>54</v>
      </c>
      <c r="B1316" t="s">
        <v>52</v>
      </c>
      <c r="C1316" t="s">
        <v>51</v>
      </c>
      <c r="D1316" t="s">
        <v>50</v>
      </c>
      <c r="E1316">
        <v>0</v>
      </c>
    </row>
    <row r="1317" spans="1:5" x14ac:dyDescent="0.45">
      <c r="A1317" t="s">
        <v>54</v>
      </c>
      <c r="B1317" t="s">
        <v>52</v>
      </c>
      <c r="C1317" t="s">
        <v>51</v>
      </c>
      <c r="D1317" t="s">
        <v>50</v>
      </c>
      <c r="E1317">
        <v>0</v>
      </c>
    </row>
    <row r="1318" spans="1:5" x14ac:dyDescent="0.45">
      <c r="A1318" t="s">
        <v>55</v>
      </c>
      <c r="B1318" t="s">
        <v>47</v>
      </c>
      <c r="C1318" t="s">
        <v>48</v>
      </c>
      <c r="D1318" t="s">
        <v>49</v>
      </c>
      <c r="E1318">
        <v>1</v>
      </c>
    </row>
    <row r="1319" spans="1:5" x14ac:dyDescent="0.45">
      <c r="A1319" t="s">
        <v>55</v>
      </c>
      <c r="B1319" t="s">
        <v>47</v>
      </c>
      <c r="C1319" t="s">
        <v>48</v>
      </c>
      <c r="D1319" t="s">
        <v>49</v>
      </c>
      <c r="E1319">
        <v>1</v>
      </c>
    </row>
    <row r="1320" spans="1:5" x14ac:dyDescent="0.45">
      <c r="A1320" t="s">
        <v>55</v>
      </c>
      <c r="B1320" t="s">
        <v>47</v>
      </c>
      <c r="C1320" t="s">
        <v>48</v>
      </c>
      <c r="D1320" t="s">
        <v>49</v>
      </c>
      <c r="E1320">
        <v>1</v>
      </c>
    </row>
    <row r="1321" spans="1:5" x14ac:dyDescent="0.45">
      <c r="A1321" t="s">
        <v>55</v>
      </c>
      <c r="B1321" t="s">
        <v>47</v>
      </c>
      <c r="C1321" t="s">
        <v>48</v>
      </c>
      <c r="D1321" t="s">
        <v>49</v>
      </c>
      <c r="E1321">
        <v>1</v>
      </c>
    </row>
    <row r="1322" spans="1:5" x14ac:dyDescent="0.45">
      <c r="A1322" t="s">
        <v>55</v>
      </c>
      <c r="B1322" t="s">
        <v>47</v>
      </c>
      <c r="C1322" t="s">
        <v>48</v>
      </c>
      <c r="D1322" t="s">
        <v>49</v>
      </c>
      <c r="E1322">
        <v>1</v>
      </c>
    </row>
    <row r="1323" spans="1:5" x14ac:dyDescent="0.45">
      <c r="A1323" t="s">
        <v>55</v>
      </c>
      <c r="B1323" t="s">
        <v>47</v>
      </c>
      <c r="C1323" t="s">
        <v>48</v>
      </c>
      <c r="D1323" t="s">
        <v>49</v>
      </c>
      <c r="E1323">
        <v>1</v>
      </c>
    </row>
    <row r="1324" spans="1:5" x14ac:dyDescent="0.45">
      <c r="A1324" t="s">
        <v>55</v>
      </c>
      <c r="B1324" t="s">
        <v>47</v>
      </c>
      <c r="C1324" t="s">
        <v>48</v>
      </c>
      <c r="D1324" t="s">
        <v>49</v>
      </c>
      <c r="E1324">
        <v>1</v>
      </c>
    </row>
    <row r="1325" spans="1:5" x14ac:dyDescent="0.45">
      <c r="A1325" t="s">
        <v>55</v>
      </c>
      <c r="B1325" t="s">
        <v>47</v>
      </c>
      <c r="C1325" t="s">
        <v>48</v>
      </c>
      <c r="D1325" t="s">
        <v>49</v>
      </c>
      <c r="E1325">
        <v>1</v>
      </c>
    </row>
    <row r="1326" spans="1:5" x14ac:dyDescent="0.45">
      <c r="A1326" t="s">
        <v>55</v>
      </c>
      <c r="B1326" t="s">
        <v>47</v>
      </c>
      <c r="C1326" t="s">
        <v>48</v>
      </c>
      <c r="D1326" t="s">
        <v>49</v>
      </c>
      <c r="E1326">
        <v>1</v>
      </c>
    </row>
    <row r="1327" spans="1:5" x14ac:dyDescent="0.45">
      <c r="A1327" t="s">
        <v>55</v>
      </c>
      <c r="B1327" t="s">
        <v>47</v>
      </c>
      <c r="C1327" t="s">
        <v>48</v>
      </c>
      <c r="D1327" t="s">
        <v>49</v>
      </c>
      <c r="E1327">
        <v>1</v>
      </c>
    </row>
    <row r="1328" spans="1:5" x14ac:dyDescent="0.45">
      <c r="A1328" t="s">
        <v>55</v>
      </c>
      <c r="B1328" t="s">
        <v>47</v>
      </c>
      <c r="C1328" t="s">
        <v>48</v>
      </c>
      <c r="D1328" t="s">
        <v>49</v>
      </c>
      <c r="E1328">
        <v>1</v>
      </c>
    </row>
    <row r="1329" spans="1:5" x14ac:dyDescent="0.45">
      <c r="A1329" t="s">
        <v>55</v>
      </c>
      <c r="B1329" t="s">
        <v>47</v>
      </c>
      <c r="C1329" t="s">
        <v>48</v>
      </c>
      <c r="D1329" t="s">
        <v>49</v>
      </c>
      <c r="E1329">
        <v>1</v>
      </c>
    </row>
    <row r="1330" spans="1:5" x14ac:dyDescent="0.45">
      <c r="A1330" t="s">
        <v>55</v>
      </c>
      <c r="B1330" t="s">
        <v>47</v>
      </c>
      <c r="C1330" t="s">
        <v>48</v>
      </c>
      <c r="D1330" t="s">
        <v>49</v>
      </c>
      <c r="E1330">
        <v>1</v>
      </c>
    </row>
    <row r="1331" spans="1:5" x14ac:dyDescent="0.45">
      <c r="A1331" t="s">
        <v>55</v>
      </c>
      <c r="B1331" t="s">
        <v>47</v>
      </c>
      <c r="C1331" t="s">
        <v>48</v>
      </c>
      <c r="D1331" t="s">
        <v>49</v>
      </c>
      <c r="E1331">
        <v>1</v>
      </c>
    </row>
    <row r="1332" spans="1:5" x14ac:dyDescent="0.45">
      <c r="A1332" t="s">
        <v>55</v>
      </c>
      <c r="B1332" t="s">
        <v>47</v>
      </c>
      <c r="C1332" t="s">
        <v>48</v>
      </c>
      <c r="D1332" t="s">
        <v>49</v>
      </c>
      <c r="E1332">
        <v>1</v>
      </c>
    </row>
    <row r="1333" spans="1:5" x14ac:dyDescent="0.45">
      <c r="A1333" t="s">
        <v>55</v>
      </c>
      <c r="B1333" t="s">
        <v>47</v>
      </c>
      <c r="C1333" t="s">
        <v>48</v>
      </c>
      <c r="D1333" t="s">
        <v>49</v>
      </c>
      <c r="E1333">
        <v>1</v>
      </c>
    </row>
    <row r="1334" spans="1:5" x14ac:dyDescent="0.45">
      <c r="A1334" t="s">
        <v>55</v>
      </c>
      <c r="B1334" t="s">
        <v>47</v>
      </c>
      <c r="C1334" t="s">
        <v>48</v>
      </c>
      <c r="D1334" t="s">
        <v>49</v>
      </c>
      <c r="E1334">
        <v>1</v>
      </c>
    </row>
    <row r="1335" spans="1:5" x14ac:dyDescent="0.45">
      <c r="A1335" t="s">
        <v>55</v>
      </c>
      <c r="B1335" t="s">
        <v>47</v>
      </c>
      <c r="C1335" t="s">
        <v>48</v>
      </c>
      <c r="D1335" t="s">
        <v>49</v>
      </c>
      <c r="E1335">
        <v>1</v>
      </c>
    </row>
    <row r="1336" spans="1:5" x14ac:dyDescent="0.45">
      <c r="A1336" t="s">
        <v>55</v>
      </c>
      <c r="B1336" t="s">
        <v>47</v>
      </c>
      <c r="C1336" t="s">
        <v>48</v>
      </c>
      <c r="D1336" t="s">
        <v>49</v>
      </c>
      <c r="E1336">
        <v>1</v>
      </c>
    </row>
    <row r="1337" spans="1:5" x14ac:dyDescent="0.45">
      <c r="A1337" t="s">
        <v>55</v>
      </c>
      <c r="B1337" t="s">
        <v>47</v>
      </c>
      <c r="C1337" t="s">
        <v>48</v>
      </c>
      <c r="D1337" t="s">
        <v>49</v>
      </c>
      <c r="E1337">
        <v>1</v>
      </c>
    </row>
    <row r="1338" spans="1:5" x14ac:dyDescent="0.45">
      <c r="A1338" t="s">
        <v>55</v>
      </c>
      <c r="B1338" t="s">
        <v>47</v>
      </c>
      <c r="C1338" t="s">
        <v>48</v>
      </c>
      <c r="D1338" t="s">
        <v>49</v>
      </c>
      <c r="E1338">
        <v>1</v>
      </c>
    </row>
    <row r="1339" spans="1:5" x14ac:dyDescent="0.45">
      <c r="A1339" t="s">
        <v>55</v>
      </c>
      <c r="B1339" t="s">
        <v>47</v>
      </c>
      <c r="C1339" t="s">
        <v>48</v>
      </c>
      <c r="D1339" t="s">
        <v>49</v>
      </c>
      <c r="E1339">
        <v>1</v>
      </c>
    </row>
    <row r="1340" spans="1:5" x14ac:dyDescent="0.45">
      <c r="A1340" t="s">
        <v>55</v>
      </c>
      <c r="B1340" t="s">
        <v>47</v>
      </c>
      <c r="C1340" t="s">
        <v>48</v>
      </c>
      <c r="D1340" t="s">
        <v>49</v>
      </c>
      <c r="E1340">
        <v>1</v>
      </c>
    </row>
    <row r="1341" spans="1:5" x14ac:dyDescent="0.45">
      <c r="A1341" t="s">
        <v>55</v>
      </c>
      <c r="B1341" t="s">
        <v>47</v>
      </c>
      <c r="C1341" t="s">
        <v>48</v>
      </c>
      <c r="D1341" t="s">
        <v>49</v>
      </c>
      <c r="E1341">
        <v>1</v>
      </c>
    </row>
    <row r="1342" spans="1:5" x14ac:dyDescent="0.45">
      <c r="A1342" t="s">
        <v>55</v>
      </c>
      <c r="B1342" t="s">
        <v>47</v>
      </c>
      <c r="C1342" t="s">
        <v>48</v>
      </c>
      <c r="D1342" t="s">
        <v>49</v>
      </c>
      <c r="E1342">
        <v>1</v>
      </c>
    </row>
    <row r="1343" spans="1:5" x14ac:dyDescent="0.45">
      <c r="A1343" t="s">
        <v>55</v>
      </c>
      <c r="B1343" t="s">
        <v>47</v>
      </c>
      <c r="C1343" t="s">
        <v>48</v>
      </c>
      <c r="D1343" t="s">
        <v>49</v>
      </c>
      <c r="E1343">
        <v>1</v>
      </c>
    </row>
    <row r="1344" spans="1:5" x14ac:dyDescent="0.45">
      <c r="A1344" t="s">
        <v>55</v>
      </c>
      <c r="B1344" t="s">
        <v>47</v>
      </c>
      <c r="C1344" t="s">
        <v>48</v>
      </c>
      <c r="D1344" t="s">
        <v>49</v>
      </c>
      <c r="E1344">
        <v>1</v>
      </c>
    </row>
    <row r="1345" spans="1:5" x14ac:dyDescent="0.45">
      <c r="A1345" t="s">
        <v>55</v>
      </c>
      <c r="B1345" t="s">
        <v>47</v>
      </c>
      <c r="C1345" t="s">
        <v>48</v>
      </c>
      <c r="D1345" t="s">
        <v>49</v>
      </c>
      <c r="E1345">
        <v>1</v>
      </c>
    </row>
    <row r="1346" spans="1:5" x14ac:dyDescent="0.45">
      <c r="A1346" t="s">
        <v>55</v>
      </c>
      <c r="B1346" t="s">
        <v>47</v>
      </c>
      <c r="C1346" t="s">
        <v>48</v>
      </c>
      <c r="D1346" t="s">
        <v>49</v>
      </c>
      <c r="E1346">
        <v>1</v>
      </c>
    </row>
    <row r="1347" spans="1:5" x14ac:dyDescent="0.45">
      <c r="A1347" t="s">
        <v>55</v>
      </c>
      <c r="B1347" t="s">
        <v>47</v>
      </c>
      <c r="C1347" t="s">
        <v>48</v>
      </c>
      <c r="D1347" t="s">
        <v>49</v>
      </c>
      <c r="E1347">
        <v>1</v>
      </c>
    </row>
    <row r="1348" spans="1:5" x14ac:dyDescent="0.45">
      <c r="A1348" t="s">
        <v>55</v>
      </c>
      <c r="B1348" t="s">
        <v>47</v>
      </c>
      <c r="C1348" t="s">
        <v>48</v>
      </c>
      <c r="D1348" t="s">
        <v>49</v>
      </c>
      <c r="E1348">
        <v>1</v>
      </c>
    </row>
    <row r="1349" spans="1:5" x14ac:dyDescent="0.45">
      <c r="A1349" t="s">
        <v>55</v>
      </c>
      <c r="B1349" t="s">
        <v>47</v>
      </c>
      <c r="C1349" t="s">
        <v>48</v>
      </c>
      <c r="D1349" t="s">
        <v>49</v>
      </c>
      <c r="E1349">
        <v>1</v>
      </c>
    </row>
    <row r="1350" spans="1:5" x14ac:dyDescent="0.45">
      <c r="A1350" t="s">
        <v>55</v>
      </c>
      <c r="B1350" t="s">
        <v>47</v>
      </c>
      <c r="C1350" t="s">
        <v>48</v>
      </c>
      <c r="D1350" t="s">
        <v>49</v>
      </c>
      <c r="E1350">
        <v>1</v>
      </c>
    </row>
    <row r="1351" spans="1:5" x14ac:dyDescent="0.45">
      <c r="A1351" t="s">
        <v>55</v>
      </c>
      <c r="B1351" t="s">
        <v>47</v>
      </c>
      <c r="C1351" t="s">
        <v>48</v>
      </c>
      <c r="D1351" t="s">
        <v>49</v>
      </c>
      <c r="E1351">
        <v>1</v>
      </c>
    </row>
    <row r="1352" spans="1:5" x14ac:dyDescent="0.45">
      <c r="A1352" t="s">
        <v>55</v>
      </c>
      <c r="B1352" t="s">
        <v>47</v>
      </c>
      <c r="C1352" t="s">
        <v>48</v>
      </c>
      <c r="D1352" t="s">
        <v>49</v>
      </c>
      <c r="E1352">
        <v>1</v>
      </c>
    </row>
    <row r="1353" spans="1:5" x14ac:dyDescent="0.45">
      <c r="A1353" t="s">
        <v>55</v>
      </c>
      <c r="B1353" t="s">
        <v>47</v>
      </c>
      <c r="C1353" t="s">
        <v>48</v>
      </c>
      <c r="D1353" t="s">
        <v>49</v>
      </c>
      <c r="E1353">
        <v>1</v>
      </c>
    </row>
    <row r="1354" spans="1:5" x14ac:dyDescent="0.45">
      <c r="A1354" t="s">
        <v>55</v>
      </c>
      <c r="B1354" t="s">
        <v>47</v>
      </c>
      <c r="C1354" t="s">
        <v>48</v>
      </c>
      <c r="D1354" t="s">
        <v>49</v>
      </c>
      <c r="E1354">
        <v>1</v>
      </c>
    </row>
    <row r="1355" spans="1:5" x14ac:dyDescent="0.45">
      <c r="A1355" t="s">
        <v>55</v>
      </c>
      <c r="B1355" t="s">
        <v>47</v>
      </c>
      <c r="C1355" t="s">
        <v>48</v>
      </c>
      <c r="D1355" t="s">
        <v>49</v>
      </c>
      <c r="E1355">
        <v>1</v>
      </c>
    </row>
    <row r="1356" spans="1:5" x14ac:dyDescent="0.45">
      <c r="A1356" t="s">
        <v>55</v>
      </c>
      <c r="B1356" t="s">
        <v>47</v>
      </c>
      <c r="C1356" t="s">
        <v>48</v>
      </c>
      <c r="D1356" t="s">
        <v>49</v>
      </c>
      <c r="E1356">
        <v>1</v>
      </c>
    </row>
    <row r="1357" spans="1:5" x14ac:dyDescent="0.45">
      <c r="A1357" t="s">
        <v>55</v>
      </c>
      <c r="B1357" t="s">
        <v>47</v>
      </c>
      <c r="C1357" t="s">
        <v>48</v>
      </c>
      <c r="D1357" t="s">
        <v>49</v>
      </c>
      <c r="E1357">
        <v>1</v>
      </c>
    </row>
    <row r="1358" spans="1:5" x14ac:dyDescent="0.45">
      <c r="A1358" t="s">
        <v>55</v>
      </c>
      <c r="B1358" t="s">
        <v>47</v>
      </c>
      <c r="C1358" t="s">
        <v>48</v>
      </c>
      <c r="D1358" t="s">
        <v>49</v>
      </c>
      <c r="E1358">
        <v>1</v>
      </c>
    </row>
    <row r="1359" spans="1:5" x14ac:dyDescent="0.45">
      <c r="A1359" t="s">
        <v>55</v>
      </c>
      <c r="B1359" t="s">
        <v>47</v>
      </c>
      <c r="C1359" t="s">
        <v>48</v>
      </c>
      <c r="D1359" t="s">
        <v>49</v>
      </c>
      <c r="E1359">
        <v>1</v>
      </c>
    </row>
    <row r="1360" spans="1:5" x14ac:dyDescent="0.45">
      <c r="A1360" t="s">
        <v>55</v>
      </c>
      <c r="B1360" t="s">
        <v>47</v>
      </c>
      <c r="C1360" t="s">
        <v>48</v>
      </c>
      <c r="D1360" t="s">
        <v>49</v>
      </c>
      <c r="E1360">
        <v>1</v>
      </c>
    </row>
    <row r="1361" spans="1:5" x14ac:dyDescent="0.45">
      <c r="A1361" t="s">
        <v>55</v>
      </c>
      <c r="B1361" t="s">
        <v>47</v>
      </c>
      <c r="C1361" t="s">
        <v>48</v>
      </c>
      <c r="D1361" t="s">
        <v>49</v>
      </c>
      <c r="E1361">
        <v>1</v>
      </c>
    </row>
    <row r="1362" spans="1:5" x14ac:dyDescent="0.45">
      <c r="A1362" t="s">
        <v>55</v>
      </c>
      <c r="B1362" t="s">
        <v>47</v>
      </c>
      <c r="C1362" t="s">
        <v>48</v>
      </c>
      <c r="D1362" t="s">
        <v>49</v>
      </c>
      <c r="E1362">
        <v>1</v>
      </c>
    </row>
    <row r="1363" spans="1:5" x14ac:dyDescent="0.45">
      <c r="A1363" t="s">
        <v>55</v>
      </c>
      <c r="B1363" t="s">
        <v>47</v>
      </c>
      <c r="C1363" t="s">
        <v>48</v>
      </c>
      <c r="D1363" t="s">
        <v>49</v>
      </c>
      <c r="E1363">
        <v>1</v>
      </c>
    </row>
    <row r="1364" spans="1:5" x14ac:dyDescent="0.45">
      <c r="A1364" t="s">
        <v>55</v>
      </c>
      <c r="B1364" t="s">
        <v>47</v>
      </c>
      <c r="C1364" t="s">
        <v>48</v>
      </c>
      <c r="D1364" t="s">
        <v>49</v>
      </c>
      <c r="E1364">
        <v>1</v>
      </c>
    </row>
    <row r="1365" spans="1:5" x14ac:dyDescent="0.45">
      <c r="A1365" t="s">
        <v>55</v>
      </c>
      <c r="B1365" t="s">
        <v>47</v>
      </c>
      <c r="C1365" t="s">
        <v>48</v>
      </c>
      <c r="D1365" t="s">
        <v>49</v>
      </c>
      <c r="E1365">
        <v>1</v>
      </c>
    </row>
    <row r="1366" spans="1:5" x14ac:dyDescent="0.45">
      <c r="A1366" t="s">
        <v>55</v>
      </c>
      <c r="B1366" t="s">
        <v>47</v>
      </c>
      <c r="C1366" t="s">
        <v>48</v>
      </c>
      <c r="D1366" t="s">
        <v>49</v>
      </c>
      <c r="E1366">
        <v>1</v>
      </c>
    </row>
    <row r="1367" spans="1:5" x14ac:dyDescent="0.45">
      <c r="A1367" t="s">
        <v>55</v>
      </c>
      <c r="B1367" t="s">
        <v>47</v>
      </c>
      <c r="C1367" t="s">
        <v>48</v>
      </c>
      <c r="D1367" t="s">
        <v>49</v>
      </c>
      <c r="E1367">
        <v>1</v>
      </c>
    </row>
    <row r="1368" spans="1:5" x14ac:dyDescent="0.45">
      <c r="A1368" t="s">
        <v>55</v>
      </c>
      <c r="B1368" t="s">
        <v>47</v>
      </c>
      <c r="C1368" t="s">
        <v>48</v>
      </c>
      <c r="D1368" t="s">
        <v>49</v>
      </c>
      <c r="E1368">
        <v>1</v>
      </c>
    </row>
    <row r="1369" spans="1:5" x14ac:dyDescent="0.45">
      <c r="A1369" t="s">
        <v>55</v>
      </c>
      <c r="B1369" t="s">
        <v>47</v>
      </c>
      <c r="C1369" t="s">
        <v>48</v>
      </c>
      <c r="D1369" t="s">
        <v>49</v>
      </c>
      <c r="E1369">
        <v>1</v>
      </c>
    </row>
    <row r="1370" spans="1:5" x14ac:dyDescent="0.45">
      <c r="A1370" t="s">
        <v>55</v>
      </c>
      <c r="B1370" t="s">
        <v>47</v>
      </c>
      <c r="C1370" t="s">
        <v>48</v>
      </c>
      <c r="D1370" t="s">
        <v>49</v>
      </c>
      <c r="E1370">
        <v>1</v>
      </c>
    </row>
    <row r="1371" spans="1:5" x14ac:dyDescent="0.45">
      <c r="A1371" t="s">
        <v>55</v>
      </c>
      <c r="B1371" t="s">
        <v>47</v>
      </c>
      <c r="C1371" t="s">
        <v>48</v>
      </c>
      <c r="D1371" t="s">
        <v>49</v>
      </c>
      <c r="E1371">
        <v>1</v>
      </c>
    </row>
    <row r="1372" spans="1:5" x14ac:dyDescent="0.45">
      <c r="A1372" t="s">
        <v>55</v>
      </c>
      <c r="B1372" t="s">
        <v>47</v>
      </c>
      <c r="C1372" t="s">
        <v>48</v>
      </c>
      <c r="D1372" t="s">
        <v>49</v>
      </c>
      <c r="E1372">
        <v>1</v>
      </c>
    </row>
    <row r="1373" spans="1:5" x14ac:dyDescent="0.45">
      <c r="A1373" t="s">
        <v>55</v>
      </c>
      <c r="B1373" t="s">
        <v>47</v>
      </c>
      <c r="C1373" t="s">
        <v>48</v>
      </c>
      <c r="D1373" t="s">
        <v>49</v>
      </c>
      <c r="E1373">
        <v>1</v>
      </c>
    </row>
    <row r="1374" spans="1:5" x14ac:dyDescent="0.45">
      <c r="A1374" t="s">
        <v>55</v>
      </c>
      <c r="B1374" t="s">
        <v>47</v>
      </c>
      <c r="C1374" t="s">
        <v>48</v>
      </c>
      <c r="D1374" t="s">
        <v>49</v>
      </c>
      <c r="E1374">
        <v>1</v>
      </c>
    </row>
    <row r="1375" spans="1:5" x14ac:dyDescent="0.45">
      <c r="A1375" t="s">
        <v>55</v>
      </c>
      <c r="B1375" t="s">
        <v>47</v>
      </c>
      <c r="C1375" t="s">
        <v>48</v>
      </c>
      <c r="D1375" t="s">
        <v>49</v>
      </c>
      <c r="E1375">
        <v>1</v>
      </c>
    </row>
    <row r="1376" spans="1:5" x14ac:dyDescent="0.45">
      <c r="A1376" t="s">
        <v>55</v>
      </c>
      <c r="B1376" t="s">
        <v>47</v>
      </c>
      <c r="C1376" t="s">
        <v>48</v>
      </c>
      <c r="D1376" t="s">
        <v>49</v>
      </c>
      <c r="E1376">
        <v>1</v>
      </c>
    </row>
    <row r="1377" spans="1:5" x14ac:dyDescent="0.45">
      <c r="A1377" t="s">
        <v>55</v>
      </c>
      <c r="B1377" t="s">
        <v>47</v>
      </c>
      <c r="C1377" t="s">
        <v>48</v>
      </c>
      <c r="D1377" t="s">
        <v>49</v>
      </c>
      <c r="E1377">
        <v>1</v>
      </c>
    </row>
    <row r="1378" spans="1:5" x14ac:dyDescent="0.45">
      <c r="A1378" t="s">
        <v>55</v>
      </c>
      <c r="B1378" t="s">
        <v>47</v>
      </c>
      <c r="C1378" t="s">
        <v>48</v>
      </c>
      <c r="D1378" t="s">
        <v>49</v>
      </c>
      <c r="E1378">
        <v>1</v>
      </c>
    </row>
    <row r="1379" spans="1:5" x14ac:dyDescent="0.45">
      <c r="A1379" t="s">
        <v>55</v>
      </c>
      <c r="B1379" t="s">
        <v>47</v>
      </c>
      <c r="C1379" t="s">
        <v>48</v>
      </c>
      <c r="D1379" t="s">
        <v>49</v>
      </c>
      <c r="E1379">
        <v>1</v>
      </c>
    </row>
    <row r="1380" spans="1:5" x14ac:dyDescent="0.45">
      <c r="A1380" t="s">
        <v>55</v>
      </c>
      <c r="B1380" t="s">
        <v>47</v>
      </c>
      <c r="C1380" t="s">
        <v>48</v>
      </c>
      <c r="D1380" t="s">
        <v>49</v>
      </c>
      <c r="E1380">
        <v>1</v>
      </c>
    </row>
    <row r="1381" spans="1:5" x14ac:dyDescent="0.45">
      <c r="A1381" t="s">
        <v>55</v>
      </c>
      <c r="B1381" t="s">
        <v>47</v>
      </c>
      <c r="C1381" t="s">
        <v>48</v>
      </c>
      <c r="D1381" t="s">
        <v>49</v>
      </c>
      <c r="E1381">
        <v>1</v>
      </c>
    </row>
    <row r="1382" spans="1:5" x14ac:dyDescent="0.45">
      <c r="A1382" t="s">
        <v>55</v>
      </c>
      <c r="B1382" t="s">
        <v>47</v>
      </c>
      <c r="C1382" t="s">
        <v>48</v>
      </c>
      <c r="D1382" t="s">
        <v>49</v>
      </c>
      <c r="E1382">
        <v>1</v>
      </c>
    </row>
    <row r="1383" spans="1:5" x14ac:dyDescent="0.45">
      <c r="A1383" t="s">
        <v>55</v>
      </c>
      <c r="B1383" t="s">
        <v>47</v>
      </c>
      <c r="C1383" t="s">
        <v>48</v>
      </c>
      <c r="D1383" t="s">
        <v>49</v>
      </c>
      <c r="E1383">
        <v>1</v>
      </c>
    </row>
    <row r="1384" spans="1:5" x14ac:dyDescent="0.45">
      <c r="A1384" t="s">
        <v>55</v>
      </c>
      <c r="B1384" t="s">
        <v>47</v>
      </c>
      <c r="C1384" t="s">
        <v>48</v>
      </c>
      <c r="D1384" t="s">
        <v>49</v>
      </c>
      <c r="E1384">
        <v>1</v>
      </c>
    </row>
    <row r="1385" spans="1:5" x14ac:dyDescent="0.45">
      <c r="A1385" t="s">
        <v>55</v>
      </c>
      <c r="B1385" t="s">
        <v>47</v>
      </c>
      <c r="C1385" t="s">
        <v>48</v>
      </c>
      <c r="D1385" t="s">
        <v>49</v>
      </c>
      <c r="E1385">
        <v>1</v>
      </c>
    </row>
    <row r="1386" spans="1:5" x14ac:dyDescent="0.45">
      <c r="A1386" t="s">
        <v>55</v>
      </c>
      <c r="B1386" t="s">
        <v>47</v>
      </c>
      <c r="C1386" t="s">
        <v>48</v>
      </c>
      <c r="D1386" t="s">
        <v>49</v>
      </c>
      <c r="E1386">
        <v>1</v>
      </c>
    </row>
    <row r="1387" spans="1:5" x14ac:dyDescent="0.45">
      <c r="A1387" t="s">
        <v>55</v>
      </c>
      <c r="B1387" t="s">
        <v>47</v>
      </c>
      <c r="C1387" t="s">
        <v>48</v>
      </c>
      <c r="D1387" t="s">
        <v>49</v>
      </c>
      <c r="E1387">
        <v>1</v>
      </c>
    </row>
    <row r="1388" spans="1:5" x14ac:dyDescent="0.45">
      <c r="A1388" t="s">
        <v>55</v>
      </c>
      <c r="B1388" t="s">
        <v>47</v>
      </c>
      <c r="C1388" t="s">
        <v>48</v>
      </c>
      <c r="D1388" t="s">
        <v>49</v>
      </c>
      <c r="E1388">
        <v>1</v>
      </c>
    </row>
    <row r="1389" spans="1:5" x14ac:dyDescent="0.45">
      <c r="A1389" t="s">
        <v>55</v>
      </c>
      <c r="B1389" t="s">
        <v>47</v>
      </c>
      <c r="C1389" t="s">
        <v>48</v>
      </c>
      <c r="D1389" t="s">
        <v>49</v>
      </c>
      <c r="E1389">
        <v>1</v>
      </c>
    </row>
    <row r="1390" spans="1:5" x14ac:dyDescent="0.45">
      <c r="A1390" t="s">
        <v>55</v>
      </c>
      <c r="B1390" t="s">
        <v>47</v>
      </c>
      <c r="C1390" t="s">
        <v>48</v>
      </c>
      <c r="D1390" t="s">
        <v>49</v>
      </c>
      <c r="E1390">
        <v>1</v>
      </c>
    </row>
    <row r="1391" spans="1:5" x14ac:dyDescent="0.45">
      <c r="A1391" t="s">
        <v>55</v>
      </c>
      <c r="B1391" t="s">
        <v>47</v>
      </c>
      <c r="C1391" t="s">
        <v>48</v>
      </c>
      <c r="D1391" t="s">
        <v>49</v>
      </c>
      <c r="E1391">
        <v>1</v>
      </c>
    </row>
    <row r="1392" spans="1:5" x14ac:dyDescent="0.45">
      <c r="A1392" t="s">
        <v>55</v>
      </c>
      <c r="B1392" t="s">
        <v>47</v>
      </c>
      <c r="C1392" t="s">
        <v>48</v>
      </c>
      <c r="D1392" t="s">
        <v>49</v>
      </c>
      <c r="E1392">
        <v>1</v>
      </c>
    </row>
    <row r="1393" spans="1:5" x14ac:dyDescent="0.45">
      <c r="A1393" t="s">
        <v>55</v>
      </c>
      <c r="B1393" t="s">
        <v>47</v>
      </c>
      <c r="C1393" t="s">
        <v>48</v>
      </c>
      <c r="D1393" t="s">
        <v>49</v>
      </c>
      <c r="E1393">
        <v>1</v>
      </c>
    </row>
    <row r="1394" spans="1:5" x14ac:dyDescent="0.45">
      <c r="A1394" t="s">
        <v>55</v>
      </c>
      <c r="B1394" t="s">
        <v>47</v>
      </c>
      <c r="C1394" t="s">
        <v>48</v>
      </c>
      <c r="D1394" t="s">
        <v>49</v>
      </c>
      <c r="E1394">
        <v>1</v>
      </c>
    </row>
    <row r="1395" spans="1:5" x14ac:dyDescent="0.45">
      <c r="A1395" t="s">
        <v>55</v>
      </c>
      <c r="B1395" t="s">
        <v>47</v>
      </c>
      <c r="C1395" t="s">
        <v>48</v>
      </c>
      <c r="D1395" t="s">
        <v>49</v>
      </c>
      <c r="E1395">
        <v>1</v>
      </c>
    </row>
    <row r="1396" spans="1:5" x14ac:dyDescent="0.45">
      <c r="A1396" t="s">
        <v>55</v>
      </c>
      <c r="B1396" t="s">
        <v>47</v>
      </c>
      <c r="C1396" t="s">
        <v>48</v>
      </c>
      <c r="D1396" t="s">
        <v>49</v>
      </c>
      <c r="E1396">
        <v>1</v>
      </c>
    </row>
    <row r="1397" spans="1:5" x14ac:dyDescent="0.45">
      <c r="A1397" t="s">
        <v>55</v>
      </c>
      <c r="B1397" t="s">
        <v>47</v>
      </c>
      <c r="C1397" t="s">
        <v>48</v>
      </c>
      <c r="D1397" t="s">
        <v>49</v>
      </c>
      <c r="E1397">
        <v>1</v>
      </c>
    </row>
    <row r="1398" spans="1:5" x14ac:dyDescent="0.45">
      <c r="A1398" t="s">
        <v>55</v>
      </c>
      <c r="B1398" t="s">
        <v>47</v>
      </c>
      <c r="C1398" t="s">
        <v>48</v>
      </c>
      <c r="D1398" t="s">
        <v>49</v>
      </c>
      <c r="E1398">
        <v>1</v>
      </c>
    </row>
    <row r="1399" spans="1:5" x14ac:dyDescent="0.45">
      <c r="A1399" t="s">
        <v>55</v>
      </c>
      <c r="B1399" t="s">
        <v>47</v>
      </c>
      <c r="C1399" t="s">
        <v>48</v>
      </c>
      <c r="D1399" t="s">
        <v>49</v>
      </c>
      <c r="E1399">
        <v>1</v>
      </c>
    </row>
    <row r="1400" spans="1:5" x14ac:dyDescent="0.45">
      <c r="A1400" t="s">
        <v>55</v>
      </c>
      <c r="B1400" t="s">
        <v>47</v>
      </c>
      <c r="C1400" t="s">
        <v>48</v>
      </c>
      <c r="D1400" t="s">
        <v>49</v>
      </c>
      <c r="E1400">
        <v>1</v>
      </c>
    </row>
    <row r="1401" spans="1:5" x14ac:dyDescent="0.45">
      <c r="A1401" t="s">
        <v>55</v>
      </c>
      <c r="B1401" t="s">
        <v>47</v>
      </c>
      <c r="C1401" t="s">
        <v>48</v>
      </c>
      <c r="D1401" t="s">
        <v>49</v>
      </c>
      <c r="E1401">
        <v>1</v>
      </c>
    </row>
    <row r="1402" spans="1:5" x14ac:dyDescent="0.45">
      <c r="A1402" t="s">
        <v>55</v>
      </c>
      <c r="B1402" t="s">
        <v>47</v>
      </c>
      <c r="C1402" t="s">
        <v>48</v>
      </c>
      <c r="D1402" t="s">
        <v>49</v>
      </c>
      <c r="E1402">
        <v>1</v>
      </c>
    </row>
    <row r="1403" spans="1:5" x14ac:dyDescent="0.45">
      <c r="A1403" t="s">
        <v>55</v>
      </c>
      <c r="B1403" t="s">
        <v>47</v>
      </c>
      <c r="C1403" t="s">
        <v>48</v>
      </c>
      <c r="D1403" t="s">
        <v>49</v>
      </c>
      <c r="E1403">
        <v>1</v>
      </c>
    </row>
    <row r="1404" spans="1:5" x14ac:dyDescent="0.45">
      <c r="A1404" t="s">
        <v>55</v>
      </c>
      <c r="B1404" t="s">
        <v>47</v>
      </c>
      <c r="C1404" t="s">
        <v>48</v>
      </c>
      <c r="D1404" t="s">
        <v>49</v>
      </c>
      <c r="E1404">
        <v>1</v>
      </c>
    </row>
    <row r="1405" spans="1:5" x14ac:dyDescent="0.45">
      <c r="A1405" t="s">
        <v>55</v>
      </c>
      <c r="B1405" t="s">
        <v>47</v>
      </c>
      <c r="C1405" t="s">
        <v>48</v>
      </c>
      <c r="D1405" t="s">
        <v>49</v>
      </c>
      <c r="E1405">
        <v>1</v>
      </c>
    </row>
    <row r="1406" spans="1:5" x14ac:dyDescent="0.45">
      <c r="A1406" t="s">
        <v>55</v>
      </c>
      <c r="B1406" t="s">
        <v>47</v>
      </c>
      <c r="C1406" t="s">
        <v>48</v>
      </c>
      <c r="D1406" t="s">
        <v>49</v>
      </c>
      <c r="E1406">
        <v>1</v>
      </c>
    </row>
    <row r="1407" spans="1:5" x14ac:dyDescent="0.45">
      <c r="A1407" t="s">
        <v>55</v>
      </c>
      <c r="B1407" t="s">
        <v>47</v>
      </c>
      <c r="C1407" t="s">
        <v>48</v>
      </c>
      <c r="D1407" t="s">
        <v>49</v>
      </c>
      <c r="E1407">
        <v>1</v>
      </c>
    </row>
    <row r="1408" spans="1:5" x14ac:dyDescent="0.45">
      <c r="A1408" t="s">
        <v>55</v>
      </c>
      <c r="B1408" t="s">
        <v>47</v>
      </c>
      <c r="C1408" t="s">
        <v>48</v>
      </c>
      <c r="D1408" t="s">
        <v>49</v>
      </c>
      <c r="E1408">
        <v>1</v>
      </c>
    </row>
    <row r="1409" spans="1:5" x14ac:dyDescent="0.45">
      <c r="A1409" t="s">
        <v>55</v>
      </c>
      <c r="B1409" t="s">
        <v>47</v>
      </c>
      <c r="C1409" t="s">
        <v>48</v>
      </c>
      <c r="D1409" t="s">
        <v>49</v>
      </c>
      <c r="E1409">
        <v>1</v>
      </c>
    </row>
    <row r="1410" spans="1:5" x14ac:dyDescent="0.45">
      <c r="A1410" t="s">
        <v>55</v>
      </c>
      <c r="B1410" t="s">
        <v>47</v>
      </c>
      <c r="C1410" t="s">
        <v>48</v>
      </c>
      <c r="D1410" t="s">
        <v>49</v>
      </c>
      <c r="E1410">
        <v>1</v>
      </c>
    </row>
    <row r="1411" spans="1:5" x14ac:dyDescent="0.45">
      <c r="A1411" t="s">
        <v>55</v>
      </c>
      <c r="B1411" t="s">
        <v>47</v>
      </c>
      <c r="C1411" t="s">
        <v>48</v>
      </c>
      <c r="D1411" t="s">
        <v>49</v>
      </c>
      <c r="E1411">
        <v>1</v>
      </c>
    </row>
    <row r="1412" spans="1:5" x14ac:dyDescent="0.45">
      <c r="A1412" t="s">
        <v>55</v>
      </c>
      <c r="B1412" t="s">
        <v>47</v>
      </c>
      <c r="C1412" t="s">
        <v>48</v>
      </c>
      <c r="D1412" t="s">
        <v>49</v>
      </c>
      <c r="E1412">
        <v>1</v>
      </c>
    </row>
    <row r="1413" spans="1:5" x14ac:dyDescent="0.45">
      <c r="A1413" t="s">
        <v>55</v>
      </c>
      <c r="B1413" t="s">
        <v>47</v>
      </c>
      <c r="C1413" t="s">
        <v>48</v>
      </c>
      <c r="D1413" t="s">
        <v>49</v>
      </c>
      <c r="E1413">
        <v>1</v>
      </c>
    </row>
    <row r="1414" spans="1:5" x14ac:dyDescent="0.45">
      <c r="A1414" t="s">
        <v>55</v>
      </c>
      <c r="B1414" t="s">
        <v>47</v>
      </c>
      <c r="C1414" t="s">
        <v>48</v>
      </c>
      <c r="D1414" t="s">
        <v>49</v>
      </c>
      <c r="E1414">
        <v>1</v>
      </c>
    </row>
    <row r="1415" spans="1:5" x14ac:dyDescent="0.45">
      <c r="A1415" t="s">
        <v>55</v>
      </c>
      <c r="B1415" t="s">
        <v>47</v>
      </c>
      <c r="C1415" t="s">
        <v>48</v>
      </c>
      <c r="D1415" t="s">
        <v>49</v>
      </c>
      <c r="E1415">
        <v>1</v>
      </c>
    </row>
    <row r="1416" spans="1:5" x14ac:dyDescent="0.45">
      <c r="A1416" t="s">
        <v>55</v>
      </c>
      <c r="B1416" t="s">
        <v>47</v>
      </c>
      <c r="C1416" t="s">
        <v>48</v>
      </c>
      <c r="D1416" t="s">
        <v>49</v>
      </c>
      <c r="E1416">
        <v>1</v>
      </c>
    </row>
    <row r="1417" spans="1:5" x14ac:dyDescent="0.45">
      <c r="A1417" t="s">
        <v>55</v>
      </c>
      <c r="B1417" t="s">
        <v>47</v>
      </c>
      <c r="C1417" t="s">
        <v>48</v>
      </c>
      <c r="D1417" t="s">
        <v>49</v>
      </c>
      <c r="E1417">
        <v>1</v>
      </c>
    </row>
    <row r="1418" spans="1:5" x14ac:dyDescent="0.45">
      <c r="A1418" t="s">
        <v>55</v>
      </c>
      <c r="B1418" t="s">
        <v>47</v>
      </c>
      <c r="C1418" t="s">
        <v>48</v>
      </c>
      <c r="D1418" t="s">
        <v>49</v>
      </c>
      <c r="E1418">
        <v>1</v>
      </c>
    </row>
    <row r="1419" spans="1:5" x14ac:dyDescent="0.45">
      <c r="A1419" t="s">
        <v>55</v>
      </c>
      <c r="B1419" t="s">
        <v>47</v>
      </c>
      <c r="C1419" t="s">
        <v>48</v>
      </c>
      <c r="D1419" t="s">
        <v>49</v>
      </c>
      <c r="E1419">
        <v>1</v>
      </c>
    </row>
    <row r="1420" spans="1:5" x14ac:dyDescent="0.45">
      <c r="A1420" t="s">
        <v>55</v>
      </c>
      <c r="B1420" t="s">
        <v>47</v>
      </c>
      <c r="C1420" t="s">
        <v>48</v>
      </c>
      <c r="D1420" t="s">
        <v>49</v>
      </c>
      <c r="E1420">
        <v>1</v>
      </c>
    </row>
    <row r="1421" spans="1:5" x14ac:dyDescent="0.45">
      <c r="A1421" t="s">
        <v>55</v>
      </c>
      <c r="B1421" t="s">
        <v>47</v>
      </c>
      <c r="C1421" t="s">
        <v>48</v>
      </c>
      <c r="D1421" t="s">
        <v>49</v>
      </c>
      <c r="E1421">
        <v>1</v>
      </c>
    </row>
    <row r="1422" spans="1:5" x14ac:dyDescent="0.45">
      <c r="A1422" t="s">
        <v>55</v>
      </c>
      <c r="B1422" t="s">
        <v>47</v>
      </c>
      <c r="C1422" t="s">
        <v>48</v>
      </c>
      <c r="D1422" t="s">
        <v>49</v>
      </c>
      <c r="E1422">
        <v>1</v>
      </c>
    </row>
    <row r="1423" spans="1:5" x14ac:dyDescent="0.45">
      <c r="A1423" t="s">
        <v>55</v>
      </c>
      <c r="B1423" t="s">
        <v>47</v>
      </c>
      <c r="C1423" t="s">
        <v>48</v>
      </c>
      <c r="D1423" t="s">
        <v>49</v>
      </c>
      <c r="E1423">
        <v>1</v>
      </c>
    </row>
    <row r="1424" spans="1:5" x14ac:dyDescent="0.45">
      <c r="A1424" t="s">
        <v>55</v>
      </c>
      <c r="B1424" t="s">
        <v>47</v>
      </c>
      <c r="C1424" t="s">
        <v>48</v>
      </c>
      <c r="D1424" t="s">
        <v>49</v>
      </c>
      <c r="E1424">
        <v>1</v>
      </c>
    </row>
    <row r="1425" spans="1:5" x14ac:dyDescent="0.45">
      <c r="A1425" t="s">
        <v>55</v>
      </c>
      <c r="B1425" t="s">
        <v>47</v>
      </c>
      <c r="C1425" t="s">
        <v>48</v>
      </c>
      <c r="D1425" t="s">
        <v>49</v>
      </c>
      <c r="E1425">
        <v>1</v>
      </c>
    </row>
    <row r="1426" spans="1:5" x14ac:dyDescent="0.45">
      <c r="A1426" t="s">
        <v>55</v>
      </c>
      <c r="B1426" t="s">
        <v>47</v>
      </c>
      <c r="C1426" t="s">
        <v>48</v>
      </c>
      <c r="D1426" t="s">
        <v>49</v>
      </c>
      <c r="E1426">
        <v>1</v>
      </c>
    </row>
    <row r="1427" spans="1:5" x14ac:dyDescent="0.45">
      <c r="A1427" t="s">
        <v>55</v>
      </c>
      <c r="B1427" t="s">
        <v>47</v>
      </c>
      <c r="C1427" t="s">
        <v>48</v>
      </c>
      <c r="D1427" t="s">
        <v>49</v>
      </c>
      <c r="E1427">
        <v>1</v>
      </c>
    </row>
    <row r="1428" spans="1:5" x14ac:dyDescent="0.45">
      <c r="A1428" t="s">
        <v>55</v>
      </c>
      <c r="B1428" t="s">
        <v>47</v>
      </c>
      <c r="C1428" t="s">
        <v>48</v>
      </c>
      <c r="D1428" t="s">
        <v>49</v>
      </c>
      <c r="E1428">
        <v>1</v>
      </c>
    </row>
    <row r="1429" spans="1:5" x14ac:dyDescent="0.45">
      <c r="A1429" t="s">
        <v>55</v>
      </c>
      <c r="B1429" t="s">
        <v>47</v>
      </c>
      <c r="C1429" t="s">
        <v>48</v>
      </c>
      <c r="D1429" t="s">
        <v>49</v>
      </c>
      <c r="E1429">
        <v>1</v>
      </c>
    </row>
    <row r="1430" spans="1:5" x14ac:dyDescent="0.45">
      <c r="A1430" t="s">
        <v>55</v>
      </c>
      <c r="B1430" t="s">
        <v>47</v>
      </c>
      <c r="C1430" t="s">
        <v>48</v>
      </c>
      <c r="D1430" t="s">
        <v>49</v>
      </c>
      <c r="E1430">
        <v>1</v>
      </c>
    </row>
    <row r="1431" spans="1:5" x14ac:dyDescent="0.45">
      <c r="A1431" t="s">
        <v>55</v>
      </c>
      <c r="B1431" t="s">
        <v>47</v>
      </c>
      <c r="C1431" t="s">
        <v>48</v>
      </c>
      <c r="D1431" t="s">
        <v>49</v>
      </c>
      <c r="E1431">
        <v>1</v>
      </c>
    </row>
    <row r="1432" spans="1:5" x14ac:dyDescent="0.45">
      <c r="A1432" t="s">
        <v>55</v>
      </c>
      <c r="B1432" t="s">
        <v>47</v>
      </c>
      <c r="C1432" t="s">
        <v>48</v>
      </c>
      <c r="D1432" t="s">
        <v>49</v>
      </c>
      <c r="E1432">
        <v>1</v>
      </c>
    </row>
    <row r="1433" spans="1:5" x14ac:dyDescent="0.45">
      <c r="A1433" t="s">
        <v>55</v>
      </c>
      <c r="B1433" t="s">
        <v>47</v>
      </c>
      <c r="C1433" t="s">
        <v>48</v>
      </c>
      <c r="D1433" t="s">
        <v>49</v>
      </c>
      <c r="E1433">
        <v>1</v>
      </c>
    </row>
    <row r="1434" spans="1:5" x14ac:dyDescent="0.45">
      <c r="A1434" t="s">
        <v>55</v>
      </c>
      <c r="B1434" t="s">
        <v>47</v>
      </c>
      <c r="C1434" t="s">
        <v>48</v>
      </c>
      <c r="D1434" t="s">
        <v>49</v>
      </c>
      <c r="E1434">
        <v>1</v>
      </c>
    </row>
    <row r="1435" spans="1:5" x14ac:dyDescent="0.45">
      <c r="A1435" t="s">
        <v>55</v>
      </c>
      <c r="B1435" t="s">
        <v>47</v>
      </c>
      <c r="C1435" t="s">
        <v>48</v>
      </c>
      <c r="D1435" t="s">
        <v>49</v>
      </c>
      <c r="E1435">
        <v>1</v>
      </c>
    </row>
    <row r="1436" spans="1:5" x14ac:dyDescent="0.45">
      <c r="A1436" t="s">
        <v>55</v>
      </c>
      <c r="B1436" t="s">
        <v>47</v>
      </c>
      <c r="C1436" t="s">
        <v>48</v>
      </c>
      <c r="D1436" t="s">
        <v>49</v>
      </c>
      <c r="E1436">
        <v>1</v>
      </c>
    </row>
    <row r="1437" spans="1:5" x14ac:dyDescent="0.45">
      <c r="A1437" t="s">
        <v>55</v>
      </c>
      <c r="B1437" t="s">
        <v>47</v>
      </c>
      <c r="C1437" t="s">
        <v>48</v>
      </c>
      <c r="D1437" t="s">
        <v>49</v>
      </c>
      <c r="E1437">
        <v>1</v>
      </c>
    </row>
    <row r="1438" spans="1:5" x14ac:dyDescent="0.45">
      <c r="A1438" t="s">
        <v>55</v>
      </c>
      <c r="B1438" t="s">
        <v>47</v>
      </c>
      <c r="C1438" t="s">
        <v>48</v>
      </c>
      <c r="D1438" t="s">
        <v>49</v>
      </c>
      <c r="E1438">
        <v>1</v>
      </c>
    </row>
    <row r="1439" spans="1:5" x14ac:dyDescent="0.45">
      <c r="A1439" t="s">
        <v>55</v>
      </c>
      <c r="B1439" t="s">
        <v>47</v>
      </c>
      <c r="C1439" t="s">
        <v>48</v>
      </c>
      <c r="D1439" t="s">
        <v>49</v>
      </c>
      <c r="E1439">
        <v>1</v>
      </c>
    </row>
    <row r="1440" spans="1:5" x14ac:dyDescent="0.45">
      <c r="A1440" t="s">
        <v>55</v>
      </c>
      <c r="B1440" t="s">
        <v>47</v>
      </c>
      <c r="C1440" t="s">
        <v>48</v>
      </c>
      <c r="D1440" t="s">
        <v>49</v>
      </c>
      <c r="E1440">
        <v>1</v>
      </c>
    </row>
    <row r="1441" spans="1:5" x14ac:dyDescent="0.45">
      <c r="A1441" t="s">
        <v>55</v>
      </c>
      <c r="B1441" t="s">
        <v>47</v>
      </c>
      <c r="C1441" t="s">
        <v>48</v>
      </c>
      <c r="D1441" t="s">
        <v>49</v>
      </c>
      <c r="E1441">
        <v>1</v>
      </c>
    </row>
    <row r="1442" spans="1:5" x14ac:dyDescent="0.45">
      <c r="A1442" t="s">
        <v>55</v>
      </c>
      <c r="B1442" t="s">
        <v>47</v>
      </c>
      <c r="C1442" t="s">
        <v>48</v>
      </c>
      <c r="D1442" t="s">
        <v>49</v>
      </c>
      <c r="E1442">
        <v>1</v>
      </c>
    </row>
    <row r="1443" spans="1:5" x14ac:dyDescent="0.45">
      <c r="A1443" t="s">
        <v>55</v>
      </c>
      <c r="B1443" t="s">
        <v>47</v>
      </c>
      <c r="C1443" t="s">
        <v>48</v>
      </c>
      <c r="D1443" t="s">
        <v>49</v>
      </c>
      <c r="E1443">
        <v>1</v>
      </c>
    </row>
    <row r="1444" spans="1:5" x14ac:dyDescent="0.45">
      <c r="A1444" t="s">
        <v>55</v>
      </c>
      <c r="B1444" t="s">
        <v>47</v>
      </c>
      <c r="C1444" t="s">
        <v>48</v>
      </c>
      <c r="D1444" t="s">
        <v>49</v>
      </c>
      <c r="E1444">
        <v>1</v>
      </c>
    </row>
    <row r="1445" spans="1:5" x14ac:dyDescent="0.45">
      <c r="A1445" t="s">
        <v>55</v>
      </c>
      <c r="B1445" t="s">
        <v>47</v>
      </c>
      <c r="C1445" t="s">
        <v>48</v>
      </c>
      <c r="D1445" t="s">
        <v>49</v>
      </c>
      <c r="E1445">
        <v>1</v>
      </c>
    </row>
    <row r="1446" spans="1:5" x14ac:dyDescent="0.45">
      <c r="A1446" t="s">
        <v>55</v>
      </c>
      <c r="B1446" t="s">
        <v>47</v>
      </c>
      <c r="C1446" t="s">
        <v>48</v>
      </c>
      <c r="D1446" t="s">
        <v>49</v>
      </c>
      <c r="E1446">
        <v>1</v>
      </c>
    </row>
    <row r="1447" spans="1:5" x14ac:dyDescent="0.45">
      <c r="A1447" t="s">
        <v>55</v>
      </c>
      <c r="B1447" t="s">
        <v>47</v>
      </c>
      <c r="C1447" t="s">
        <v>48</v>
      </c>
      <c r="D1447" t="s">
        <v>49</v>
      </c>
      <c r="E1447">
        <v>1</v>
      </c>
    </row>
    <row r="1448" spans="1:5" x14ac:dyDescent="0.45">
      <c r="A1448" t="s">
        <v>55</v>
      </c>
      <c r="B1448" t="s">
        <v>47</v>
      </c>
      <c r="C1448" t="s">
        <v>48</v>
      </c>
      <c r="D1448" t="s">
        <v>49</v>
      </c>
      <c r="E1448">
        <v>1</v>
      </c>
    </row>
    <row r="1449" spans="1:5" x14ac:dyDescent="0.45">
      <c r="A1449" t="s">
        <v>55</v>
      </c>
      <c r="B1449" t="s">
        <v>47</v>
      </c>
      <c r="C1449" t="s">
        <v>48</v>
      </c>
      <c r="D1449" t="s">
        <v>49</v>
      </c>
      <c r="E1449">
        <v>1</v>
      </c>
    </row>
    <row r="1450" spans="1:5" x14ac:dyDescent="0.45">
      <c r="A1450" t="s">
        <v>55</v>
      </c>
      <c r="B1450" t="s">
        <v>47</v>
      </c>
      <c r="C1450" t="s">
        <v>48</v>
      </c>
      <c r="D1450" t="s">
        <v>49</v>
      </c>
      <c r="E1450">
        <v>1</v>
      </c>
    </row>
    <row r="1451" spans="1:5" x14ac:dyDescent="0.45">
      <c r="A1451" t="s">
        <v>55</v>
      </c>
      <c r="B1451" t="s">
        <v>47</v>
      </c>
      <c r="C1451" t="s">
        <v>48</v>
      </c>
      <c r="D1451" t="s">
        <v>49</v>
      </c>
      <c r="E1451">
        <v>1</v>
      </c>
    </row>
    <row r="1452" spans="1:5" x14ac:dyDescent="0.45">
      <c r="A1452" t="s">
        <v>55</v>
      </c>
      <c r="B1452" t="s">
        <v>47</v>
      </c>
      <c r="C1452" t="s">
        <v>48</v>
      </c>
      <c r="D1452" t="s">
        <v>49</v>
      </c>
      <c r="E1452">
        <v>1</v>
      </c>
    </row>
    <row r="1453" spans="1:5" x14ac:dyDescent="0.45">
      <c r="A1453" t="s">
        <v>55</v>
      </c>
      <c r="B1453" t="s">
        <v>47</v>
      </c>
      <c r="C1453" t="s">
        <v>48</v>
      </c>
      <c r="D1453" t="s">
        <v>49</v>
      </c>
      <c r="E1453">
        <v>1</v>
      </c>
    </row>
    <row r="1454" spans="1:5" x14ac:dyDescent="0.45">
      <c r="A1454" t="s">
        <v>55</v>
      </c>
      <c r="B1454" t="s">
        <v>47</v>
      </c>
      <c r="C1454" t="s">
        <v>48</v>
      </c>
      <c r="D1454" t="s">
        <v>49</v>
      </c>
      <c r="E1454">
        <v>1</v>
      </c>
    </row>
    <row r="1455" spans="1:5" x14ac:dyDescent="0.45">
      <c r="A1455" t="s">
        <v>55</v>
      </c>
      <c r="B1455" t="s">
        <v>47</v>
      </c>
      <c r="C1455" t="s">
        <v>48</v>
      </c>
      <c r="D1455" t="s">
        <v>49</v>
      </c>
      <c r="E1455">
        <v>1</v>
      </c>
    </row>
    <row r="1456" spans="1:5" x14ac:dyDescent="0.45">
      <c r="A1456" t="s">
        <v>55</v>
      </c>
      <c r="B1456" t="s">
        <v>47</v>
      </c>
      <c r="C1456" t="s">
        <v>48</v>
      </c>
      <c r="D1456" t="s">
        <v>49</v>
      </c>
      <c r="E1456">
        <v>1</v>
      </c>
    </row>
    <row r="1457" spans="1:5" x14ac:dyDescent="0.45">
      <c r="A1457" t="s">
        <v>55</v>
      </c>
      <c r="B1457" t="s">
        <v>47</v>
      </c>
      <c r="C1457" t="s">
        <v>48</v>
      </c>
      <c r="D1457" t="s">
        <v>49</v>
      </c>
      <c r="E1457">
        <v>1</v>
      </c>
    </row>
    <row r="1458" spans="1:5" x14ac:dyDescent="0.45">
      <c r="A1458" t="s">
        <v>55</v>
      </c>
      <c r="B1458" t="s">
        <v>47</v>
      </c>
      <c r="C1458" t="s">
        <v>48</v>
      </c>
      <c r="D1458" t="s">
        <v>49</v>
      </c>
      <c r="E1458">
        <v>1</v>
      </c>
    </row>
    <row r="1459" spans="1:5" x14ac:dyDescent="0.45">
      <c r="A1459" t="s">
        <v>55</v>
      </c>
      <c r="B1459" t="s">
        <v>47</v>
      </c>
      <c r="C1459" t="s">
        <v>48</v>
      </c>
      <c r="D1459" t="s">
        <v>49</v>
      </c>
      <c r="E1459">
        <v>1</v>
      </c>
    </row>
    <row r="1460" spans="1:5" x14ac:dyDescent="0.45">
      <c r="A1460" t="s">
        <v>55</v>
      </c>
      <c r="B1460" t="s">
        <v>47</v>
      </c>
      <c r="C1460" t="s">
        <v>48</v>
      </c>
      <c r="D1460" t="s">
        <v>49</v>
      </c>
      <c r="E1460">
        <v>1</v>
      </c>
    </row>
    <row r="1461" spans="1:5" x14ac:dyDescent="0.45">
      <c r="A1461" t="s">
        <v>55</v>
      </c>
      <c r="B1461" t="s">
        <v>47</v>
      </c>
      <c r="C1461" t="s">
        <v>48</v>
      </c>
      <c r="D1461" t="s">
        <v>49</v>
      </c>
      <c r="E1461">
        <v>1</v>
      </c>
    </row>
    <row r="1462" spans="1:5" x14ac:dyDescent="0.45">
      <c r="A1462" t="s">
        <v>55</v>
      </c>
      <c r="B1462" t="s">
        <v>47</v>
      </c>
      <c r="C1462" t="s">
        <v>48</v>
      </c>
      <c r="D1462" t="s">
        <v>49</v>
      </c>
      <c r="E1462">
        <v>1</v>
      </c>
    </row>
    <row r="1463" spans="1:5" x14ac:dyDescent="0.45">
      <c r="A1463" t="s">
        <v>55</v>
      </c>
      <c r="B1463" t="s">
        <v>47</v>
      </c>
      <c r="C1463" t="s">
        <v>48</v>
      </c>
      <c r="D1463" t="s">
        <v>49</v>
      </c>
      <c r="E1463">
        <v>1</v>
      </c>
    </row>
    <row r="1464" spans="1:5" x14ac:dyDescent="0.45">
      <c r="A1464" t="s">
        <v>55</v>
      </c>
      <c r="B1464" t="s">
        <v>47</v>
      </c>
      <c r="C1464" t="s">
        <v>48</v>
      </c>
      <c r="D1464" t="s">
        <v>49</v>
      </c>
      <c r="E1464">
        <v>1</v>
      </c>
    </row>
    <row r="1465" spans="1:5" x14ac:dyDescent="0.45">
      <c r="A1465" t="s">
        <v>55</v>
      </c>
      <c r="B1465" t="s">
        <v>47</v>
      </c>
      <c r="C1465" t="s">
        <v>48</v>
      </c>
      <c r="D1465" t="s">
        <v>49</v>
      </c>
      <c r="E1465">
        <v>1</v>
      </c>
    </row>
    <row r="1466" spans="1:5" x14ac:dyDescent="0.45">
      <c r="A1466" t="s">
        <v>55</v>
      </c>
      <c r="B1466" t="s">
        <v>47</v>
      </c>
      <c r="C1466" t="s">
        <v>48</v>
      </c>
      <c r="D1466" t="s">
        <v>49</v>
      </c>
      <c r="E1466">
        <v>1</v>
      </c>
    </row>
    <row r="1467" spans="1:5" x14ac:dyDescent="0.45">
      <c r="A1467" t="s">
        <v>55</v>
      </c>
      <c r="B1467" t="s">
        <v>47</v>
      </c>
      <c r="C1467" t="s">
        <v>48</v>
      </c>
      <c r="D1467" t="s">
        <v>49</v>
      </c>
      <c r="E1467">
        <v>1</v>
      </c>
    </row>
    <row r="1468" spans="1:5" x14ac:dyDescent="0.45">
      <c r="A1468" t="s">
        <v>55</v>
      </c>
      <c r="B1468" t="s">
        <v>47</v>
      </c>
      <c r="C1468" t="s">
        <v>48</v>
      </c>
      <c r="D1468" t="s">
        <v>49</v>
      </c>
      <c r="E1468">
        <v>1</v>
      </c>
    </row>
    <row r="1469" spans="1:5" x14ac:dyDescent="0.45">
      <c r="A1469" t="s">
        <v>55</v>
      </c>
      <c r="B1469" t="s">
        <v>47</v>
      </c>
      <c r="C1469" t="s">
        <v>48</v>
      </c>
      <c r="D1469" t="s">
        <v>49</v>
      </c>
      <c r="E1469">
        <v>1</v>
      </c>
    </row>
    <row r="1470" spans="1:5" x14ac:dyDescent="0.45">
      <c r="A1470" t="s">
        <v>55</v>
      </c>
      <c r="B1470" t="s">
        <v>47</v>
      </c>
      <c r="C1470" t="s">
        <v>48</v>
      </c>
      <c r="D1470" t="s">
        <v>49</v>
      </c>
      <c r="E1470">
        <v>1</v>
      </c>
    </row>
    <row r="1471" spans="1:5" x14ac:dyDescent="0.45">
      <c r="A1471" t="s">
        <v>55</v>
      </c>
      <c r="B1471" t="s">
        <v>47</v>
      </c>
      <c r="C1471" t="s">
        <v>48</v>
      </c>
      <c r="D1471" t="s">
        <v>49</v>
      </c>
      <c r="E1471">
        <v>1</v>
      </c>
    </row>
    <row r="1472" spans="1:5" x14ac:dyDescent="0.45">
      <c r="A1472" t="s">
        <v>55</v>
      </c>
      <c r="B1472" t="s">
        <v>47</v>
      </c>
      <c r="C1472" t="s">
        <v>48</v>
      </c>
      <c r="D1472" t="s">
        <v>49</v>
      </c>
      <c r="E1472">
        <v>1</v>
      </c>
    </row>
    <row r="1473" spans="1:5" x14ac:dyDescent="0.45">
      <c r="A1473" t="s">
        <v>55</v>
      </c>
      <c r="B1473" t="s">
        <v>47</v>
      </c>
      <c r="C1473" t="s">
        <v>48</v>
      </c>
      <c r="D1473" t="s">
        <v>49</v>
      </c>
      <c r="E1473">
        <v>1</v>
      </c>
    </row>
    <row r="1474" spans="1:5" x14ac:dyDescent="0.45">
      <c r="A1474" t="s">
        <v>55</v>
      </c>
      <c r="B1474" t="s">
        <v>47</v>
      </c>
      <c r="C1474" t="s">
        <v>48</v>
      </c>
      <c r="D1474" t="s">
        <v>49</v>
      </c>
      <c r="E1474">
        <v>1</v>
      </c>
    </row>
    <row r="1475" spans="1:5" x14ac:dyDescent="0.45">
      <c r="A1475" t="s">
        <v>55</v>
      </c>
      <c r="B1475" t="s">
        <v>47</v>
      </c>
      <c r="C1475" t="s">
        <v>48</v>
      </c>
      <c r="D1475" t="s">
        <v>49</v>
      </c>
      <c r="E1475">
        <v>1</v>
      </c>
    </row>
    <row r="1476" spans="1:5" x14ac:dyDescent="0.45">
      <c r="A1476" t="s">
        <v>55</v>
      </c>
      <c r="B1476" t="s">
        <v>47</v>
      </c>
      <c r="C1476" t="s">
        <v>48</v>
      </c>
      <c r="D1476" t="s">
        <v>49</v>
      </c>
      <c r="E1476">
        <v>1</v>
      </c>
    </row>
    <row r="1477" spans="1:5" x14ac:dyDescent="0.45">
      <c r="A1477" t="s">
        <v>55</v>
      </c>
      <c r="B1477" t="s">
        <v>47</v>
      </c>
      <c r="C1477" t="s">
        <v>48</v>
      </c>
      <c r="D1477" t="s">
        <v>49</v>
      </c>
      <c r="E1477">
        <v>1</v>
      </c>
    </row>
    <row r="1478" spans="1:5" x14ac:dyDescent="0.45">
      <c r="A1478" t="s">
        <v>55</v>
      </c>
      <c r="B1478" t="s">
        <v>47</v>
      </c>
      <c r="C1478" t="s">
        <v>48</v>
      </c>
      <c r="D1478" t="s">
        <v>49</v>
      </c>
      <c r="E1478">
        <v>1</v>
      </c>
    </row>
    <row r="1479" spans="1:5" x14ac:dyDescent="0.45">
      <c r="A1479" t="s">
        <v>55</v>
      </c>
      <c r="B1479" t="s">
        <v>47</v>
      </c>
      <c r="C1479" t="s">
        <v>48</v>
      </c>
      <c r="D1479" t="s">
        <v>49</v>
      </c>
      <c r="E1479">
        <v>1</v>
      </c>
    </row>
    <row r="1480" spans="1:5" x14ac:dyDescent="0.45">
      <c r="A1480" t="s">
        <v>55</v>
      </c>
      <c r="B1480" t="s">
        <v>47</v>
      </c>
      <c r="C1480" t="s">
        <v>48</v>
      </c>
      <c r="D1480" t="s">
        <v>49</v>
      </c>
      <c r="E1480">
        <v>1</v>
      </c>
    </row>
    <row r="1481" spans="1:5" x14ac:dyDescent="0.45">
      <c r="A1481" t="s">
        <v>55</v>
      </c>
      <c r="B1481" t="s">
        <v>47</v>
      </c>
      <c r="C1481" t="s">
        <v>48</v>
      </c>
      <c r="D1481" t="s">
        <v>49</v>
      </c>
      <c r="E1481">
        <v>1</v>
      </c>
    </row>
    <row r="1482" spans="1:5" x14ac:dyDescent="0.45">
      <c r="A1482" t="s">
        <v>55</v>
      </c>
      <c r="B1482" t="s">
        <v>47</v>
      </c>
      <c r="C1482" t="s">
        <v>48</v>
      </c>
      <c r="D1482" t="s">
        <v>49</v>
      </c>
      <c r="E1482">
        <v>1</v>
      </c>
    </row>
    <row r="1483" spans="1:5" x14ac:dyDescent="0.45">
      <c r="A1483" t="s">
        <v>55</v>
      </c>
      <c r="B1483" t="s">
        <v>47</v>
      </c>
      <c r="C1483" t="s">
        <v>48</v>
      </c>
      <c r="D1483" t="s">
        <v>49</v>
      </c>
      <c r="E1483">
        <v>1</v>
      </c>
    </row>
    <row r="1484" spans="1:5" x14ac:dyDescent="0.45">
      <c r="A1484" t="s">
        <v>55</v>
      </c>
      <c r="B1484" t="s">
        <v>47</v>
      </c>
      <c r="C1484" t="s">
        <v>48</v>
      </c>
      <c r="D1484" t="s">
        <v>49</v>
      </c>
      <c r="E1484">
        <v>1</v>
      </c>
    </row>
    <row r="1485" spans="1:5" x14ac:dyDescent="0.45">
      <c r="A1485" t="s">
        <v>55</v>
      </c>
      <c r="B1485" t="s">
        <v>47</v>
      </c>
      <c r="C1485" t="s">
        <v>48</v>
      </c>
      <c r="D1485" t="s">
        <v>49</v>
      </c>
      <c r="E1485">
        <v>1</v>
      </c>
    </row>
    <row r="1486" spans="1:5" x14ac:dyDescent="0.45">
      <c r="A1486" t="s">
        <v>55</v>
      </c>
      <c r="B1486" t="s">
        <v>47</v>
      </c>
      <c r="C1486" t="s">
        <v>48</v>
      </c>
      <c r="D1486" t="s">
        <v>49</v>
      </c>
      <c r="E1486">
        <v>1</v>
      </c>
    </row>
    <row r="1487" spans="1:5" x14ac:dyDescent="0.45">
      <c r="A1487" t="s">
        <v>55</v>
      </c>
      <c r="B1487" t="s">
        <v>47</v>
      </c>
      <c r="C1487" t="s">
        <v>48</v>
      </c>
      <c r="D1487" t="s">
        <v>49</v>
      </c>
      <c r="E1487">
        <v>1</v>
      </c>
    </row>
    <row r="1488" spans="1:5" x14ac:dyDescent="0.45">
      <c r="A1488" t="s">
        <v>55</v>
      </c>
      <c r="B1488" t="s">
        <v>47</v>
      </c>
      <c r="C1488" t="s">
        <v>48</v>
      </c>
      <c r="D1488" t="s">
        <v>49</v>
      </c>
      <c r="E1488">
        <v>1</v>
      </c>
    </row>
    <row r="1489" spans="1:5" x14ac:dyDescent="0.45">
      <c r="A1489" t="s">
        <v>55</v>
      </c>
      <c r="B1489" t="s">
        <v>47</v>
      </c>
      <c r="C1489" t="s">
        <v>48</v>
      </c>
      <c r="D1489" t="s">
        <v>49</v>
      </c>
      <c r="E1489">
        <v>1</v>
      </c>
    </row>
    <row r="1490" spans="1:5" x14ac:dyDescent="0.45">
      <c r="A1490" t="s">
        <v>55</v>
      </c>
      <c r="B1490" t="s">
        <v>47</v>
      </c>
      <c r="C1490" t="s">
        <v>48</v>
      </c>
      <c r="D1490" t="s">
        <v>49</v>
      </c>
      <c r="E1490">
        <v>1</v>
      </c>
    </row>
    <row r="1491" spans="1:5" x14ac:dyDescent="0.45">
      <c r="A1491" t="s">
        <v>55</v>
      </c>
      <c r="B1491" t="s">
        <v>47</v>
      </c>
      <c r="C1491" t="s">
        <v>48</v>
      </c>
      <c r="D1491" t="s">
        <v>49</v>
      </c>
      <c r="E1491">
        <v>1</v>
      </c>
    </row>
    <row r="1492" spans="1:5" x14ac:dyDescent="0.45">
      <c r="A1492" t="s">
        <v>55</v>
      </c>
      <c r="B1492" t="s">
        <v>47</v>
      </c>
      <c r="C1492" t="s">
        <v>48</v>
      </c>
      <c r="D1492" t="s">
        <v>49</v>
      </c>
      <c r="E1492">
        <v>1</v>
      </c>
    </row>
    <row r="1493" spans="1:5" x14ac:dyDescent="0.45">
      <c r="A1493" t="s">
        <v>55</v>
      </c>
      <c r="B1493" t="s">
        <v>47</v>
      </c>
      <c r="C1493" t="s">
        <v>48</v>
      </c>
      <c r="D1493" t="s">
        <v>49</v>
      </c>
      <c r="E1493">
        <v>1</v>
      </c>
    </row>
    <row r="1494" spans="1:5" x14ac:dyDescent="0.45">
      <c r="A1494" t="s">
        <v>55</v>
      </c>
      <c r="B1494" t="s">
        <v>47</v>
      </c>
      <c r="C1494" t="s">
        <v>48</v>
      </c>
      <c r="D1494" t="s">
        <v>49</v>
      </c>
      <c r="E1494">
        <v>1</v>
      </c>
    </row>
    <row r="1495" spans="1:5" x14ac:dyDescent="0.45">
      <c r="A1495" t="s">
        <v>55</v>
      </c>
      <c r="B1495" t="s">
        <v>47</v>
      </c>
      <c r="C1495" t="s">
        <v>48</v>
      </c>
      <c r="D1495" t="s">
        <v>49</v>
      </c>
      <c r="E1495">
        <v>1</v>
      </c>
    </row>
    <row r="1496" spans="1:5" x14ac:dyDescent="0.45">
      <c r="A1496" t="s">
        <v>55</v>
      </c>
      <c r="B1496" t="s">
        <v>47</v>
      </c>
      <c r="C1496" t="s">
        <v>48</v>
      </c>
      <c r="D1496" t="s">
        <v>49</v>
      </c>
      <c r="E1496">
        <v>1</v>
      </c>
    </row>
    <row r="1497" spans="1:5" x14ac:dyDescent="0.45">
      <c r="A1497" t="s">
        <v>55</v>
      </c>
      <c r="B1497" t="s">
        <v>47</v>
      </c>
      <c r="C1497" t="s">
        <v>48</v>
      </c>
      <c r="D1497" t="s">
        <v>49</v>
      </c>
      <c r="E1497">
        <v>1</v>
      </c>
    </row>
    <row r="1498" spans="1:5" x14ac:dyDescent="0.45">
      <c r="A1498" t="s">
        <v>55</v>
      </c>
      <c r="B1498" t="s">
        <v>47</v>
      </c>
      <c r="C1498" t="s">
        <v>48</v>
      </c>
      <c r="D1498" t="s">
        <v>49</v>
      </c>
      <c r="E1498">
        <v>1</v>
      </c>
    </row>
    <row r="1499" spans="1:5" x14ac:dyDescent="0.45">
      <c r="A1499" t="s">
        <v>55</v>
      </c>
      <c r="B1499" t="s">
        <v>47</v>
      </c>
      <c r="C1499" t="s">
        <v>48</v>
      </c>
      <c r="D1499" t="s">
        <v>49</v>
      </c>
      <c r="E1499">
        <v>1</v>
      </c>
    </row>
    <row r="1500" spans="1:5" x14ac:dyDescent="0.45">
      <c r="A1500" t="s">
        <v>55</v>
      </c>
      <c r="B1500" t="s">
        <v>47</v>
      </c>
      <c r="C1500" t="s">
        <v>48</v>
      </c>
      <c r="D1500" t="s">
        <v>49</v>
      </c>
      <c r="E1500">
        <v>1</v>
      </c>
    </row>
    <row r="1501" spans="1:5" x14ac:dyDescent="0.45">
      <c r="A1501" t="s">
        <v>55</v>
      </c>
      <c r="B1501" t="s">
        <v>47</v>
      </c>
      <c r="C1501" t="s">
        <v>48</v>
      </c>
      <c r="D1501" t="s">
        <v>49</v>
      </c>
      <c r="E1501">
        <v>1</v>
      </c>
    </row>
    <row r="1502" spans="1:5" x14ac:dyDescent="0.45">
      <c r="A1502" t="s">
        <v>55</v>
      </c>
      <c r="B1502" t="s">
        <v>47</v>
      </c>
      <c r="C1502" t="s">
        <v>48</v>
      </c>
      <c r="D1502" t="s">
        <v>49</v>
      </c>
      <c r="E1502">
        <v>1</v>
      </c>
    </row>
    <row r="1503" spans="1:5" x14ac:dyDescent="0.45">
      <c r="A1503" t="s">
        <v>55</v>
      </c>
      <c r="B1503" t="s">
        <v>47</v>
      </c>
      <c r="C1503" t="s">
        <v>48</v>
      </c>
      <c r="D1503" t="s">
        <v>49</v>
      </c>
      <c r="E1503">
        <v>1</v>
      </c>
    </row>
    <row r="1504" spans="1:5" x14ac:dyDescent="0.45">
      <c r="A1504" t="s">
        <v>55</v>
      </c>
      <c r="B1504" t="s">
        <v>47</v>
      </c>
      <c r="C1504" t="s">
        <v>48</v>
      </c>
      <c r="D1504" t="s">
        <v>49</v>
      </c>
      <c r="E1504">
        <v>1</v>
      </c>
    </row>
    <row r="1505" spans="1:5" x14ac:dyDescent="0.45">
      <c r="A1505" t="s">
        <v>55</v>
      </c>
      <c r="B1505" t="s">
        <v>47</v>
      </c>
      <c r="C1505" t="s">
        <v>48</v>
      </c>
      <c r="D1505" t="s">
        <v>49</v>
      </c>
      <c r="E1505">
        <v>1</v>
      </c>
    </row>
    <row r="1506" spans="1:5" x14ac:dyDescent="0.45">
      <c r="A1506" t="s">
        <v>55</v>
      </c>
      <c r="B1506" t="s">
        <v>47</v>
      </c>
      <c r="C1506" t="s">
        <v>48</v>
      </c>
      <c r="D1506" t="s">
        <v>49</v>
      </c>
      <c r="E1506">
        <v>1</v>
      </c>
    </row>
    <row r="1507" spans="1:5" x14ac:dyDescent="0.45">
      <c r="A1507" t="s">
        <v>55</v>
      </c>
      <c r="B1507" t="s">
        <v>47</v>
      </c>
      <c r="C1507" t="s">
        <v>48</v>
      </c>
      <c r="D1507" t="s">
        <v>49</v>
      </c>
      <c r="E1507">
        <v>1</v>
      </c>
    </row>
    <row r="1508" spans="1:5" x14ac:dyDescent="0.45">
      <c r="A1508" t="s">
        <v>55</v>
      </c>
      <c r="B1508" t="s">
        <v>47</v>
      </c>
      <c r="C1508" t="s">
        <v>48</v>
      </c>
      <c r="D1508" t="s">
        <v>49</v>
      </c>
      <c r="E1508">
        <v>1</v>
      </c>
    </row>
    <row r="1509" spans="1:5" x14ac:dyDescent="0.45">
      <c r="A1509" t="s">
        <v>55</v>
      </c>
      <c r="B1509" t="s">
        <v>47</v>
      </c>
      <c r="C1509" t="s">
        <v>48</v>
      </c>
      <c r="D1509" t="s">
        <v>49</v>
      </c>
      <c r="E1509">
        <v>1</v>
      </c>
    </row>
    <row r="1510" spans="1:5" x14ac:dyDescent="0.45">
      <c r="A1510" t="s">
        <v>55</v>
      </c>
      <c r="B1510" t="s">
        <v>47</v>
      </c>
      <c r="C1510" t="s">
        <v>48</v>
      </c>
      <c r="D1510" t="s">
        <v>50</v>
      </c>
      <c r="E1510">
        <v>0</v>
      </c>
    </row>
    <row r="1511" spans="1:5" x14ac:dyDescent="0.45">
      <c r="A1511" t="s">
        <v>55</v>
      </c>
      <c r="B1511" t="s">
        <v>47</v>
      </c>
      <c r="C1511" t="s">
        <v>48</v>
      </c>
      <c r="D1511" t="s">
        <v>50</v>
      </c>
      <c r="E1511">
        <v>0</v>
      </c>
    </row>
    <row r="1512" spans="1:5" x14ac:dyDescent="0.45">
      <c r="A1512" t="s">
        <v>55</v>
      </c>
      <c r="B1512" t="s">
        <v>47</v>
      </c>
      <c r="C1512" t="s">
        <v>48</v>
      </c>
      <c r="D1512" t="s">
        <v>50</v>
      </c>
      <c r="E1512">
        <v>0</v>
      </c>
    </row>
    <row r="1513" spans="1:5" x14ac:dyDescent="0.45">
      <c r="A1513" t="s">
        <v>55</v>
      </c>
      <c r="B1513" t="s">
        <v>47</v>
      </c>
      <c r="C1513" t="s">
        <v>48</v>
      </c>
      <c r="D1513" t="s">
        <v>50</v>
      </c>
      <c r="E1513">
        <v>0</v>
      </c>
    </row>
    <row r="1514" spans="1:5" x14ac:dyDescent="0.45">
      <c r="A1514" t="s">
        <v>55</v>
      </c>
      <c r="B1514" t="s">
        <v>47</v>
      </c>
      <c r="C1514" t="s">
        <v>48</v>
      </c>
      <c r="D1514" t="s">
        <v>50</v>
      </c>
      <c r="E1514">
        <v>0</v>
      </c>
    </row>
    <row r="1515" spans="1:5" x14ac:dyDescent="0.45">
      <c r="A1515" t="s">
        <v>55</v>
      </c>
      <c r="B1515" t="s">
        <v>47</v>
      </c>
      <c r="C1515" t="s">
        <v>48</v>
      </c>
      <c r="D1515" t="s">
        <v>50</v>
      </c>
      <c r="E1515">
        <v>0</v>
      </c>
    </row>
    <row r="1516" spans="1:5" x14ac:dyDescent="0.45">
      <c r="A1516" t="s">
        <v>55</v>
      </c>
      <c r="B1516" t="s">
        <v>47</v>
      </c>
      <c r="C1516" t="s">
        <v>48</v>
      </c>
      <c r="D1516" t="s">
        <v>50</v>
      </c>
      <c r="E1516">
        <v>0</v>
      </c>
    </row>
    <row r="1517" spans="1:5" x14ac:dyDescent="0.45">
      <c r="A1517" t="s">
        <v>55</v>
      </c>
      <c r="B1517" t="s">
        <v>47</v>
      </c>
      <c r="C1517" t="s">
        <v>48</v>
      </c>
      <c r="D1517" t="s">
        <v>50</v>
      </c>
      <c r="E1517">
        <v>0</v>
      </c>
    </row>
    <row r="1518" spans="1:5" x14ac:dyDescent="0.45">
      <c r="A1518" t="s">
        <v>55</v>
      </c>
      <c r="B1518" t="s">
        <v>47</v>
      </c>
      <c r="C1518" t="s">
        <v>48</v>
      </c>
      <c r="D1518" t="s">
        <v>50</v>
      </c>
      <c r="E1518">
        <v>0</v>
      </c>
    </row>
    <row r="1519" spans="1:5" x14ac:dyDescent="0.45">
      <c r="A1519" t="s">
        <v>55</v>
      </c>
      <c r="B1519" t="s">
        <v>47</v>
      </c>
      <c r="C1519" t="s">
        <v>48</v>
      </c>
      <c r="D1519" t="s">
        <v>50</v>
      </c>
      <c r="E1519">
        <v>0</v>
      </c>
    </row>
    <row r="1520" spans="1:5" x14ac:dyDescent="0.45">
      <c r="A1520" t="s">
        <v>55</v>
      </c>
      <c r="B1520" t="s">
        <v>47</v>
      </c>
      <c r="C1520" t="s">
        <v>48</v>
      </c>
      <c r="D1520" t="s">
        <v>50</v>
      </c>
      <c r="E1520">
        <v>0</v>
      </c>
    </row>
    <row r="1521" spans="1:5" x14ac:dyDescent="0.45">
      <c r="A1521" t="s">
        <v>55</v>
      </c>
      <c r="B1521" t="s">
        <v>47</v>
      </c>
      <c r="C1521" t="s">
        <v>48</v>
      </c>
      <c r="D1521" t="s">
        <v>50</v>
      </c>
      <c r="E1521">
        <v>0</v>
      </c>
    </row>
    <row r="1522" spans="1:5" x14ac:dyDescent="0.45">
      <c r="A1522" t="s">
        <v>55</v>
      </c>
      <c r="B1522" t="s">
        <v>47</v>
      </c>
      <c r="C1522" t="s">
        <v>48</v>
      </c>
      <c r="D1522" t="s">
        <v>50</v>
      </c>
      <c r="E1522">
        <v>0</v>
      </c>
    </row>
    <row r="1523" spans="1:5" x14ac:dyDescent="0.45">
      <c r="A1523" t="s">
        <v>55</v>
      </c>
      <c r="B1523" t="s">
        <v>47</v>
      </c>
      <c r="C1523" t="s">
        <v>48</v>
      </c>
      <c r="D1523" t="s">
        <v>50</v>
      </c>
      <c r="E1523">
        <v>0</v>
      </c>
    </row>
    <row r="1524" spans="1:5" x14ac:dyDescent="0.45">
      <c r="A1524" t="s">
        <v>55</v>
      </c>
      <c r="B1524" t="s">
        <v>47</v>
      </c>
      <c r="C1524" t="s">
        <v>48</v>
      </c>
      <c r="D1524" t="s">
        <v>50</v>
      </c>
      <c r="E1524">
        <v>0</v>
      </c>
    </row>
    <row r="1525" spans="1:5" x14ac:dyDescent="0.45">
      <c r="A1525" t="s">
        <v>55</v>
      </c>
      <c r="B1525" t="s">
        <v>47</v>
      </c>
      <c r="C1525" t="s">
        <v>48</v>
      </c>
      <c r="D1525" t="s">
        <v>50</v>
      </c>
      <c r="E1525">
        <v>0</v>
      </c>
    </row>
    <row r="1526" spans="1:5" x14ac:dyDescent="0.45">
      <c r="A1526" t="s">
        <v>55</v>
      </c>
      <c r="B1526" t="s">
        <v>47</v>
      </c>
      <c r="C1526" t="s">
        <v>48</v>
      </c>
      <c r="D1526" t="s">
        <v>50</v>
      </c>
      <c r="E1526">
        <v>0</v>
      </c>
    </row>
    <row r="1527" spans="1:5" x14ac:dyDescent="0.45">
      <c r="A1527" t="s">
        <v>55</v>
      </c>
      <c r="B1527" t="s">
        <v>47</v>
      </c>
      <c r="C1527" t="s">
        <v>48</v>
      </c>
      <c r="D1527" t="s">
        <v>50</v>
      </c>
      <c r="E1527">
        <v>0</v>
      </c>
    </row>
    <row r="1528" spans="1:5" x14ac:dyDescent="0.45">
      <c r="A1528" t="s">
        <v>55</v>
      </c>
      <c r="B1528" t="s">
        <v>47</v>
      </c>
      <c r="C1528" t="s">
        <v>48</v>
      </c>
      <c r="D1528" t="s">
        <v>50</v>
      </c>
      <c r="E1528">
        <v>0</v>
      </c>
    </row>
    <row r="1529" spans="1:5" x14ac:dyDescent="0.45">
      <c r="A1529" t="s">
        <v>55</v>
      </c>
      <c r="B1529" t="s">
        <v>47</v>
      </c>
      <c r="C1529" t="s">
        <v>48</v>
      </c>
      <c r="D1529" t="s">
        <v>50</v>
      </c>
      <c r="E1529">
        <v>0</v>
      </c>
    </row>
    <row r="1530" spans="1:5" x14ac:dyDescent="0.45">
      <c r="A1530" t="s">
        <v>55</v>
      </c>
      <c r="B1530" t="s">
        <v>47</v>
      </c>
      <c r="C1530" t="s">
        <v>48</v>
      </c>
      <c r="D1530" t="s">
        <v>50</v>
      </c>
      <c r="E1530">
        <v>0</v>
      </c>
    </row>
    <row r="1531" spans="1:5" x14ac:dyDescent="0.45">
      <c r="A1531" t="s">
        <v>55</v>
      </c>
      <c r="B1531" t="s">
        <v>47</v>
      </c>
      <c r="C1531" t="s">
        <v>48</v>
      </c>
      <c r="D1531" t="s">
        <v>50</v>
      </c>
      <c r="E1531">
        <v>0</v>
      </c>
    </row>
    <row r="1532" spans="1:5" x14ac:dyDescent="0.45">
      <c r="A1532" t="s">
        <v>55</v>
      </c>
      <c r="B1532" t="s">
        <v>47</v>
      </c>
      <c r="C1532" t="s">
        <v>48</v>
      </c>
      <c r="D1532" t="s">
        <v>50</v>
      </c>
      <c r="E1532">
        <v>0</v>
      </c>
    </row>
    <row r="1533" spans="1:5" x14ac:dyDescent="0.45">
      <c r="A1533" t="s">
        <v>55</v>
      </c>
      <c r="B1533" t="s">
        <v>47</v>
      </c>
      <c r="C1533" t="s">
        <v>48</v>
      </c>
      <c r="D1533" t="s">
        <v>50</v>
      </c>
      <c r="E1533">
        <v>0</v>
      </c>
    </row>
    <row r="1534" spans="1:5" x14ac:dyDescent="0.45">
      <c r="A1534" t="s">
        <v>55</v>
      </c>
      <c r="B1534" t="s">
        <v>47</v>
      </c>
      <c r="C1534" t="s">
        <v>48</v>
      </c>
      <c r="D1534" t="s">
        <v>50</v>
      </c>
      <c r="E1534">
        <v>0</v>
      </c>
    </row>
    <row r="1535" spans="1:5" x14ac:dyDescent="0.45">
      <c r="A1535" t="s">
        <v>55</v>
      </c>
      <c r="B1535" t="s">
        <v>47</v>
      </c>
      <c r="C1535" t="s">
        <v>48</v>
      </c>
      <c r="D1535" t="s">
        <v>50</v>
      </c>
      <c r="E1535">
        <v>0</v>
      </c>
    </row>
    <row r="1536" spans="1:5" x14ac:dyDescent="0.45">
      <c r="A1536" t="s">
        <v>55</v>
      </c>
      <c r="B1536" t="s">
        <v>47</v>
      </c>
      <c r="C1536" t="s">
        <v>48</v>
      </c>
      <c r="D1536" t="s">
        <v>50</v>
      </c>
      <c r="E1536">
        <v>0</v>
      </c>
    </row>
    <row r="1537" spans="1:5" x14ac:dyDescent="0.45">
      <c r="A1537" t="s">
        <v>55</v>
      </c>
      <c r="B1537" t="s">
        <v>47</v>
      </c>
      <c r="C1537" t="s">
        <v>48</v>
      </c>
      <c r="D1537" t="s">
        <v>50</v>
      </c>
      <c r="E1537">
        <v>0</v>
      </c>
    </row>
    <row r="1538" spans="1:5" x14ac:dyDescent="0.45">
      <c r="A1538" t="s">
        <v>55</v>
      </c>
      <c r="B1538" t="s">
        <v>47</v>
      </c>
      <c r="C1538" t="s">
        <v>48</v>
      </c>
      <c r="D1538" t="s">
        <v>50</v>
      </c>
      <c r="E1538">
        <v>0</v>
      </c>
    </row>
    <row r="1539" spans="1:5" x14ac:dyDescent="0.45">
      <c r="A1539" t="s">
        <v>55</v>
      </c>
      <c r="B1539" t="s">
        <v>47</v>
      </c>
      <c r="C1539" t="s">
        <v>48</v>
      </c>
      <c r="D1539" t="s">
        <v>50</v>
      </c>
      <c r="E1539">
        <v>0</v>
      </c>
    </row>
    <row r="1540" spans="1:5" x14ac:dyDescent="0.45">
      <c r="A1540" t="s">
        <v>55</v>
      </c>
      <c r="B1540" t="s">
        <v>47</v>
      </c>
      <c r="C1540" t="s">
        <v>48</v>
      </c>
      <c r="D1540" t="s">
        <v>50</v>
      </c>
      <c r="E1540">
        <v>0</v>
      </c>
    </row>
    <row r="1541" spans="1:5" x14ac:dyDescent="0.45">
      <c r="A1541" t="s">
        <v>55</v>
      </c>
      <c r="B1541" t="s">
        <v>47</v>
      </c>
      <c r="C1541" t="s">
        <v>48</v>
      </c>
      <c r="D1541" t="s">
        <v>50</v>
      </c>
      <c r="E1541">
        <v>0</v>
      </c>
    </row>
    <row r="1542" spans="1:5" x14ac:dyDescent="0.45">
      <c r="A1542" t="s">
        <v>55</v>
      </c>
      <c r="B1542" t="s">
        <v>47</v>
      </c>
      <c r="C1542" t="s">
        <v>48</v>
      </c>
      <c r="D1542" t="s">
        <v>50</v>
      </c>
      <c r="E1542">
        <v>0</v>
      </c>
    </row>
    <row r="1543" spans="1:5" x14ac:dyDescent="0.45">
      <c r="A1543" t="s">
        <v>55</v>
      </c>
      <c r="B1543" t="s">
        <v>47</v>
      </c>
      <c r="C1543" t="s">
        <v>48</v>
      </c>
      <c r="D1543" t="s">
        <v>50</v>
      </c>
      <c r="E1543">
        <v>0</v>
      </c>
    </row>
    <row r="1544" spans="1:5" x14ac:dyDescent="0.45">
      <c r="A1544" t="s">
        <v>55</v>
      </c>
      <c r="B1544" t="s">
        <v>47</v>
      </c>
      <c r="C1544" t="s">
        <v>48</v>
      </c>
      <c r="D1544" t="s">
        <v>50</v>
      </c>
      <c r="E1544">
        <v>0</v>
      </c>
    </row>
    <row r="1545" spans="1:5" x14ac:dyDescent="0.45">
      <c r="A1545" t="s">
        <v>55</v>
      </c>
      <c r="B1545" t="s">
        <v>47</v>
      </c>
      <c r="C1545" t="s">
        <v>48</v>
      </c>
      <c r="D1545" t="s">
        <v>50</v>
      </c>
      <c r="E1545">
        <v>0</v>
      </c>
    </row>
    <row r="1546" spans="1:5" x14ac:dyDescent="0.45">
      <c r="A1546" t="s">
        <v>55</v>
      </c>
      <c r="B1546" t="s">
        <v>47</v>
      </c>
      <c r="C1546" t="s">
        <v>48</v>
      </c>
      <c r="D1546" t="s">
        <v>50</v>
      </c>
      <c r="E1546">
        <v>0</v>
      </c>
    </row>
    <row r="1547" spans="1:5" x14ac:dyDescent="0.45">
      <c r="A1547" t="s">
        <v>55</v>
      </c>
      <c r="B1547" t="s">
        <v>47</v>
      </c>
      <c r="C1547" t="s">
        <v>48</v>
      </c>
      <c r="D1547" t="s">
        <v>50</v>
      </c>
      <c r="E1547">
        <v>0</v>
      </c>
    </row>
    <row r="1548" spans="1:5" x14ac:dyDescent="0.45">
      <c r="A1548" t="s">
        <v>55</v>
      </c>
      <c r="B1548" t="s">
        <v>47</v>
      </c>
      <c r="C1548" t="s">
        <v>48</v>
      </c>
      <c r="D1548" t="s">
        <v>50</v>
      </c>
      <c r="E1548">
        <v>0</v>
      </c>
    </row>
    <row r="1549" spans="1:5" x14ac:dyDescent="0.45">
      <c r="A1549" t="s">
        <v>55</v>
      </c>
      <c r="B1549" t="s">
        <v>47</v>
      </c>
      <c r="C1549" t="s">
        <v>48</v>
      </c>
      <c r="D1549" t="s">
        <v>50</v>
      </c>
      <c r="E1549">
        <v>0</v>
      </c>
    </row>
    <row r="1550" spans="1:5" x14ac:dyDescent="0.45">
      <c r="A1550" t="s">
        <v>55</v>
      </c>
      <c r="B1550" t="s">
        <v>47</v>
      </c>
      <c r="C1550" t="s">
        <v>48</v>
      </c>
      <c r="D1550" t="s">
        <v>50</v>
      </c>
      <c r="E1550">
        <v>0</v>
      </c>
    </row>
    <row r="1551" spans="1:5" x14ac:dyDescent="0.45">
      <c r="A1551" t="s">
        <v>55</v>
      </c>
      <c r="B1551" t="s">
        <v>47</v>
      </c>
      <c r="C1551" t="s">
        <v>48</v>
      </c>
      <c r="D1551" t="s">
        <v>50</v>
      </c>
      <c r="E1551">
        <v>0</v>
      </c>
    </row>
    <row r="1552" spans="1:5" x14ac:dyDescent="0.45">
      <c r="A1552" t="s">
        <v>55</v>
      </c>
      <c r="B1552" t="s">
        <v>47</v>
      </c>
      <c r="C1552" t="s">
        <v>48</v>
      </c>
      <c r="D1552" t="s">
        <v>50</v>
      </c>
      <c r="E1552">
        <v>0</v>
      </c>
    </row>
    <row r="1553" spans="1:5" x14ac:dyDescent="0.45">
      <c r="A1553" t="s">
        <v>55</v>
      </c>
      <c r="B1553" t="s">
        <v>47</v>
      </c>
      <c r="C1553" t="s">
        <v>48</v>
      </c>
      <c r="D1553" t="s">
        <v>50</v>
      </c>
      <c r="E1553">
        <v>0</v>
      </c>
    </row>
    <row r="1554" spans="1:5" x14ac:dyDescent="0.45">
      <c r="A1554" t="s">
        <v>55</v>
      </c>
      <c r="B1554" t="s">
        <v>47</v>
      </c>
      <c r="C1554" t="s">
        <v>48</v>
      </c>
      <c r="D1554" t="s">
        <v>50</v>
      </c>
      <c r="E1554">
        <v>0</v>
      </c>
    </row>
    <row r="1555" spans="1:5" x14ac:dyDescent="0.45">
      <c r="A1555" t="s">
        <v>55</v>
      </c>
      <c r="B1555" t="s">
        <v>47</v>
      </c>
      <c r="C1555" t="s">
        <v>48</v>
      </c>
      <c r="D1555" t="s">
        <v>50</v>
      </c>
      <c r="E1555">
        <v>0</v>
      </c>
    </row>
    <row r="1556" spans="1:5" x14ac:dyDescent="0.45">
      <c r="A1556" t="s">
        <v>55</v>
      </c>
      <c r="B1556" t="s">
        <v>47</v>
      </c>
      <c r="C1556" t="s">
        <v>48</v>
      </c>
      <c r="D1556" t="s">
        <v>50</v>
      </c>
      <c r="E1556">
        <v>0</v>
      </c>
    </row>
    <row r="1557" spans="1:5" x14ac:dyDescent="0.45">
      <c r="A1557" t="s">
        <v>55</v>
      </c>
      <c r="B1557" t="s">
        <v>47</v>
      </c>
      <c r="C1557" t="s">
        <v>48</v>
      </c>
      <c r="D1557" t="s">
        <v>50</v>
      </c>
      <c r="E1557">
        <v>0</v>
      </c>
    </row>
    <row r="1558" spans="1:5" x14ac:dyDescent="0.45">
      <c r="A1558" t="s">
        <v>55</v>
      </c>
      <c r="B1558" t="s">
        <v>47</v>
      </c>
      <c r="C1558" t="s">
        <v>48</v>
      </c>
      <c r="D1558" t="s">
        <v>50</v>
      </c>
      <c r="E1558">
        <v>0</v>
      </c>
    </row>
    <row r="1559" spans="1:5" x14ac:dyDescent="0.45">
      <c r="A1559" t="s">
        <v>55</v>
      </c>
      <c r="B1559" t="s">
        <v>47</v>
      </c>
      <c r="C1559" t="s">
        <v>48</v>
      </c>
      <c r="D1559" t="s">
        <v>50</v>
      </c>
      <c r="E1559">
        <v>0</v>
      </c>
    </row>
    <row r="1560" spans="1:5" x14ac:dyDescent="0.45">
      <c r="A1560" t="s">
        <v>55</v>
      </c>
      <c r="B1560" t="s">
        <v>47</v>
      </c>
      <c r="C1560" t="s">
        <v>48</v>
      </c>
      <c r="D1560" t="s">
        <v>50</v>
      </c>
      <c r="E1560">
        <v>0</v>
      </c>
    </row>
    <row r="1561" spans="1:5" x14ac:dyDescent="0.45">
      <c r="A1561" t="s">
        <v>55</v>
      </c>
      <c r="B1561" t="s">
        <v>47</v>
      </c>
      <c r="C1561" t="s">
        <v>48</v>
      </c>
      <c r="D1561" t="s">
        <v>50</v>
      </c>
      <c r="E1561">
        <v>0</v>
      </c>
    </row>
    <row r="1562" spans="1:5" x14ac:dyDescent="0.45">
      <c r="A1562" t="s">
        <v>55</v>
      </c>
      <c r="B1562" t="s">
        <v>47</v>
      </c>
      <c r="C1562" t="s">
        <v>48</v>
      </c>
      <c r="D1562" t="s">
        <v>50</v>
      </c>
      <c r="E1562">
        <v>0</v>
      </c>
    </row>
    <row r="1563" spans="1:5" x14ac:dyDescent="0.45">
      <c r="A1563" t="s">
        <v>55</v>
      </c>
      <c r="B1563" t="s">
        <v>47</v>
      </c>
      <c r="C1563" t="s">
        <v>48</v>
      </c>
      <c r="D1563" t="s">
        <v>50</v>
      </c>
      <c r="E1563">
        <v>0</v>
      </c>
    </row>
    <row r="1564" spans="1:5" x14ac:dyDescent="0.45">
      <c r="A1564" t="s">
        <v>55</v>
      </c>
      <c r="B1564" t="s">
        <v>47</v>
      </c>
      <c r="C1564" t="s">
        <v>48</v>
      </c>
      <c r="D1564" t="s">
        <v>50</v>
      </c>
      <c r="E1564">
        <v>0</v>
      </c>
    </row>
    <row r="1565" spans="1:5" x14ac:dyDescent="0.45">
      <c r="A1565" t="s">
        <v>55</v>
      </c>
      <c r="B1565" t="s">
        <v>47</v>
      </c>
      <c r="C1565" t="s">
        <v>48</v>
      </c>
      <c r="D1565" t="s">
        <v>50</v>
      </c>
      <c r="E1565">
        <v>0</v>
      </c>
    </row>
    <row r="1566" spans="1:5" x14ac:dyDescent="0.45">
      <c r="A1566" t="s">
        <v>55</v>
      </c>
      <c r="B1566" t="s">
        <v>47</v>
      </c>
      <c r="C1566" t="s">
        <v>48</v>
      </c>
      <c r="D1566" t="s">
        <v>50</v>
      </c>
      <c r="E1566">
        <v>0</v>
      </c>
    </row>
    <row r="1567" spans="1:5" x14ac:dyDescent="0.45">
      <c r="A1567" t="s">
        <v>55</v>
      </c>
      <c r="B1567" t="s">
        <v>47</v>
      </c>
      <c r="C1567" t="s">
        <v>48</v>
      </c>
      <c r="D1567" t="s">
        <v>50</v>
      </c>
      <c r="E1567">
        <v>0</v>
      </c>
    </row>
    <row r="1568" spans="1:5" x14ac:dyDescent="0.45">
      <c r="A1568" t="s">
        <v>55</v>
      </c>
      <c r="B1568" t="s">
        <v>47</v>
      </c>
      <c r="C1568" t="s">
        <v>48</v>
      </c>
      <c r="D1568" t="s">
        <v>50</v>
      </c>
      <c r="E1568">
        <v>0</v>
      </c>
    </row>
    <row r="1569" spans="1:5" x14ac:dyDescent="0.45">
      <c r="A1569" t="s">
        <v>55</v>
      </c>
      <c r="B1569" t="s">
        <v>47</v>
      </c>
      <c r="C1569" t="s">
        <v>48</v>
      </c>
      <c r="D1569" t="s">
        <v>50</v>
      </c>
      <c r="E1569">
        <v>0</v>
      </c>
    </row>
    <row r="1570" spans="1:5" x14ac:dyDescent="0.45">
      <c r="A1570" t="s">
        <v>55</v>
      </c>
      <c r="B1570" t="s">
        <v>47</v>
      </c>
      <c r="C1570" t="s">
        <v>48</v>
      </c>
      <c r="D1570" t="s">
        <v>50</v>
      </c>
      <c r="E1570">
        <v>0</v>
      </c>
    </row>
    <row r="1571" spans="1:5" x14ac:dyDescent="0.45">
      <c r="A1571" t="s">
        <v>55</v>
      </c>
      <c r="B1571" t="s">
        <v>47</v>
      </c>
      <c r="C1571" t="s">
        <v>48</v>
      </c>
      <c r="D1571" t="s">
        <v>50</v>
      </c>
      <c r="E1571">
        <v>0</v>
      </c>
    </row>
    <row r="1572" spans="1:5" x14ac:dyDescent="0.45">
      <c r="A1572" t="s">
        <v>55</v>
      </c>
      <c r="B1572" t="s">
        <v>47</v>
      </c>
      <c r="C1572" t="s">
        <v>48</v>
      </c>
      <c r="D1572" t="s">
        <v>50</v>
      </c>
      <c r="E1572">
        <v>0</v>
      </c>
    </row>
    <row r="1573" spans="1:5" x14ac:dyDescent="0.45">
      <c r="A1573" t="s">
        <v>55</v>
      </c>
      <c r="B1573" t="s">
        <v>47</v>
      </c>
      <c r="C1573" t="s">
        <v>48</v>
      </c>
      <c r="D1573" t="s">
        <v>50</v>
      </c>
      <c r="E1573">
        <v>0</v>
      </c>
    </row>
    <row r="1574" spans="1:5" x14ac:dyDescent="0.45">
      <c r="A1574" t="s">
        <v>55</v>
      </c>
      <c r="B1574" t="s">
        <v>47</v>
      </c>
      <c r="C1574" t="s">
        <v>48</v>
      </c>
      <c r="D1574" t="s">
        <v>50</v>
      </c>
      <c r="E1574">
        <v>0</v>
      </c>
    </row>
    <row r="1575" spans="1:5" x14ac:dyDescent="0.45">
      <c r="A1575" t="s">
        <v>55</v>
      </c>
      <c r="B1575" t="s">
        <v>47</v>
      </c>
      <c r="C1575" t="s">
        <v>48</v>
      </c>
      <c r="D1575" t="s">
        <v>50</v>
      </c>
      <c r="E1575">
        <v>0</v>
      </c>
    </row>
    <row r="1576" spans="1:5" x14ac:dyDescent="0.45">
      <c r="A1576" t="s">
        <v>55</v>
      </c>
      <c r="B1576" t="s">
        <v>47</v>
      </c>
      <c r="C1576" t="s">
        <v>48</v>
      </c>
      <c r="D1576" t="s">
        <v>50</v>
      </c>
      <c r="E1576">
        <v>0</v>
      </c>
    </row>
    <row r="1577" spans="1:5" x14ac:dyDescent="0.45">
      <c r="A1577" t="s">
        <v>55</v>
      </c>
      <c r="B1577" t="s">
        <v>47</v>
      </c>
      <c r="C1577" t="s">
        <v>48</v>
      </c>
      <c r="D1577" t="s">
        <v>50</v>
      </c>
      <c r="E1577">
        <v>0</v>
      </c>
    </row>
    <row r="1578" spans="1:5" x14ac:dyDescent="0.45">
      <c r="A1578" t="s">
        <v>55</v>
      </c>
      <c r="B1578" t="s">
        <v>47</v>
      </c>
      <c r="C1578" t="s">
        <v>48</v>
      </c>
      <c r="D1578" t="s">
        <v>50</v>
      </c>
      <c r="E1578">
        <v>0</v>
      </c>
    </row>
    <row r="1579" spans="1:5" x14ac:dyDescent="0.45">
      <c r="A1579" t="s">
        <v>55</v>
      </c>
      <c r="B1579" t="s">
        <v>47</v>
      </c>
      <c r="C1579" t="s">
        <v>48</v>
      </c>
      <c r="D1579" t="s">
        <v>50</v>
      </c>
      <c r="E1579">
        <v>0</v>
      </c>
    </row>
    <row r="1580" spans="1:5" x14ac:dyDescent="0.45">
      <c r="A1580" t="s">
        <v>55</v>
      </c>
      <c r="B1580" t="s">
        <v>47</v>
      </c>
      <c r="C1580" t="s">
        <v>48</v>
      </c>
      <c r="D1580" t="s">
        <v>50</v>
      </c>
      <c r="E1580">
        <v>0</v>
      </c>
    </row>
    <row r="1581" spans="1:5" x14ac:dyDescent="0.45">
      <c r="A1581" t="s">
        <v>55</v>
      </c>
      <c r="B1581" t="s">
        <v>47</v>
      </c>
      <c r="C1581" t="s">
        <v>48</v>
      </c>
      <c r="D1581" t="s">
        <v>50</v>
      </c>
      <c r="E1581">
        <v>0</v>
      </c>
    </row>
    <row r="1582" spans="1:5" x14ac:dyDescent="0.45">
      <c r="A1582" t="s">
        <v>55</v>
      </c>
      <c r="B1582" t="s">
        <v>47</v>
      </c>
      <c r="C1582" t="s">
        <v>48</v>
      </c>
      <c r="D1582" t="s">
        <v>50</v>
      </c>
      <c r="E1582">
        <v>0</v>
      </c>
    </row>
    <row r="1583" spans="1:5" x14ac:dyDescent="0.45">
      <c r="A1583" t="s">
        <v>55</v>
      </c>
      <c r="B1583" t="s">
        <v>47</v>
      </c>
      <c r="C1583" t="s">
        <v>48</v>
      </c>
      <c r="D1583" t="s">
        <v>50</v>
      </c>
      <c r="E1583">
        <v>0</v>
      </c>
    </row>
    <row r="1584" spans="1:5" x14ac:dyDescent="0.45">
      <c r="A1584" t="s">
        <v>55</v>
      </c>
      <c r="B1584" t="s">
        <v>47</v>
      </c>
      <c r="C1584" t="s">
        <v>48</v>
      </c>
      <c r="D1584" t="s">
        <v>50</v>
      </c>
      <c r="E1584">
        <v>0</v>
      </c>
    </row>
    <row r="1585" spans="1:5" x14ac:dyDescent="0.45">
      <c r="A1585" t="s">
        <v>55</v>
      </c>
      <c r="B1585" t="s">
        <v>47</v>
      </c>
      <c r="C1585" t="s">
        <v>48</v>
      </c>
      <c r="D1585" t="s">
        <v>50</v>
      </c>
      <c r="E1585">
        <v>0</v>
      </c>
    </row>
    <row r="1586" spans="1:5" x14ac:dyDescent="0.45">
      <c r="A1586" t="s">
        <v>55</v>
      </c>
      <c r="B1586" t="s">
        <v>47</v>
      </c>
      <c r="C1586" t="s">
        <v>48</v>
      </c>
      <c r="D1586" t="s">
        <v>50</v>
      </c>
      <c r="E1586">
        <v>0</v>
      </c>
    </row>
    <row r="1587" spans="1:5" x14ac:dyDescent="0.45">
      <c r="A1587" t="s">
        <v>55</v>
      </c>
      <c r="B1587" t="s">
        <v>47</v>
      </c>
      <c r="C1587" t="s">
        <v>48</v>
      </c>
      <c r="D1587" t="s">
        <v>50</v>
      </c>
      <c r="E1587">
        <v>0</v>
      </c>
    </row>
    <row r="1588" spans="1:5" x14ac:dyDescent="0.45">
      <c r="A1588" t="s">
        <v>55</v>
      </c>
      <c r="B1588" t="s">
        <v>47</v>
      </c>
      <c r="C1588" t="s">
        <v>48</v>
      </c>
      <c r="D1588" t="s">
        <v>50</v>
      </c>
      <c r="E1588">
        <v>0</v>
      </c>
    </row>
    <row r="1589" spans="1:5" x14ac:dyDescent="0.45">
      <c r="A1589" t="s">
        <v>55</v>
      </c>
      <c r="B1589" t="s">
        <v>47</v>
      </c>
      <c r="C1589" t="s">
        <v>48</v>
      </c>
      <c r="D1589" t="s">
        <v>50</v>
      </c>
      <c r="E1589">
        <v>0</v>
      </c>
    </row>
    <row r="1590" spans="1:5" x14ac:dyDescent="0.45">
      <c r="A1590" t="s">
        <v>55</v>
      </c>
      <c r="B1590" t="s">
        <v>47</v>
      </c>
      <c r="C1590" t="s">
        <v>48</v>
      </c>
      <c r="D1590" t="s">
        <v>50</v>
      </c>
      <c r="E1590">
        <v>0</v>
      </c>
    </row>
    <row r="1591" spans="1:5" x14ac:dyDescent="0.45">
      <c r="A1591" t="s">
        <v>55</v>
      </c>
      <c r="B1591" t="s">
        <v>47</v>
      </c>
      <c r="C1591" t="s">
        <v>48</v>
      </c>
      <c r="D1591" t="s">
        <v>50</v>
      </c>
      <c r="E1591">
        <v>0</v>
      </c>
    </row>
    <row r="1592" spans="1:5" x14ac:dyDescent="0.45">
      <c r="A1592" t="s">
        <v>55</v>
      </c>
      <c r="B1592" t="s">
        <v>47</v>
      </c>
      <c r="C1592" t="s">
        <v>48</v>
      </c>
      <c r="D1592" t="s">
        <v>50</v>
      </c>
      <c r="E1592">
        <v>0</v>
      </c>
    </row>
    <row r="1593" spans="1:5" x14ac:dyDescent="0.45">
      <c r="A1593" t="s">
        <v>55</v>
      </c>
      <c r="B1593" t="s">
        <v>47</v>
      </c>
      <c r="C1593" t="s">
        <v>48</v>
      </c>
      <c r="D1593" t="s">
        <v>50</v>
      </c>
      <c r="E1593">
        <v>0</v>
      </c>
    </row>
    <row r="1594" spans="1:5" x14ac:dyDescent="0.45">
      <c r="A1594" t="s">
        <v>55</v>
      </c>
      <c r="B1594" t="s">
        <v>47</v>
      </c>
      <c r="C1594" t="s">
        <v>48</v>
      </c>
      <c r="D1594" t="s">
        <v>50</v>
      </c>
      <c r="E1594">
        <v>0</v>
      </c>
    </row>
    <row r="1595" spans="1:5" x14ac:dyDescent="0.45">
      <c r="A1595" t="s">
        <v>55</v>
      </c>
      <c r="B1595" t="s">
        <v>47</v>
      </c>
      <c r="C1595" t="s">
        <v>48</v>
      </c>
      <c r="D1595" t="s">
        <v>50</v>
      </c>
      <c r="E1595">
        <v>0</v>
      </c>
    </row>
    <row r="1596" spans="1:5" x14ac:dyDescent="0.45">
      <c r="A1596" t="s">
        <v>55</v>
      </c>
      <c r="B1596" t="s">
        <v>47</v>
      </c>
      <c r="C1596" t="s">
        <v>48</v>
      </c>
      <c r="D1596" t="s">
        <v>50</v>
      </c>
      <c r="E1596">
        <v>0</v>
      </c>
    </row>
    <row r="1597" spans="1:5" x14ac:dyDescent="0.45">
      <c r="A1597" t="s">
        <v>55</v>
      </c>
      <c r="B1597" t="s">
        <v>47</v>
      </c>
      <c r="C1597" t="s">
        <v>48</v>
      </c>
      <c r="D1597" t="s">
        <v>50</v>
      </c>
      <c r="E1597">
        <v>0</v>
      </c>
    </row>
    <row r="1598" spans="1:5" x14ac:dyDescent="0.45">
      <c r="A1598" t="s">
        <v>55</v>
      </c>
      <c r="B1598" t="s">
        <v>47</v>
      </c>
      <c r="C1598" t="s">
        <v>48</v>
      </c>
      <c r="D1598" t="s">
        <v>50</v>
      </c>
      <c r="E1598">
        <v>0</v>
      </c>
    </row>
    <row r="1599" spans="1:5" x14ac:dyDescent="0.45">
      <c r="A1599" t="s">
        <v>55</v>
      </c>
      <c r="B1599" t="s">
        <v>47</v>
      </c>
      <c r="C1599" t="s">
        <v>48</v>
      </c>
      <c r="D1599" t="s">
        <v>50</v>
      </c>
      <c r="E1599">
        <v>0</v>
      </c>
    </row>
    <row r="1600" spans="1:5" x14ac:dyDescent="0.45">
      <c r="A1600" t="s">
        <v>55</v>
      </c>
      <c r="B1600" t="s">
        <v>47</v>
      </c>
      <c r="C1600" t="s">
        <v>48</v>
      </c>
      <c r="D1600" t="s">
        <v>50</v>
      </c>
      <c r="E1600">
        <v>0</v>
      </c>
    </row>
    <row r="1601" spans="1:5" x14ac:dyDescent="0.45">
      <c r="A1601" t="s">
        <v>55</v>
      </c>
      <c r="B1601" t="s">
        <v>47</v>
      </c>
      <c r="C1601" t="s">
        <v>48</v>
      </c>
      <c r="D1601" t="s">
        <v>50</v>
      </c>
      <c r="E1601">
        <v>0</v>
      </c>
    </row>
    <row r="1602" spans="1:5" x14ac:dyDescent="0.45">
      <c r="A1602" t="s">
        <v>55</v>
      </c>
      <c r="B1602" t="s">
        <v>47</v>
      </c>
      <c r="C1602" t="s">
        <v>48</v>
      </c>
      <c r="D1602" t="s">
        <v>50</v>
      </c>
      <c r="E1602">
        <v>0</v>
      </c>
    </row>
    <row r="1603" spans="1:5" x14ac:dyDescent="0.45">
      <c r="A1603" t="s">
        <v>55</v>
      </c>
      <c r="B1603" t="s">
        <v>47</v>
      </c>
      <c r="C1603" t="s">
        <v>48</v>
      </c>
      <c r="D1603" t="s">
        <v>50</v>
      </c>
      <c r="E1603">
        <v>0</v>
      </c>
    </row>
    <row r="1604" spans="1:5" x14ac:dyDescent="0.45">
      <c r="A1604" t="s">
        <v>55</v>
      </c>
      <c r="B1604" t="s">
        <v>47</v>
      </c>
      <c r="C1604" t="s">
        <v>48</v>
      </c>
      <c r="D1604" t="s">
        <v>50</v>
      </c>
      <c r="E1604">
        <v>0</v>
      </c>
    </row>
    <row r="1605" spans="1:5" x14ac:dyDescent="0.45">
      <c r="A1605" t="s">
        <v>55</v>
      </c>
      <c r="B1605" t="s">
        <v>47</v>
      </c>
      <c r="C1605" t="s">
        <v>48</v>
      </c>
      <c r="D1605" t="s">
        <v>50</v>
      </c>
      <c r="E1605">
        <v>0</v>
      </c>
    </row>
    <row r="1606" spans="1:5" x14ac:dyDescent="0.45">
      <c r="A1606" t="s">
        <v>55</v>
      </c>
      <c r="B1606" t="s">
        <v>47</v>
      </c>
      <c r="C1606" t="s">
        <v>48</v>
      </c>
      <c r="D1606" t="s">
        <v>50</v>
      </c>
      <c r="E1606">
        <v>0</v>
      </c>
    </row>
    <row r="1607" spans="1:5" x14ac:dyDescent="0.45">
      <c r="A1607" t="s">
        <v>55</v>
      </c>
      <c r="B1607" t="s">
        <v>47</v>
      </c>
      <c r="C1607" t="s">
        <v>48</v>
      </c>
      <c r="D1607" t="s">
        <v>50</v>
      </c>
      <c r="E1607">
        <v>0</v>
      </c>
    </row>
    <row r="1608" spans="1:5" x14ac:dyDescent="0.45">
      <c r="A1608" t="s">
        <v>55</v>
      </c>
      <c r="B1608" t="s">
        <v>47</v>
      </c>
      <c r="C1608" t="s">
        <v>48</v>
      </c>
      <c r="D1608" t="s">
        <v>50</v>
      </c>
      <c r="E1608">
        <v>0</v>
      </c>
    </row>
    <row r="1609" spans="1:5" x14ac:dyDescent="0.45">
      <c r="A1609" t="s">
        <v>55</v>
      </c>
      <c r="B1609" t="s">
        <v>47</v>
      </c>
      <c r="C1609" t="s">
        <v>48</v>
      </c>
      <c r="D1609" t="s">
        <v>50</v>
      </c>
      <c r="E1609">
        <v>0</v>
      </c>
    </row>
    <row r="1610" spans="1:5" x14ac:dyDescent="0.45">
      <c r="A1610" t="s">
        <v>55</v>
      </c>
      <c r="B1610" t="s">
        <v>47</v>
      </c>
      <c r="C1610" t="s">
        <v>48</v>
      </c>
      <c r="D1610" t="s">
        <v>50</v>
      </c>
      <c r="E1610">
        <v>0</v>
      </c>
    </row>
    <row r="1611" spans="1:5" x14ac:dyDescent="0.45">
      <c r="A1611" t="s">
        <v>55</v>
      </c>
      <c r="B1611" t="s">
        <v>47</v>
      </c>
      <c r="C1611" t="s">
        <v>48</v>
      </c>
      <c r="D1611" t="s">
        <v>50</v>
      </c>
      <c r="E1611">
        <v>0</v>
      </c>
    </row>
    <row r="1612" spans="1:5" x14ac:dyDescent="0.45">
      <c r="A1612" t="s">
        <v>55</v>
      </c>
      <c r="B1612" t="s">
        <v>47</v>
      </c>
      <c r="C1612" t="s">
        <v>48</v>
      </c>
      <c r="D1612" t="s">
        <v>50</v>
      </c>
      <c r="E1612">
        <v>0</v>
      </c>
    </row>
    <row r="1613" spans="1:5" x14ac:dyDescent="0.45">
      <c r="A1613" t="s">
        <v>55</v>
      </c>
      <c r="B1613" t="s">
        <v>47</v>
      </c>
      <c r="C1613" t="s">
        <v>48</v>
      </c>
      <c r="D1613" t="s">
        <v>50</v>
      </c>
      <c r="E1613">
        <v>0</v>
      </c>
    </row>
    <row r="1614" spans="1:5" x14ac:dyDescent="0.45">
      <c r="A1614" t="s">
        <v>55</v>
      </c>
      <c r="B1614" t="s">
        <v>47</v>
      </c>
      <c r="C1614" t="s">
        <v>48</v>
      </c>
      <c r="D1614" t="s">
        <v>50</v>
      </c>
      <c r="E1614">
        <v>0</v>
      </c>
    </row>
    <row r="1615" spans="1:5" x14ac:dyDescent="0.45">
      <c r="A1615" t="s">
        <v>55</v>
      </c>
      <c r="B1615" t="s">
        <v>47</v>
      </c>
      <c r="C1615" t="s">
        <v>48</v>
      </c>
      <c r="D1615" t="s">
        <v>50</v>
      </c>
      <c r="E1615">
        <v>0</v>
      </c>
    </row>
    <row r="1616" spans="1:5" x14ac:dyDescent="0.45">
      <c r="A1616" t="s">
        <v>55</v>
      </c>
      <c r="B1616" t="s">
        <v>47</v>
      </c>
      <c r="C1616" t="s">
        <v>48</v>
      </c>
      <c r="D1616" t="s">
        <v>50</v>
      </c>
      <c r="E1616">
        <v>0</v>
      </c>
    </row>
    <row r="1617" spans="1:5" x14ac:dyDescent="0.45">
      <c r="A1617" t="s">
        <v>55</v>
      </c>
      <c r="B1617" t="s">
        <v>47</v>
      </c>
      <c r="C1617" t="s">
        <v>48</v>
      </c>
      <c r="D1617" t="s">
        <v>50</v>
      </c>
      <c r="E1617">
        <v>0</v>
      </c>
    </row>
    <row r="1618" spans="1:5" x14ac:dyDescent="0.45">
      <c r="A1618" t="s">
        <v>55</v>
      </c>
      <c r="B1618" t="s">
        <v>47</v>
      </c>
      <c r="C1618" t="s">
        <v>48</v>
      </c>
      <c r="D1618" t="s">
        <v>50</v>
      </c>
      <c r="E1618">
        <v>0</v>
      </c>
    </row>
    <row r="1619" spans="1:5" x14ac:dyDescent="0.45">
      <c r="A1619" t="s">
        <v>55</v>
      </c>
      <c r="B1619" t="s">
        <v>47</v>
      </c>
      <c r="C1619" t="s">
        <v>48</v>
      </c>
      <c r="D1619" t="s">
        <v>50</v>
      </c>
      <c r="E1619">
        <v>0</v>
      </c>
    </row>
    <row r="1620" spans="1:5" x14ac:dyDescent="0.45">
      <c r="A1620" t="s">
        <v>55</v>
      </c>
      <c r="B1620" t="s">
        <v>47</v>
      </c>
      <c r="C1620" t="s">
        <v>48</v>
      </c>
      <c r="D1620" t="s">
        <v>50</v>
      </c>
      <c r="E1620">
        <v>0</v>
      </c>
    </row>
    <row r="1621" spans="1:5" x14ac:dyDescent="0.45">
      <c r="A1621" t="s">
        <v>55</v>
      </c>
      <c r="B1621" t="s">
        <v>47</v>
      </c>
      <c r="C1621" t="s">
        <v>48</v>
      </c>
      <c r="D1621" t="s">
        <v>50</v>
      </c>
      <c r="E1621">
        <v>0</v>
      </c>
    </row>
    <row r="1622" spans="1:5" x14ac:dyDescent="0.45">
      <c r="A1622" t="s">
        <v>55</v>
      </c>
      <c r="B1622" t="s">
        <v>47</v>
      </c>
      <c r="C1622" t="s">
        <v>48</v>
      </c>
      <c r="D1622" t="s">
        <v>50</v>
      </c>
      <c r="E1622">
        <v>0</v>
      </c>
    </row>
    <row r="1623" spans="1:5" x14ac:dyDescent="0.45">
      <c r="A1623" t="s">
        <v>55</v>
      </c>
      <c r="B1623" t="s">
        <v>47</v>
      </c>
      <c r="C1623" t="s">
        <v>48</v>
      </c>
      <c r="D1623" t="s">
        <v>50</v>
      </c>
      <c r="E1623">
        <v>0</v>
      </c>
    </row>
    <row r="1624" spans="1:5" x14ac:dyDescent="0.45">
      <c r="A1624" t="s">
        <v>55</v>
      </c>
      <c r="B1624" t="s">
        <v>47</v>
      </c>
      <c r="C1624" t="s">
        <v>48</v>
      </c>
      <c r="D1624" t="s">
        <v>50</v>
      </c>
      <c r="E1624">
        <v>0</v>
      </c>
    </row>
    <row r="1625" spans="1:5" x14ac:dyDescent="0.45">
      <c r="A1625" t="s">
        <v>55</v>
      </c>
      <c r="B1625" t="s">
        <v>47</v>
      </c>
      <c r="C1625" t="s">
        <v>48</v>
      </c>
      <c r="D1625" t="s">
        <v>50</v>
      </c>
      <c r="E1625">
        <v>0</v>
      </c>
    </row>
    <row r="1626" spans="1:5" x14ac:dyDescent="0.45">
      <c r="A1626" t="s">
        <v>55</v>
      </c>
      <c r="B1626" t="s">
        <v>47</v>
      </c>
      <c r="C1626" t="s">
        <v>48</v>
      </c>
      <c r="D1626" t="s">
        <v>50</v>
      </c>
      <c r="E1626">
        <v>0</v>
      </c>
    </row>
    <row r="1627" spans="1:5" x14ac:dyDescent="0.45">
      <c r="A1627" t="s">
        <v>55</v>
      </c>
      <c r="B1627" t="s">
        <v>47</v>
      </c>
      <c r="C1627" t="s">
        <v>48</v>
      </c>
      <c r="D1627" t="s">
        <v>50</v>
      </c>
      <c r="E1627">
        <v>0</v>
      </c>
    </row>
    <row r="1628" spans="1:5" x14ac:dyDescent="0.45">
      <c r="A1628" t="s">
        <v>55</v>
      </c>
      <c r="B1628" t="s">
        <v>47</v>
      </c>
      <c r="C1628" t="s">
        <v>48</v>
      </c>
      <c r="D1628" t="s">
        <v>50</v>
      </c>
      <c r="E1628">
        <v>0</v>
      </c>
    </row>
    <row r="1629" spans="1:5" x14ac:dyDescent="0.45">
      <c r="A1629" t="s">
        <v>55</v>
      </c>
      <c r="B1629" t="s">
        <v>47</v>
      </c>
      <c r="C1629" t="s">
        <v>48</v>
      </c>
      <c r="D1629" t="s">
        <v>50</v>
      </c>
      <c r="E1629">
        <v>0</v>
      </c>
    </row>
    <row r="1630" spans="1:5" x14ac:dyDescent="0.45">
      <c r="A1630" t="s">
        <v>55</v>
      </c>
      <c r="B1630" t="s">
        <v>47</v>
      </c>
      <c r="C1630" t="s">
        <v>48</v>
      </c>
      <c r="D1630" t="s">
        <v>50</v>
      </c>
      <c r="E1630">
        <v>0</v>
      </c>
    </row>
    <row r="1631" spans="1:5" x14ac:dyDescent="0.45">
      <c r="A1631" t="s">
        <v>55</v>
      </c>
      <c r="B1631" t="s">
        <v>47</v>
      </c>
      <c r="C1631" t="s">
        <v>48</v>
      </c>
      <c r="D1631" t="s">
        <v>50</v>
      </c>
      <c r="E1631">
        <v>0</v>
      </c>
    </row>
    <row r="1632" spans="1:5" x14ac:dyDescent="0.45">
      <c r="A1632" t="s">
        <v>55</v>
      </c>
      <c r="B1632" t="s">
        <v>47</v>
      </c>
      <c r="C1632" t="s">
        <v>48</v>
      </c>
      <c r="D1632" t="s">
        <v>50</v>
      </c>
      <c r="E1632">
        <v>0</v>
      </c>
    </row>
    <row r="1633" spans="1:5" x14ac:dyDescent="0.45">
      <c r="A1633" t="s">
        <v>55</v>
      </c>
      <c r="B1633" t="s">
        <v>47</v>
      </c>
      <c r="C1633" t="s">
        <v>48</v>
      </c>
      <c r="D1633" t="s">
        <v>50</v>
      </c>
      <c r="E1633">
        <v>0</v>
      </c>
    </row>
    <row r="1634" spans="1:5" x14ac:dyDescent="0.45">
      <c r="A1634" t="s">
        <v>55</v>
      </c>
      <c r="B1634" t="s">
        <v>47</v>
      </c>
      <c r="C1634" t="s">
        <v>48</v>
      </c>
      <c r="D1634" t="s">
        <v>50</v>
      </c>
      <c r="E1634">
        <v>0</v>
      </c>
    </row>
    <row r="1635" spans="1:5" x14ac:dyDescent="0.45">
      <c r="A1635" t="s">
        <v>55</v>
      </c>
      <c r="B1635" t="s">
        <v>47</v>
      </c>
      <c r="C1635" t="s">
        <v>48</v>
      </c>
      <c r="D1635" t="s">
        <v>50</v>
      </c>
      <c r="E1635">
        <v>0</v>
      </c>
    </row>
    <row r="1636" spans="1:5" x14ac:dyDescent="0.45">
      <c r="A1636" t="s">
        <v>55</v>
      </c>
      <c r="B1636" t="s">
        <v>47</v>
      </c>
      <c r="C1636" t="s">
        <v>48</v>
      </c>
      <c r="D1636" t="s">
        <v>50</v>
      </c>
      <c r="E1636">
        <v>0</v>
      </c>
    </row>
    <row r="1637" spans="1:5" x14ac:dyDescent="0.45">
      <c r="A1637" t="s">
        <v>55</v>
      </c>
      <c r="B1637" t="s">
        <v>47</v>
      </c>
      <c r="C1637" t="s">
        <v>48</v>
      </c>
      <c r="D1637" t="s">
        <v>50</v>
      </c>
      <c r="E1637">
        <v>0</v>
      </c>
    </row>
    <row r="1638" spans="1:5" x14ac:dyDescent="0.45">
      <c r="A1638" t="s">
        <v>55</v>
      </c>
      <c r="B1638" t="s">
        <v>47</v>
      </c>
      <c r="C1638" t="s">
        <v>48</v>
      </c>
      <c r="D1638" t="s">
        <v>50</v>
      </c>
      <c r="E1638">
        <v>0</v>
      </c>
    </row>
    <row r="1639" spans="1:5" x14ac:dyDescent="0.45">
      <c r="A1639" t="s">
        <v>55</v>
      </c>
      <c r="B1639" t="s">
        <v>47</v>
      </c>
      <c r="C1639" t="s">
        <v>48</v>
      </c>
      <c r="D1639" t="s">
        <v>50</v>
      </c>
      <c r="E1639">
        <v>0</v>
      </c>
    </row>
    <row r="1640" spans="1:5" x14ac:dyDescent="0.45">
      <c r="A1640" t="s">
        <v>55</v>
      </c>
      <c r="B1640" t="s">
        <v>47</v>
      </c>
      <c r="C1640" t="s">
        <v>48</v>
      </c>
      <c r="D1640" t="s">
        <v>50</v>
      </c>
      <c r="E1640">
        <v>0</v>
      </c>
    </row>
    <row r="1641" spans="1:5" x14ac:dyDescent="0.45">
      <c r="A1641" t="s">
        <v>55</v>
      </c>
      <c r="B1641" t="s">
        <v>47</v>
      </c>
      <c r="C1641" t="s">
        <v>48</v>
      </c>
      <c r="D1641" t="s">
        <v>50</v>
      </c>
      <c r="E1641">
        <v>0</v>
      </c>
    </row>
    <row r="1642" spans="1:5" x14ac:dyDescent="0.45">
      <c r="A1642" t="s">
        <v>55</v>
      </c>
      <c r="B1642" t="s">
        <v>47</v>
      </c>
      <c r="C1642" t="s">
        <v>48</v>
      </c>
      <c r="D1642" t="s">
        <v>50</v>
      </c>
      <c r="E1642">
        <v>0</v>
      </c>
    </row>
    <row r="1643" spans="1:5" x14ac:dyDescent="0.45">
      <c r="A1643" t="s">
        <v>55</v>
      </c>
      <c r="B1643" t="s">
        <v>47</v>
      </c>
      <c r="C1643" t="s">
        <v>48</v>
      </c>
      <c r="D1643" t="s">
        <v>50</v>
      </c>
      <c r="E1643">
        <v>0</v>
      </c>
    </row>
    <row r="1644" spans="1:5" x14ac:dyDescent="0.45">
      <c r="A1644" t="s">
        <v>55</v>
      </c>
      <c r="B1644" t="s">
        <v>47</v>
      </c>
      <c r="C1644" t="s">
        <v>48</v>
      </c>
      <c r="D1644" t="s">
        <v>50</v>
      </c>
      <c r="E1644">
        <v>0</v>
      </c>
    </row>
    <row r="1645" spans="1:5" x14ac:dyDescent="0.45">
      <c r="A1645" t="s">
        <v>55</v>
      </c>
      <c r="B1645" t="s">
        <v>47</v>
      </c>
      <c r="C1645" t="s">
        <v>48</v>
      </c>
      <c r="D1645" t="s">
        <v>50</v>
      </c>
      <c r="E1645">
        <v>0</v>
      </c>
    </row>
    <row r="1646" spans="1:5" x14ac:dyDescent="0.45">
      <c r="A1646" t="s">
        <v>55</v>
      </c>
      <c r="B1646" t="s">
        <v>47</v>
      </c>
      <c r="C1646" t="s">
        <v>48</v>
      </c>
      <c r="D1646" t="s">
        <v>50</v>
      </c>
      <c r="E1646">
        <v>0</v>
      </c>
    </row>
    <row r="1647" spans="1:5" x14ac:dyDescent="0.45">
      <c r="A1647" t="s">
        <v>55</v>
      </c>
      <c r="B1647" t="s">
        <v>47</v>
      </c>
      <c r="C1647" t="s">
        <v>48</v>
      </c>
      <c r="D1647" t="s">
        <v>50</v>
      </c>
      <c r="E1647">
        <v>0</v>
      </c>
    </row>
    <row r="1648" spans="1:5" x14ac:dyDescent="0.45">
      <c r="A1648" t="s">
        <v>55</v>
      </c>
      <c r="B1648" t="s">
        <v>47</v>
      </c>
      <c r="C1648" t="s">
        <v>48</v>
      </c>
      <c r="D1648" t="s">
        <v>50</v>
      </c>
      <c r="E1648">
        <v>0</v>
      </c>
    </row>
    <row r="1649" spans="1:5" x14ac:dyDescent="0.45">
      <c r="A1649" t="s">
        <v>55</v>
      </c>
      <c r="B1649" t="s">
        <v>47</v>
      </c>
      <c r="C1649" t="s">
        <v>48</v>
      </c>
      <c r="D1649" t="s">
        <v>50</v>
      </c>
      <c r="E1649">
        <v>0</v>
      </c>
    </row>
    <row r="1650" spans="1:5" x14ac:dyDescent="0.45">
      <c r="A1650" t="s">
        <v>55</v>
      </c>
      <c r="B1650" t="s">
        <v>47</v>
      </c>
      <c r="C1650" t="s">
        <v>48</v>
      </c>
      <c r="D1650" t="s">
        <v>50</v>
      </c>
      <c r="E1650">
        <v>0</v>
      </c>
    </row>
    <row r="1651" spans="1:5" x14ac:dyDescent="0.45">
      <c r="A1651" t="s">
        <v>55</v>
      </c>
      <c r="B1651" t="s">
        <v>47</v>
      </c>
      <c r="C1651" t="s">
        <v>48</v>
      </c>
      <c r="D1651" t="s">
        <v>50</v>
      </c>
      <c r="E1651">
        <v>0</v>
      </c>
    </row>
    <row r="1652" spans="1:5" x14ac:dyDescent="0.45">
      <c r="A1652" t="s">
        <v>55</v>
      </c>
      <c r="B1652" t="s">
        <v>47</v>
      </c>
      <c r="C1652" t="s">
        <v>48</v>
      </c>
      <c r="D1652" t="s">
        <v>50</v>
      </c>
      <c r="E1652">
        <v>0</v>
      </c>
    </row>
    <row r="1653" spans="1:5" x14ac:dyDescent="0.45">
      <c r="A1653" t="s">
        <v>55</v>
      </c>
      <c r="B1653" t="s">
        <v>47</v>
      </c>
      <c r="C1653" t="s">
        <v>48</v>
      </c>
      <c r="D1653" t="s">
        <v>50</v>
      </c>
      <c r="E1653">
        <v>0</v>
      </c>
    </row>
    <row r="1654" spans="1:5" x14ac:dyDescent="0.45">
      <c r="A1654" t="s">
        <v>55</v>
      </c>
      <c r="B1654" t="s">
        <v>47</v>
      </c>
      <c r="C1654" t="s">
        <v>48</v>
      </c>
      <c r="D1654" t="s">
        <v>50</v>
      </c>
      <c r="E1654">
        <v>0</v>
      </c>
    </row>
    <row r="1655" spans="1:5" x14ac:dyDescent="0.45">
      <c r="A1655" t="s">
        <v>55</v>
      </c>
      <c r="B1655" t="s">
        <v>47</v>
      </c>
      <c r="C1655" t="s">
        <v>48</v>
      </c>
      <c r="D1655" t="s">
        <v>50</v>
      </c>
      <c r="E1655">
        <v>0</v>
      </c>
    </row>
    <row r="1656" spans="1:5" x14ac:dyDescent="0.45">
      <c r="A1656" t="s">
        <v>55</v>
      </c>
      <c r="B1656" t="s">
        <v>47</v>
      </c>
      <c r="C1656" t="s">
        <v>48</v>
      </c>
      <c r="D1656" t="s">
        <v>50</v>
      </c>
      <c r="E1656">
        <v>0</v>
      </c>
    </row>
    <row r="1657" spans="1:5" x14ac:dyDescent="0.45">
      <c r="A1657" t="s">
        <v>55</v>
      </c>
      <c r="B1657" t="s">
        <v>47</v>
      </c>
      <c r="C1657" t="s">
        <v>48</v>
      </c>
      <c r="D1657" t="s">
        <v>50</v>
      </c>
      <c r="E1657">
        <v>0</v>
      </c>
    </row>
    <row r="1658" spans="1:5" x14ac:dyDescent="0.45">
      <c r="A1658" t="s">
        <v>55</v>
      </c>
      <c r="B1658" t="s">
        <v>47</v>
      </c>
      <c r="C1658" t="s">
        <v>48</v>
      </c>
      <c r="D1658" t="s">
        <v>50</v>
      </c>
      <c r="E1658">
        <v>0</v>
      </c>
    </row>
    <row r="1659" spans="1:5" x14ac:dyDescent="0.45">
      <c r="A1659" t="s">
        <v>55</v>
      </c>
      <c r="B1659" t="s">
        <v>47</v>
      </c>
      <c r="C1659" t="s">
        <v>48</v>
      </c>
      <c r="D1659" t="s">
        <v>50</v>
      </c>
      <c r="E1659">
        <v>0</v>
      </c>
    </row>
    <row r="1660" spans="1:5" x14ac:dyDescent="0.45">
      <c r="A1660" t="s">
        <v>55</v>
      </c>
      <c r="B1660" t="s">
        <v>47</v>
      </c>
      <c r="C1660" t="s">
        <v>48</v>
      </c>
      <c r="D1660" t="s">
        <v>50</v>
      </c>
      <c r="E1660">
        <v>0</v>
      </c>
    </row>
    <row r="1661" spans="1:5" x14ac:dyDescent="0.45">
      <c r="A1661" t="s">
        <v>55</v>
      </c>
      <c r="B1661" t="s">
        <v>47</v>
      </c>
      <c r="C1661" t="s">
        <v>48</v>
      </c>
      <c r="D1661" t="s">
        <v>50</v>
      </c>
      <c r="E1661">
        <v>0</v>
      </c>
    </row>
    <row r="1662" spans="1:5" x14ac:dyDescent="0.45">
      <c r="A1662" t="s">
        <v>55</v>
      </c>
      <c r="B1662" t="s">
        <v>47</v>
      </c>
      <c r="C1662" t="s">
        <v>48</v>
      </c>
      <c r="D1662" t="s">
        <v>50</v>
      </c>
      <c r="E1662">
        <v>0</v>
      </c>
    </row>
    <row r="1663" spans="1:5" x14ac:dyDescent="0.45">
      <c r="A1663" t="s">
        <v>55</v>
      </c>
      <c r="B1663" t="s">
        <v>47</v>
      </c>
      <c r="C1663" t="s">
        <v>48</v>
      </c>
      <c r="D1663" t="s">
        <v>50</v>
      </c>
      <c r="E1663">
        <v>0</v>
      </c>
    </row>
    <row r="1664" spans="1:5" x14ac:dyDescent="0.45">
      <c r="A1664" t="s">
        <v>55</v>
      </c>
      <c r="B1664" t="s">
        <v>47</v>
      </c>
      <c r="C1664" t="s">
        <v>48</v>
      </c>
      <c r="D1664" t="s">
        <v>50</v>
      </c>
      <c r="E1664">
        <v>0</v>
      </c>
    </row>
    <row r="1665" spans="1:5" x14ac:dyDescent="0.45">
      <c r="A1665" t="s">
        <v>55</v>
      </c>
      <c r="B1665" t="s">
        <v>47</v>
      </c>
      <c r="C1665" t="s">
        <v>48</v>
      </c>
      <c r="D1665" t="s">
        <v>50</v>
      </c>
      <c r="E1665">
        <v>0</v>
      </c>
    </row>
    <row r="1666" spans="1:5" x14ac:dyDescent="0.45">
      <c r="A1666" t="s">
        <v>55</v>
      </c>
      <c r="B1666" t="s">
        <v>47</v>
      </c>
      <c r="C1666" t="s">
        <v>48</v>
      </c>
      <c r="D1666" t="s">
        <v>50</v>
      </c>
      <c r="E1666">
        <v>0</v>
      </c>
    </row>
    <row r="1667" spans="1:5" x14ac:dyDescent="0.45">
      <c r="A1667" t="s">
        <v>55</v>
      </c>
      <c r="B1667" t="s">
        <v>47</v>
      </c>
      <c r="C1667" t="s">
        <v>48</v>
      </c>
      <c r="D1667" t="s">
        <v>50</v>
      </c>
      <c r="E1667">
        <v>0</v>
      </c>
    </row>
    <row r="1668" spans="1:5" x14ac:dyDescent="0.45">
      <c r="A1668" t="s">
        <v>55</v>
      </c>
      <c r="B1668" t="s">
        <v>47</v>
      </c>
      <c r="C1668" t="s">
        <v>48</v>
      </c>
      <c r="D1668" t="s">
        <v>50</v>
      </c>
      <c r="E1668">
        <v>0</v>
      </c>
    </row>
    <row r="1669" spans="1:5" x14ac:dyDescent="0.45">
      <c r="A1669" t="s">
        <v>55</v>
      </c>
      <c r="B1669" t="s">
        <v>47</v>
      </c>
      <c r="C1669" t="s">
        <v>48</v>
      </c>
      <c r="D1669" t="s">
        <v>50</v>
      </c>
      <c r="E1669">
        <v>0</v>
      </c>
    </row>
    <row r="1670" spans="1:5" x14ac:dyDescent="0.45">
      <c r="A1670" t="s">
        <v>55</v>
      </c>
      <c r="B1670" t="s">
        <v>47</v>
      </c>
      <c r="C1670" t="s">
        <v>48</v>
      </c>
      <c r="D1670" t="s">
        <v>50</v>
      </c>
      <c r="E1670">
        <v>0</v>
      </c>
    </row>
    <row r="1671" spans="1:5" x14ac:dyDescent="0.45">
      <c r="A1671" t="s">
        <v>55</v>
      </c>
      <c r="B1671" t="s">
        <v>47</v>
      </c>
      <c r="C1671" t="s">
        <v>48</v>
      </c>
      <c r="D1671" t="s">
        <v>50</v>
      </c>
      <c r="E1671">
        <v>0</v>
      </c>
    </row>
    <row r="1672" spans="1:5" x14ac:dyDescent="0.45">
      <c r="A1672" t="s">
        <v>55</v>
      </c>
      <c r="B1672" t="s">
        <v>47</v>
      </c>
      <c r="C1672" t="s">
        <v>48</v>
      </c>
      <c r="D1672" t="s">
        <v>50</v>
      </c>
      <c r="E1672">
        <v>0</v>
      </c>
    </row>
    <row r="1673" spans="1:5" x14ac:dyDescent="0.45">
      <c r="A1673" t="s">
        <v>55</v>
      </c>
      <c r="B1673" t="s">
        <v>47</v>
      </c>
      <c r="C1673" t="s">
        <v>48</v>
      </c>
      <c r="D1673" t="s">
        <v>50</v>
      </c>
      <c r="E1673">
        <v>0</v>
      </c>
    </row>
    <row r="1674" spans="1:5" x14ac:dyDescent="0.45">
      <c r="A1674" t="s">
        <v>55</v>
      </c>
      <c r="B1674" t="s">
        <v>47</v>
      </c>
      <c r="C1674" t="s">
        <v>48</v>
      </c>
      <c r="D1674" t="s">
        <v>50</v>
      </c>
      <c r="E1674">
        <v>0</v>
      </c>
    </row>
    <row r="1675" spans="1:5" x14ac:dyDescent="0.45">
      <c r="A1675" t="s">
        <v>55</v>
      </c>
      <c r="B1675" t="s">
        <v>47</v>
      </c>
      <c r="C1675" t="s">
        <v>48</v>
      </c>
      <c r="D1675" t="s">
        <v>50</v>
      </c>
      <c r="E1675">
        <v>0</v>
      </c>
    </row>
    <row r="1676" spans="1:5" x14ac:dyDescent="0.45">
      <c r="A1676" t="s">
        <v>55</v>
      </c>
      <c r="B1676" t="s">
        <v>47</v>
      </c>
      <c r="C1676" t="s">
        <v>48</v>
      </c>
      <c r="D1676" t="s">
        <v>50</v>
      </c>
      <c r="E1676">
        <v>0</v>
      </c>
    </row>
    <row r="1677" spans="1:5" x14ac:dyDescent="0.45">
      <c r="A1677" t="s">
        <v>55</v>
      </c>
      <c r="B1677" t="s">
        <v>47</v>
      </c>
      <c r="C1677" t="s">
        <v>48</v>
      </c>
      <c r="D1677" t="s">
        <v>50</v>
      </c>
      <c r="E1677">
        <v>0</v>
      </c>
    </row>
    <row r="1678" spans="1:5" x14ac:dyDescent="0.45">
      <c r="A1678" t="s">
        <v>55</v>
      </c>
      <c r="B1678" t="s">
        <v>47</v>
      </c>
      <c r="C1678" t="s">
        <v>48</v>
      </c>
      <c r="D1678" t="s">
        <v>50</v>
      </c>
      <c r="E1678">
        <v>0</v>
      </c>
    </row>
    <row r="1679" spans="1:5" x14ac:dyDescent="0.45">
      <c r="A1679" t="s">
        <v>55</v>
      </c>
      <c r="B1679" t="s">
        <v>47</v>
      </c>
      <c r="C1679" t="s">
        <v>48</v>
      </c>
      <c r="D1679" t="s">
        <v>50</v>
      </c>
      <c r="E1679">
        <v>0</v>
      </c>
    </row>
    <row r="1680" spans="1:5" x14ac:dyDescent="0.45">
      <c r="A1680" t="s">
        <v>55</v>
      </c>
      <c r="B1680" t="s">
        <v>47</v>
      </c>
      <c r="C1680" t="s">
        <v>48</v>
      </c>
      <c r="D1680" t="s">
        <v>50</v>
      </c>
      <c r="E1680">
        <v>0</v>
      </c>
    </row>
    <row r="1681" spans="1:5" x14ac:dyDescent="0.45">
      <c r="A1681" t="s">
        <v>55</v>
      </c>
      <c r="B1681" t="s">
        <v>47</v>
      </c>
      <c r="C1681" t="s">
        <v>48</v>
      </c>
      <c r="D1681" t="s">
        <v>50</v>
      </c>
      <c r="E1681">
        <v>0</v>
      </c>
    </row>
    <row r="1682" spans="1:5" x14ac:dyDescent="0.45">
      <c r="A1682" t="s">
        <v>55</v>
      </c>
      <c r="B1682" t="s">
        <v>47</v>
      </c>
      <c r="C1682" t="s">
        <v>48</v>
      </c>
      <c r="D1682" t="s">
        <v>50</v>
      </c>
      <c r="E1682">
        <v>0</v>
      </c>
    </row>
    <row r="1683" spans="1:5" x14ac:dyDescent="0.45">
      <c r="A1683" t="s">
        <v>55</v>
      </c>
      <c r="B1683" t="s">
        <v>47</v>
      </c>
      <c r="C1683" t="s">
        <v>48</v>
      </c>
      <c r="D1683" t="s">
        <v>50</v>
      </c>
      <c r="E1683">
        <v>0</v>
      </c>
    </row>
    <row r="1684" spans="1:5" x14ac:dyDescent="0.45">
      <c r="A1684" t="s">
        <v>55</v>
      </c>
      <c r="B1684" t="s">
        <v>47</v>
      </c>
      <c r="C1684" t="s">
        <v>48</v>
      </c>
      <c r="D1684" t="s">
        <v>50</v>
      </c>
      <c r="E1684">
        <v>0</v>
      </c>
    </row>
    <row r="1685" spans="1:5" x14ac:dyDescent="0.45">
      <c r="A1685" t="s">
        <v>55</v>
      </c>
      <c r="B1685" t="s">
        <v>47</v>
      </c>
      <c r="C1685" t="s">
        <v>48</v>
      </c>
      <c r="D1685" t="s">
        <v>50</v>
      </c>
      <c r="E1685">
        <v>0</v>
      </c>
    </row>
    <row r="1686" spans="1:5" x14ac:dyDescent="0.45">
      <c r="A1686" t="s">
        <v>55</v>
      </c>
      <c r="B1686" t="s">
        <v>47</v>
      </c>
      <c r="C1686" t="s">
        <v>48</v>
      </c>
      <c r="D1686" t="s">
        <v>50</v>
      </c>
      <c r="E1686">
        <v>0</v>
      </c>
    </row>
    <row r="1687" spans="1:5" x14ac:dyDescent="0.45">
      <c r="A1687" t="s">
        <v>55</v>
      </c>
      <c r="B1687" t="s">
        <v>47</v>
      </c>
      <c r="C1687" t="s">
        <v>48</v>
      </c>
      <c r="D1687" t="s">
        <v>50</v>
      </c>
      <c r="E1687">
        <v>0</v>
      </c>
    </row>
    <row r="1688" spans="1:5" x14ac:dyDescent="0.45">
      <c r="A1688" t="s">
        <v>55</v>
      </c>
      <c r="B1688" t="s">
        <v>47</v>
      </c>
      <c r="C1688" t="s">
        <v>48</v>
      </c>
      <c r="D1688" t="s">
        <v>50</v>
      </c>
      <c r="E1688">
        <v>0</v>
      </c>
    </row>
    <row r="1689" spans="1:5" x14ac:dyDescent="0.45">
      <c r="A1689" t="s">
        <v>55</v>
      </c>
      <c r="B1689" t="s">
        <v>47</v>
      </c>
      <c r="C1689" t="s">
        <v>48</v>
      </c>
      <c r="D1689" t="s">
        <v>50</v>
      </c>
      <c r="E1689">
        <v>0</v>
      </c>
    </row>
    <row r="1690" spans="1:5" x14ac:dyDescent="0.45">
      <c r="A1690" t="s">
        <v>55</v>
      </c>
      <c r="B1690" t="s">
        <v>47</v>
      </c>
      <c r="C1690" t="s">
        <v>48</v>
      </c>
      <c r="D1690" t="s">
        <v>50</v>
      </c>
      <c r="E1690">
        <v>0</v>
      </c>
    </row>
    <row r="1691" spans="1:5" x14ac:dyDescent="0.45">
      <c r="A1691" t="s">
        <v>55</v>
      </c>
      <c r="B1691" t="s">
        <v>47</v>
      </c>
      <c r="C1691" t="s">
        <v>48</v>
      </c>
      <c r="D1691" t="s">
        <v>50</v>
      </c>
      <c r="E1691">
        <v>0</v>
      </c>
    </row>
    <row r="1692" spans="1:5" x14ac:dyDescent="0.45">
      <c r="A1692" t="s">
        <v>55</v>
      </c>
      <c r="B1692" t="s">
        <v>47</v>
      </c>
      <c r="C1692" t="s">
        <v>48</v>
      </c>
      <c r="D1692" t="s">
        <v>50</v>
      </c>
      <c r="E1692">
        <v>0</v>
      </c>
    </row>
    <row r="1693" spans="1:5" x14ac:dyDescent="0.45">
      <c r="A1693" t="s">
        <v>55</v>
      </c>
      <c r="B1693" t="s">
        <v>47</v>
      </c>
      <c r="C1693" t="s">
        <v>48</v>
      </c>
      <c r="D1693" t="s">
        <v>50</v>
      </c>
      <c r="E1693">
        <v>0</v>
      </c>
    </row>
    <row r="1694" spans="1:5" x14ac:dyDescent="0.45">
      <c r="A1694" t="s">
        <v>55</v>
      </c>
      <c r="B1694" t="s">
        <v>47</v>
      </c>
      <c r="C1694" t="s">
        <v>48</v>
      </c>
      <c r="D1694" t="s">
        <v>50</v>
      </c>
      <c r="E1694">
        <v>0</v>
      </c>
    </row>
    <row r="1695" spans="1:5" x14ac:dyDescent="0.45">
      <c r="A1695" t="s">
        <v>55</v>
      </c>
      <c r="B1695" t="s">
        <v>47</v>
      </c>
      <c r="C1695" t="s">
        <v>48</v>
      </c>
      <c r="D1695" t="s">
        <v>50</v>
      </c>
      <c r="E1695">
        <v>0</v>
      </c>
    </row>
    <row r="1696" spans="1:5" x14ac:dyDescent="0.45">
      <c r="A1696" t="s">
        <v>55</v>
      </c>
      <c r="B1696" t="s">
        <v>47</v>
      </c>
      <c r="C1696" t="s">
        <v>48</v>
      </c>
      <c r="D1696" t="s">
        <v>50</v>
      </c>
      <c r="E1696">
        <v>0</v>
      </c>
    </row>
    <row r="1697" spans="1:5" x14ac:dyDescent="0.45">
      <c r="A1697" t="s">
        <v>55</v>
      </c>
      <c r="B1697" t="s">
        <v>47</v>
      </c>
      <c r="C1697" t="s">
        <v>48</v>
      </c>
      <c r="D1697" t="s">
        <v>50</v>
      </c>
      <c r="E1697">
        <v>0</v>
      </c>
    </row>
    <row r="1698" spans="1:5" x14ac:dyDescent="0.45">
      <c r="A1698" t="s">
        <v>55</v>
      </c>
      <c r="B1698" t="s">
        <v>47</v>
      </c>
      <c r="C1698" t="s">
        <v>48</v>
      </c>
      <c r="D1698" t="s">
        <v>50</v>
      </c>
      <c r="E1698">
        <v>0</v>
      </c>
    </row>
    <row r="1699" spans="1:5" x14ac:dyDescent="0.45">
      <c r="A1699" t="s">
        <v>55</v>
      </c>
      <c r="B1699" t="s">
        <v>47</v>
      </c>
      <c r="C1699" t="s">
        <v>48</v>
      </c>
      <c r="D1699" t="s">
        <v>50</v>
      </c>
      <c r="E1699">
        <v>0</v>
      </c>
    </row>
    <row r="1700" spans="1:5" x14ac:dyDescent="0.45">
      <c r="A1700" t="s">
        <v>55</v>
      </c>
      <c r="B1700" t="s">
        <v>47</v>
      </c>
      <c r="C1700" t="s">
        <v>48</v>
      </c>
      <c r="D1700" t="s">
        <v>50</v>
      </c>
      <c r="E1700">
        <v>0</v>
      </c>
    </row>
    <row r="1701" spans="1:5" x14ac:dyDescent="0.45">
      <c r="A1701" t="s">
        <v>55</v>
      </c>
      <c r="B1701" t="s">
        <v>47</v>
      </c>
      <c r="C1701" t="s">
        <v>48</v>
      </c>
      <c r="D1701" t="s">
        <v>50</v>
      </c>
      <c r="E1701">
        <v>0</v>
      </c>
    </row>
    <row r="1702" spans="1:5" x14ac:dyDescent="0.45">
      <c r="A1702" t="s">
        <v>55</v>
      </c>
      <c r="B1702" t="s">
        <v>47</v>
      </c>
      <c r="C1702" t="s">
        <v>48</v>
      </c>
      <c r="D1702" t="s">
        <v>50</v>
      </c>
      <c r="E1702">
        <v>0</v>
      </c>
    </row>
    <row r="1703" spans="1:5" x14ac:dyDescent="0.45">
      <c r="A1703" t="s">
        <v>55</v>
      </c>
      <c r="B1703" t="s">
        <v>47</v>
      </c>
      <c r="C1703" t="s">
        <v>48</v>
      </c>
      <c r="D1703" t="s">
        <v>50</v>
      </c>
      <c r="E1703">
        <v>0</v>
      </c>
    </row>
    <row r="1704" spans="1:5" x14ac:dyDescent="0.45">
      <c r="A1704" t="s">
        <v>55</v>
      </c>
      <c r="B1704" t="s">
        <v>47</v>
      </c>
      <c r="C1704" t="s">
        <v>48</v>
      </c>
      <c r="D1704" t="s">
        <v>50</v>
      </c>
      <c r="E1704">
        <v>0</v>
      </c>
    </row>
    <row r="1705" spans="1:5" x14ac:dyDescent="0.45">
      <c r="A1705" t="s">
        <v>55</v>
      </c>
      <c r="B1705" t="s">
        <v>47</v>
      </c>
      <c r="C1705" t="s">
        <v>48</v>
      </c>
      <c r="D1705" t="s">
        <v>50</v>
      </c>
      <c r="E1705">
        <v>0</v>
      </c>
    </row>
    <row r="1706" spans="1:5" x14ac:dyDescent="0.45">
      <c r="A1706" t="s">
        <v>55</v>
      </c>
      <c r="B1706" t="s">
        <v>47</v>
      </c>
      <c r="C1706" t="s">
        <v>48</v>
      </c>
      <c r="D1706" t="s">
        <v>50</v>
      </c>
      <c r="E1706">
        <v>0</v>
      </c>
    </row>
    <row r="1707" spans="1:5" x14ac:dyDescent="0.45">
      <c r="A1707" t="s">
        <v>55</v>
      </c>
      <c r="B1707" t="s">
        <v>47</v>
      </c>
      <c r="C1707" t="s">
        <v>48</v>
      </c>
      <c r="D1707" t="s">
        <v>50</v>
      </c>
      <c r="E1707">
        <v>0</v>
      </c>
    </row>
    <row r="1708" spans="1:5" x14ac:dyDescent="0.45">
      <c r="A1708" t="s">
        <v>55</v>
      </c>
      <c r="B1708" t="s">
        <v>47</v>
      </c>
      <c r="C1708" t="s">
        <v>48</v>
      </c>
      <c r="D1708" t="s">
        <v>50</v>
      </c>
      <c r="E1708">
        <v>0</v>
      </c>
    </row>
    <row r="1709" spans="1:5" x14ac:dyDescent="0.45">
      <c r="A1709" t="s">
        <v>55</v>
      </c>
      <c r="B1709" t="s">
        <v>47</v>
      </c>
      <c r="C1709" t="s">
        <v>48</v>
      </c>
      <c r="D1709" t="s">
        <v>50</v>
      </c>
      <c r="E1709">
        <v>0</v>
      </c>
    </row>
    <row r="1710" spans="1:5" x14ac:dyDescent="0.45">
      <c r="A1710" t="s">
        <v>55</v>
      </c>
      <c r="B1710" t="s">
        <v>47</v>
      </c>
      <c r="C1710" t="s">
        <v>48</v>
      </c>
      <c r="D1710" t="s">
        <v>50</v>
      </c>
      <c r="E1710">
        <v>0</v>
      </c>
    </row>
    <row r="1711" spans="1:5" x14ac:dyDescent="0.45">
      <c r="A1711" t="s">
        <v>55</v>
      </c>
      <c r="B1711" t="s">
        <v>47</v>
      </c>
      <c r="C1711" t="s">
        <v>48</v>
      </c>
      <c r="D1711" t="s">
        <v>50</v>
      </c>
      <c r="E1711">
        <v>0</v>
      </c>
    </row>
    <row r="1712" spans="1:5" x14ac:dyDescent="0.45">
      <c r="A1712" t="s">
        <v>55</v>
      </c>
      <c r="B1712" t="s">
        <v>47</v>
      </c>
      <c r="C1712" t="s">
        <v>48</v>
      </c>
      <c r="D1712" t="s">
        <v>50</v>
      </c>
      <c r="E1712">
        <v>0</v>
      </c>
    </row>
    <row r="1713" spans="1:5" x14ac:dyDescent="0.45">
      <c r="A1713" t="s">
        <v>55</v>
      </c>
      <c r="B1713" t="s">
        <v>47</v>
      </c>
      <c r="C1713" t="s">
        <v>48</v>
      </c>
      <c r="D1713" t="s">
        <v>50</v>
      </c>
      <c r="E1713">
        <v>0</v>
      </c>
    </row>
    <row r="1714" spans="1:5" x14ac:dyDescent="0.45">
      <c r="A1714" t="s">
        <v>55</v>
      </c>
      <c r="B1714" t="s">
        <v>47</v>
      </c>
      <c r="C1714" t="s">
        <v>48</v>
      </c>
      <c r="D1714" t="s">
        <v>50</v>
      </c>
      <c r="E1714">
        <v>0</v>
      </c>
    </row>
    <row r="1715" spans="1:5" x14ac:dyDescent="0.45">
      <c r="A1715" t="s">
        <v>55</v>
      </c>
      <c r="B1715" t="s">
        <v>47</v>
      </c>
      <c r="C1715" t="s">
        <v>48</v>
      </c>
      <c r="D1715" t="s">
        <v>50</v>
      </c>
      <c r="E1715">
        <v>0</v>
      </c>
    </row>
    <row r="1716" spans="1:5" x14ac:dyDescent="0.45">
      <c r="A1716" t="s">
        <v>55</v>
      </c>
      <c r="B1716" t="s">
        <v>47</v>
      </c>
      <c r="C1716" t="s">
        <v>48</v>
      </c>
      <c r="D1716" t="s">
        <v>50</v>
      </c>
      <c r="E1716">
        <v>0</v>
      </c>
    </row>
    <row r="1717" spans="1:5" x14ac:dyDescent="0.45">
      <c r="A1717" t="s">
        <v>55</v>
      </c>
      <c r="B1717" t="s">
        <v>47</v>
      </c>
      <c r="C1717" t="s">
        <v>48</v>
      </c>
      <c r="D1717" t="s">
        <v>50</v>
      </c>
      <c r="E1717">
        <v>0</v>
      </c>
    </row>
    <row r="1718" spans="1:5" x14ac:dyDescent="0.45">
      <c r="A1718" t="s">
        <v>55</v>
      </c>
      <c r="B1718" t="s">
        <v>47</v>
      </c>
      <c r="C1718" t="s">
        <v>48</v>
      </c>
      <c r="D1718" t="s">
        <v>50</v>
      </c>
      <c r="E1718">
        <v>0</v>
      </c>
    </row>
    <row r="1719" spans="1:5" x14ac:dyDescent="0.45">
      <c r="A1719" t="s">
        <v>55</v>
      </c>
      <c r="B1719" t="s">
        <v>47</v>
      </c>
      <c r="C1719" t="s">
        <v>48</v>
      </c>
      <c r="D1719" t="s">
        <v>50</v>
      </c>
      <c r="E1719">
        <v>0</v>
      </c>
    </row>
    <row r="1720" spans="1:5" x14ac:dyDescent="0.45">
      <c r="A1720" t="s">
        <v>55</v>
      </c>
      <c r="B1720" t="s">
        <v>47</v>
      </c>
      <c r="C1720" t="s">
        <v>48</v>
      </c>
      <c r="D1720" t="s">
        <v>50</v>
      </c>
      <c r="E1720">
        <v>0</v>
      </c>
    </row>
    <row r="1721" spans="1:5" x14ac:dyDescent="0.45">
      <c r="A1721" t="s">
        <v>55</v>
      </c>
      <c r="B1721" t="s">
        <v>47</v>
      </c>
      <c r="C1721" t="s">
        <v>48</v>
      </c>
      <c r="D1721" t="s">
        <v>50</v>
      </c>
      <c r="E1721">
        <v>0</v>
      </c>
    </row>
    <row r="1722" spans="1:5" x14ac:dyDescent="0.45">
      <c r="A1722" t="s">
        <v>55</v>
      </c>
      <c r="B1722" t="s">
        <v>47</v>
      </c>
      <c r="C1722" t="s">
        <v>48</v>
      </c>
      <c r="D1722" t="s">
        <v>50</v>
      </c>
      <c r="E1722">
        <v>0</v>
      </c>
    </row>
    <row r="1723" spans="1:5" x14ac:dyDescent="0.45">
      <c r="A1723" t="s">
        <v>55</v>
      </c>
      <c r="B1723" t="s">
        <v>47</v>
      </c>
      <c r="C1723" t="s">
        <v>48</v>
      </c>
      <c r="D1723" t="s">
        <v>50</v>
      </c>
      <c r="E1723">
        <v>0</v>
      </c>
    </row>
    <row r="1724" spans="1:5" x14ac:dyDescent="0.45">
      <c r="A1724" t="s">
        <v>55</v>
      </c>
      <c r="B1724" t="s">
        <v>47</v>
      </c>
      <c r="C1724" t="s">
        <v>48</v>
      </c>
      <c r="D1724" t="s">
        <v>50</v>
      </c>
      <c r="E1724">
        <v>0</v>
      </c>
    </row>
    <row r="1725" spans="1:5" x14ac:dyDescent="0.45">
      <c r="A1725" t="s">
        <v>55</v>
      </c>
      <c r="B1725" t="s">
        <v>47</v>
      </c>
      <c r="C1725" t="s">
        <v>48</v>
      </c>
      <c r="D1725" t="s">
        <v>50</v>
      </c>
      <c r="E1725">
        <v>0</v>
      </c>
    </row>
    <row r="1726" spans="1:5" x14ac:dyDescent="0.45">
      <c r="A1726" t="s">
        <v>55</v>
      </c>
      <c r="B1726" t="s">
        <v>47</v>
      </c>
      <c r="C1726" t="s">
        <v>48</v>
      </c>
      <c r="D1726" t="s">
        <v>50</v>
      </c>
      <c r="E1726">
        <v>0</v>
      </c>
    </row>
    <row r="1727" spans="1:5" x14ac:dyDescent="0.45">
      <c r="A1727" t="s">
        <v>55</v>
      </c>
      <c r="B1727" t="s">
        <v>47</v>
      </c>
      <c r="C1727" t="s">
        <v>48</v>
      </c>
      <c r="D1727" t="s">
        <v>50</v>
      </c>
      <c r="E1727">
        <v>0</v>
      </c>
    </row>
    <row r="1728" spans="1:5" x14ac:dyDescent="0.45">
      <c r="A1728" t="s">
        <v>55</v>
      </c>
      <c r="B1728" t="s">
        <v>47</v>
      </c>
      <c r="C1728" t="s">
        <v>48</v>
      </c>
      <c r="D1728" t="s">
        <v>50</v>
      </c>
      <c r="E1728">
        <v>0</v>
      </c>
    </row>
    <row r="1729" spans="1:5" x14ac:dyDescent="0.45">
      <c r="A1729" t="s">
        <v>55</v>
      </c>
      <c r="B1729" t="s">
        <v>47</v>
      </c>
      <c r="C1729" t="s">
        <v>48</v>
      </c>
      <c r="D1729" t="s">
        <v>50</v>
      </c>
      <c r="E1729">
        <v>0</v>
      </c>
    </row>
    <row r="1730" spans="1:5" x14ac:dyDescent="0.45">
      <c r="A1730" t="s">
        <v>55</v>
      </c>
      <c r="B1730" t="s">
        <v>47</v>
      </c>
      <c r="C1730" t="s">
        <v>48</v>
      </c>
      <c r="D1730" t="s">
        <v>50</v>
      </c>
      <c r="E1730">
        <v>0</v>
      </c>
    </row>
    <row r="1731" spans="1:5" x14ac:dyDescent="0.45">
      <c r="A1731" t="s">
        <v>55</v>
      </c>
      <c r="B1731" t="s">
        <v>47</v>
      </c>
      <c r="C1731" t="s">
        <v>48</v>
      </c>
      <c r="D1731" t="s">
        <v>50</v>
      </c>
      <c r="E1731">
        <v>0</v>
      </c>
    </row>
    <row r="1732" spans="1:5" x14ac:dyDescent="0.45">
      <c r="A1732" t="s">
        <v>55</v>
      </c>
      <c r="B1732" t="s">
        <v>47</v>
      </c>
      <c r="C1732" t="s">
        <v>48</v>
      </c>
      <c r="D1732" t="s">
        <v>50</v>
      </c>
      <c r="E1732">
        <v>0</v>
      </c>
    </row>
    <row r="1733" spans="1:5" x14ac:dyDescent="0.45">
      <c r="A1733" t="s">
        <v>55</v>
      </c>
      <c r="B1733" t="s">
        <v>47</v>
      </c>
      <c r="C1733" t="s">
        <v>48</v>
      </c>
      <c r="D1733" t="s">
        <v>50</v>
      </c>
      <c r="E1733">
        <v>0</v>
      </c>
    </row>
    <row r="1734" spans="1:5" x14ac:dyDescent="0.45">
      <c r="A1734" t="s">
        <v>55</v>
      </c>
      <c r="B1734" t="s">
        <v>47</v>
      </c>
      <c r="C1734" t="s">
        <v>48</v>
      </c>
      <c r="D1734" t="s">
        <v>50</v>
      </c>
      <c r="E1734">
        <v>0</v>
      </c>
    </row>
    <row r="1735" spans="1:5" x14ac:dyDescent="0.45">
      <c r="A1735" t="s">
        <v>55</v>
      </c>
      <c r="B1735" t="s">
        <v>47</v>
      </c>
      <c r="C1735" t="s">
        <v>48</v>
      </c>
      <c r="D1735" t="s">
        <v>50</v>
      </c>
      <c r="E1735">
        <v>0</v>
      </c>
    </row>
    <row r="1736" spans="1:5" x14ac:dyDescent="0.45">
      <c r="A1736" t="s">
        <v>55</v>
      </c>
      <c r="B1736" t="s">
        <v>47</v>
      </c>
      <c r="C1736" t="s">
        <v>48</v>
      </c>
      <c r="D1736" t="s">
        <v>50</v>
      </c>
      <c r="E1736">
        <v>0</v>
      </c>
    </row>
    <row r="1737" spans="1:5" x14ac:dyDescent="0.45">
      <c r="A1737" t="s">
        <v>55</v>
      </c>
      <c r="B1737" t="s">
        <v>47</v>
      </c>
      <c r="C1737" t="s">
        <v>48</v>
      </c>
      <c r="D1737" t="s">
        <v>50</v>
      </c>
      <c r="E1737">
        <v>0</v>
      </c>
    </row>
    <row r="1738" spans="1:5" x14ac:dyDescent="0.45">
      <c r="A1738" t="s">
        <v>55</v>
      </c>
      <c r="B1738" t="s">
        <v>47</v>
      </c>
      <c r="C1738" t="s">
        <v>48</v>
      </c>
      <c r="D1738" t="s">
        <v>50</v>
      </c>
      <c r="E1738">
        <v>0</v>
      </c>
    </row>
    <row r="1739" spans="1:5" x14ac:dyDescent="0.45">
      <c r="A1739" t="s">
        <v>55</v>
      </c>
      <c r="B1739" t="s">
        <v>47</v>
      </c>
      <c r="C1739" t="s">
        <v>48</v>
      </c>
      <c r="D1739" t="s">
        <v>50</v>
      </c>
      <c r="E1739">
        <v>0</v>
      </c>
    </row>
    <row r="1740" spans="1:5" x14ac:dyDescent="0.45">
      <c r="A1740" t="s">
        <v>55</v>
      </c>
      <c r="B1740" t="s">
        <v>47</v>
      </c>
      <c r="C1740" t="s">
        <v>48</v>
      </c>
      <c r="D1740" t="s">
        <v>50</v>
      </c>
      <c r="E1740">
        <v>0</v>
      </c>
    </row>
    <row r="1741" spans="1:5" x14ac:dyDescent="0.45">
      <c r="A1741" t="s">
        <v>55</v>
      </c>
      <c r="B1741" t="s">
        <v>47</v>
      </c>
      <c r="C1741" t="s">
        <v>48</v>
      </c>
      <c r="D1741" t="s">
        <v>50</v>
      </c>
      <c r="E1741">
        <v>0</v>
      </c>
    </row>
    <row r="1742" spans="1:5" x14ac:dyDescent="0.45">
      <c r="A1742" t="s">
        <v>55</v>
      </c>
      <c r="B1742" t="s">
        <v>47</v>
      </c>
      <c r="C1742" t="s">
        <v>48</v>
      </c>
      <c r="D1742" t="s">
        <v>50</v>
      </c>
      <c r="E1742">
        <v>0</v>
      </c>
    </row>
    <row r="1743" spans="1:5" x14ac:dyDescent="0.45">
      <c r="A1743" t="s">
        <v>55</v>
      </c>
      <c r="B1743" t="s">
        <v>47</v>
      </c>
      <c r="C1743" t="s">
        <v>48</v>
      </c>
      <c r="D1743" t="s">
        <v>50</v>
      </c>
      <c r="E1743">
        <v>0</v>
      </c>
    </row>
    <row r="1744" spans="1:5" x14ac:dyDescent="0.45">
      <c r="A1744" t="s">
        <v>55</v>
      </c>
      <c r="B1744" t="s">
        <v>47</v>
      </c>
      <c r="C1744" t="s">
        <v>48</v>
      </c>
      <c r="D1744" t="s">
        <v>50</v>
      </c>
      <c r="E1744">
        <v>0</v>
      </c>
    </row>
    <row r="1745" spans="1:5" x14ac:dyDescent="0.45">
      <c r="A1745" t="s">
        <v>55</v>
      </c>
      <c r="B1745" t="s">
        <v>47</v>
      </c>
      <c r="C1745" t="s">
        <v>48</v>
      </c>
      <c r="D1745" t="s">
        <v>50</v>
      </c>
      <c r="E1745">
        <v>0</v>
      </c>
    </row>
    <row r="1746" spans="1:5" x14ac:dyDescent="0.45">
      <c r="A1746" t="s">
        <v>55</v>
      </c>
      <c r="B1746" t="s">
        <v>47</v>
      </c>
      <c r="C1746" t="s">
        <v>48</v>
      </c>
      <c r="D1746" t="s">
        <v>50</v>
      </c>
      <c r="E1746">
        <v>0</v>
      </c>
    </row>
    <row r="1747" spans="1:5" x14ac:dyDescent="0.45">
      <c r="A1747" t="s">
        <v>55</v>
      </c>
      <c r="B1747" t="s">
        <v>47</v>
      </c>
      <c r="C1747" t="s">
        <v>48</v>
      </c>
      <c r="D1747" t="s">
        <v>50</v>
      </c>
      <c r="E1747">
        <v>0</v>
      </c>
    </row>
    <row r="1748" spans="1:5" x14ac:dyDescent="0.45">
      <c r="A1748" t="s">
        <v>55</v>
      </c>
      <c r="B1748" t="s">
        <v>47</v>
      </c>
      <c r="C1748" t="s">
        <v>48</v>
      </c>
      <c r="D1748" t="s">
        <v>50</v>
      </c>
      <c r="E1748">
        <v>0</v>
      </c>
    </row>
    <row r="1749" spans="1:5" x14ac:dyDescent="0.45">
      <c r="A1749" t="s">
        <v>55</v>
      </c>
      <c r="B1749" t="s">
        <v>47</v>
      </c>
      <c r="C1749" t="s">
        <v>48</v>
      </c>
      <c r="D1749" t="s">
        <v>50</v>
      </c>
      <c r="E1749">
        <v>0</v>
      </c>
    </row>
    <row r="1750" spans="1:5" x14ac:dyDescent="0.45">
      <c r="A1750" t="s">
        <v>55</v>
      </c>
      <c r="B1750" t="s">
        <v>47</v>
      </c>
      <c r="C1750" t="s">
        <v>48</v>
      </c>
      <c r="D1750" t="s">
        <v>50</v>
      </c>
      <c r="E1750">
        <v>0</v>
      </c>
    </row>
    <row r="1751" spans="1:5" x14ac:dyDescent="0.45">
      <c r="A1751" t="s">
        <v>55</v>
      </c>
      <c r="B1751" t="s">
        <v>47</v>
      </c>
      <c r="C1751" t="s">
        <v>48</v>
      </c>
      <c r="D1751" t="s">
        <v>50</v>
      </c>
      <c r="E1751">
        <v>0</v>
      </c>
    </row>
    <row r="1752" spans="1:5" x14ac:dyDescent="0.45">
      <c r="A1752" t="s">
        <v>55</v>
      </c>
      <c r="B1752" t="s">
        <v>47</v>
      </c>
      <c r="C1752" t="s">
        <v>48</v>
      </c>
      <c r="D1752" t="s">
        <v>50</v>
      </c>
      <c r="E1752">
        <v>0</v>
      </c>
    </row>
    <row r="1753" spans="1:5" x14ac:dyDescent="0.45">
      <c r="A1753" t="s">
        <v>55</v>
      </c>
      <c r="B1753" t="s">
        <v>47</v>
      </c>
      <c r="C1753" t="s">
        <v>48</v>
      </c>
      <c r="D1753" t="s">
        <v>50</v>
      </c>
      <c r="E1753">
        <v>0</v>
      </c>
    </row>
    <row r="1754" spans="1:5" x14ac:dyDescent="0.45">
      <c r="A1754" t="s">
        <v>55</v>
      </c>
      <c r="B1754" t="s">
        <v>47</v>
      </c>
      <c r="C1754" t="s">
        <v>48</v>
      </c>
      <c r="D1754" t="s">
        <v>50</v>
      </c>
      <c r="E1754">
        <v>0</v>
      </c>
    </row>
    <row r="1755" spans="1:5" x14ac:dyDescent="0.45">
      <c r="A1755" t="s">
        <v>55</v>
      </c>
      <c r="B1755" t="s">
        <v>47</v>
      </c>
      <c r="C1755" t="s">
        <v>48</v>
      </c>
      <c r="D1755" t="s">
        <v>50</v>
      </c>
      <c r="E1755">
        <v>0</v>
      </c>
    </row>
    <row r="1756" spans="1:5" x14ac:dyDescent="0.45">
      <c r="A1756" t="s">
        <v>55</v>
      </c>
      <c r="B1756" t="s">
        <v>47</v>
      </c>
      <c r="C1756" t="s">
        <v>48</v>
      </c>
      <c r="D1756" t="s">
        <v>50</v>
      </c>
      <c r="E1756">
        <v>0</v>
      </c>
    </row>
    <row r="1757" spans="1:5" x14ac:dyDescent="0.45">
      <c r="A1757" t="s">
        <v>55</v>
      </c>
      <c r="B1757" t="s">
        <v>47</v>
      </c>
      <c r="C1757" t="s">
        <v>48</v>
      </c>
      <c r="D1757" t="s">
        <v>50</v>
      </c>
      <c r="E1757">
        <v>0</v>
      </c>
    </row>
    <row r="1758" spans="1:5" x14ac:dyDescent="0.45">
      <c r="A1758" t="s">
        <v>55</v>
      </c>
      <c r="B1758" t="s">
        <v>47</v>
      </c>
      <c r="C1758" t="s">
        <v>48</v>
      </c>
      <c r="D1758" t="s">
        <v>50</v>
      </c>
      <c r="E1758">
        <v>0</v>
      </c>
    </row>
    <row r="1759" spans="1:5" x14ac:dyDescent="0.45">
      <c r="A1759" t="s">
        <v>55</v>
      </c>
      <c r="B1759" t="s">
        <v>47</v>
      </c>
      <c r="C1759" t="s">
        <v>48</v>
      </c>
      <c r="D1759" t="s">
        <v>50</v>
      </c>
      <c r="E1759">
        <v>0</v>
      </c>
    </row>
    <row r="1760" spans="1:5" x14ac:dyDescent="0.45">
      <c r="A1760" t="s">
        <v>55</v>
      </c>
      <c r="B1760" t="s">
        <v>47</v>
      </c>
      <c r="C1760" t="s">
        <v>48</v>
      </c>
      <c r="D1760" t="s">
        <v>50</v>
      </c>
      <c r="E1760">
        <v>0</v>
      </c>
    </row>
    <row r="1761" spans="1:5" x14ac:dyDescent="0.45">
      <c r="A1761" t="s">
        <v>55</v>
      </c>
      <c r="B1761" t="s">
        <v>47</v>
      </c>
      <c r="C1761" t="s">
        <v>48</v>
      </c>
      <c r="D1761" t="s">
        <v>50</v>
      </c>
      <c r="E1761">
        <v>0</v>
      </c>
    </row>
    <row r="1762" spans="1:5" x14ac:dyDescent="0.45">
      <c r="A1762" t="s">
        <v>55</v>
      </c>
      <c r="B1762" t="s">
        <v>47</v>
      </c>
      <c r="C1762" t="s">
        <v>48</v>
      </c>
      <c r="D1762" t="s">
        <v>50</v>
      </c>
      <c r="E1762">
        <v>0</v>
      </c>
    </row>
    <row r="1763" spans="1:5" x14ac:dyDescent="0.45">
      <c r="A1763" t="s">
        <v>55</v>
      </c>
      <c r="B1763" t="s">
        <v>47</v>
      </c>
      <c r="C1763" t="s">
        <v>48</v>
      </c>
      <c r="D1763" t="s">
        <v>50</v>
      </c>
      <c r="E1763">
        <v>0</v>
      </c>
    </row>
    <row r="1764" spans="1:5" x14ac:dyDescent="0.45">
      <c r="A1764" t="s">
        <v>55</v>
      </c>
      <c r="B1764" t="s">
        <v>47</v>
      </c>
      <c r="C1764" t="s">
        <v>48</v>
      </c>
      <c r="D1764" t="s">
        <v>50</v>
      </c>
      <c r="E1764">
        <v>0</v>
      </c>
    </row>
    <row r="1765" spans="1:5" x14ac:dyDescent="0.45">
      <c r="A1765" t="s">
        <v>55</v>
      </c>
      <c r="B1765" t="s">
        <v>47</v>
      </c>
      <c r="C1765" t="s">
        <v>48</v>
      </c>
      <c r="D1765" t="s">
        <v>50</v>
      </c>
      <c r="E1765">
        <v>0</v>
      </c>
    </row>
    <row r="1766" spans="1:5" x14ac:dyDescent="0.45">
      <c r="A1766" t="s">
        <v>55</v>
      </c>
      <c r="B1766" t="s">
        <v>47</v>
      </c>
      <c r="C1766" t="s">
        <v>48</v>
      </c>
      <c r="D1766" t="s">
        <v>50</v>
      </c>
      <c r="E1766">
        <v>0</v>
      </c>
    </row>
    <row r="1767" spans="1:5" x14ac:dyDescent="0.45">
      <c r="A1767" t="s">
        <v>55</v>
      </c>
      <c r="B1767" t="s">
        <v>47</v>
      </c>
      <c r="C1767" t="s">
        <v>48</v>
      </c>
      <c r="D1767" t="s">
        <v>50</v>
      </c>
      <c r="E1767">
        <v>0</v>
      </c>
    </row>
    <row r="1768" spans="1:5" x14ac:dyDescent="0.45">
      <c r="A1768" t="s">
        <v>55</v>
      </c>
      <c r="B1768" t="s">
        <v>47</v>
      </c>
      <c r="C1768" t="s">
        <v>48</v>
      </c>
      <c r="D1768" t="s">
        <v>50</v>
      </c>
      <c r="E1768">
        <v>0</v>
      </c>
    </row>
    <row r="1769" spans="1:5" x14ac:dyDescent="0.45">
      <c r="A1769" t="s">
        <v>55</v>
      </c>
      <c r="B1769" t="s">
        <v>47</v>
      </c>
      <c r="C1769" t="s">
        <v>48</v>
      </c>
      <c r="D1769" t="s">
        <v>50</v>
      </c>
      <c r="E1769">
        <v>0</v>
      </c>
    </row>
    <row r="1770" spans="1:5" x14ac:dyDescent="0.45">
      <c r="A1770" t="s">
        <v>55</v>
      </c>
      <c r="B1770" t="s">
        <v>47</v>
      </c>
      <c r="C1770" t="s">
        <v>48</v>
      </c>
      <c r="D1770" t="s">
        <v>50</v>
      </c>
      <c r="E1770">
        <v>0</v>
      </c>
    </row>
    <row r="1771" spans="1:5" x14ac:dyDescent="0.45">
      <c r="A1771" t="s">
        <v>55</v>
      </c>
      <c r="B1771" t="s">
        <v>47</v>
      </c>
      <c r="C1771" t="s">
        <v>48</v>
      </c>
      <c r="D1771" t="s">
        <v>50</v>
      </c>
      <c r="E1771">
        <v>0</v>
      </c>
    </row>
    <row r="1772" spans="1:5" x14ac:dyDescent="0.45">
      <c r="A1772" t="s">
        <v>55</v>
      </c>
      <c r="B1772" t="s">
        <v>47</v>
      </c>
      <c r="C1772" t="s">
        <v>48</v>
      </c>
      <c r="D1772" t="s">
        <v>50</v>
      </c>
      <c r="E1772">
        <v>0</v>
      </c>
    </row>
    <row r="1773" spans="1:5" x14ac:dyDescent="0.45">
      <c r="A1773" t="s">
        <v>55</v>
      </c>
      <c r="B1773" t="s">
        <v>47</v>
      </c>
      <c r="C1773" t="s">
        <v>48</v>
      </c>
      <c r="D1773" t="s">
        <v>50</v>
      </c>
      <c r="E1773">
        <v>0</v>
      </c>
    </row>
    <row r="1774" spans="1:5" x14ac:dyDescent="0.45">
      <c r="A1774" t="s">
        <v>55</v>
      </c>
      <c r="B1774" t="s">
        <v>47</v>
      </c>
      <c r="C1774" t="s">
        <v>48</v>
      </c>
      <c r="D1774" t="s">
        <v>50</v>
      </c>
      <c r="E1774">
        <v>0</v>
      </c>
    </row>
    <row r="1775" spans="1:5" x14ac:dyDescent="0.45">
      <c r="A1775" t="s">
        <v>55</v>
      </c>
      <c r="B1775" t="s">
        <v>47</v>
      </c>
      <c r="C1775" t="s">
        <v>48</v>
      </c>
      <c r="D1775" t="s">
        <v>50</v>
      </c>
      <c r="E1775">
        <v>0</v>
      </c>
    </row>
    <row r="1776" spans="1:5" x14ac:dyDescent="0.45">
      <c r="A1776" t="s">
        <v>55</v>
      </c>
      <c r="B1776" t="s">
        <v>47</v>
      </c>
      <c r="C1776" t="s">
        <v>48</v>
      </c>
      <c r="D1776" t="s">
        <v>50</v>
      </c>
      <c r="E1776">
        <v>0</v>
      </c>
    </row>
    <row r="1777" spans="1:5" x14ac:dyDescent="0.45">
      <c r="A1777" t="s">
        <v>55</v>
      </c>
      <c r="B1777" t="s">
        <v>47</v>
      </c>
      <c r="C1777" t="s">
        <v>48</v>
      </c>
      <c r="D1777" t="s">
        <v>50</v>
      </c>
      <c r="E1777">
        <v>0</v>
      </c>
    </row>
    <row r="1778" spans="1:5" x14ac:dyDescent="0.45">
      <c r="A1778" t="s">
        <v>55</v>
      </c>
      <c r="B1778" t="s">
        <v>47</v>
      </c>
      <c r="C1778" t="s">
        <v>48</v>
      </c>
      <c r="D1778" t="s">
        <v>50</v>
      </c>
      <c r="E1778">
        <v>0</v>
      </c>
    </row>
    <row r="1779" spans="1:5" x14ac:dyDescent="0.45">
      <c r="A1779" t="s">
        <v>55</v>
      </c>
      <c r="B1779" t="s">
        <v>47</v>
      </c>
      <c r="C1779" t="s">
        <v>48</v>
      </c>
      <c r="D1779" t="s">
        <v>50</v>
      </c>
      <c r="E1779">
        <v>0</v>
      </c>
    </row>
    <row r="1780" spans="1:5" x14ac:dyDescent="0.45">
      <c r="A1780" t="s">
        <v>55</v>
      </c>
      <c r="B1780" t="s">
        <v>47</v>
      </c>
      <c r="C1780" t="s">
        <v>48</v>
      </c>
      <c r="D1780" t="s">
        <v>50</v>
      </c>
      <c r="E1780">
        <v>0</v>
      </c>
    </row>
    <row r="1781" spans="1:5" x14ac:dyDescent="0.45">
      <c r="A1781" t="s">
        <v>55</v>
      </c>
      <c r="B1781" t="s">
        <v>47</v>
      </c>
      <c r="C1781" t="s">
        <v>48</v>
      </c>
      <c r="D1781" t="s">
        <v>50</v>
      </c>
      <c r="E1781">
        <v>0</v>
      </c>
    </row>
    <row r="1782" spans="1:5" x14ac:dyDescent="0.45">
      <c r="A1782" t="s">
        <v>55</v>
      </c>
      <c r="B1782" t="s">
        <v>47</v>
      </c>
      <c r="C1782" t="s">
        <v>48</v>
      </c>
      <c r="D1782" t="s">
        <v>50</v>
      </c>
      <c r="E1782">
        <v>0</v>
      </c>
    </row>
    <row r="1783" spans="1:5" x14ac:dyDescent="0.45">
      <c r="A1783" t="s">
        <v>55</v>
      </c>
      <c r="B1783" t="s">
        <v>47</v>
      </c>
      <c r="C1783" t="s">
        <v>48</v>
      </c>
      <c r="D1783" t="s">
        <v>50</v>
      </c>
      <c r="E1783">
        <v>0</v>
      </c>
    </row>
    <row r="1784" spans="1:5" x14ac:dyDescent="0.45">
      <c r="A1784" t="s">
        <v>55</v>
      </c>
      <c r="B1784" t="s">
        <v>47</v>
      </c>
      <c r="C1784" t="s">
        <v>48</v>
      </c>
      <c r="D1784" t="s">
        <v>50</v>
      </c>
      <c r="E1784">
        <v>0</v>
      </c>
    </row>
    <row r="1785" spans="1:5" x14ac:dyDescent="0.45">
      <c r="A1785" t="s">
        <v>55</v>
      </c>
      <c r="B1785" t="s">
        <v>47</v>
      </c>
      <c r="C1785" t="s">
        <v>48</v>
      </c>
      <c r="D1785" t="s">
        <v>50</v>
      </c>
      <c r="E1785">
        <v>0</v>
      </c>
    </row>
    <row r="1786" spans="1:5" x14ac:dyDescent="0.45">
      <c r="A1786" t="s">
        <v>55</v>
      </c>
      <c r="B1786" t="s">
        <v>47</v>
      </c>
      <c r="C1786" t="s">
        <v>48</v>
      </c>
      <c r="D1786" t="s">
        <v>50</v>
      </c>
      <c r="E1786">
        <v>0</v>
      </c>
    </row>
    <row r="1787" spans="1:5" x14ac:dyDescent="0.45">
      <c r="A1787" t="s">
        <v>55</v>
      </c>
      <c r="B1787" t="s">
        <v>47</v>
      </c>
      <c r="C1787" t="s">
        <v>48</v>
      </c>
      <c r="D1787" t="s">
        <v>50</v>
      </c>
      <c r="E1787">
        <v>0</v>
      </c>
    </row>
    <row r="1788" spans="1:5" x14ac:dyDescent="0.45">
      <c r="A1788" t="s">
        <v>55</v>
      </c>
      <c r="B1788" t="s">
        <v>47</v>
      </c>
      <c r="C1788" t="s">
        <v>48</v>
      </c>
      <c r="D1788" t="s">
        <v>50</v>
      </c>
      <c r="E1788">
        <v>0</v>
      </c>
    </row>
    <row r="1789" spans="1:5" x14ac:dyDescent="0.45">
      <c r="A1789" t="s">
        <v>55</v>
      </c>
      <c r="B1789" t="s">
        <v>47</v>
      </c>
      <c r="C1789" t="s">
        <v>48</v>
      </c>
      <c r="D1789" t="s">
        <v>50</v>
      </c>
      <c r="E1789">
        <v>0</v>
      </c>
    </row>
    <row r="1790" spans="1:5" x14ac:dyDescent="0.45">
      <c r="A1790" t="s">
        <v>55</v>
      </c>
      <c r="B1790" t="s">
        <v>47</v>
      </c>
      <c r="C1790" t="s">
        <v>48</v>
      </c>
      <c r="D1790" t="s">
        <v>50</v>
      </c>
      <c r="E1790">
        <v>0</v>
      </c>
    </row>
    <row r="1791" spans="1:5" x14ac:dyDescent="0.45">
      <c r="A1791" t="s">
        <v>55</v>
      </c>
      <c r="B1791" t="s">
        <v>47</v>
      </c>
      <c r="C1791" t="s">
        <v>48</v>
      </c>
      <c r="D1791" t="s">
        <v>50</v>
      </c>
      <c r="E1791">
        <v>0</v>
      </c>
    </row>
    <row r="1792" spans="1:5" x14ac:dyDescent="0.45">
      <c r="A1792" t="s">
        <v>55</v>
      </c>
      <c r="B1792" t="s">
        <v>47</v>
      </c>
      <c r="C1792" t="s">
        <v>48</v>
      </c>
      <c r="D1792" t="s">
        <v>50</v>
      </c>
      <c r="E1792">
        <v>0</v>
      </c>
    </row>
    <row r="1793" spans="1:5" x14ac:dyDescent="0.45">
      <c r="A1793" t="s">
        <v>55</v>
      </c>
      <c r="B1793" t="s">
        <v>47</v>
      </c>
      <c r="C1793" t="s">
        <v>48</v>
      </c>
      <c r="D1793" t="s">
        <v>50</v>
      </c>
      <c r="E1793">
        <v>0</v>
      </c>
    </row>
    <row r="1794" spans="1:5" x14ac:dyDescent="0.45">
      <c r="A1794" t="s">
        <v>55</v>
      </c>
      <c r="B1794" t="s">
        <v>47</v>
      </c>
      <c r="C1794" t="s">
        <v>48</v>
      </c>
      <c r="D1794" t="s">
        <v>50</v>
      </c>
      <c r="E1794">
        <v>0</v>
      </c>
    </row>
    <row r="1795" spans="1:5" x14ac:dyDescent="0.45">
      <c r="A1795" t="s">
        <v>55</v>
      </c>
      <c r="B1795" t="s">
        <v>47</v>
      </c>
      <c r="C1795" t="s">
        <v>48</v>
      </c>
      <c r="D1795" t="s">
        <v>50</v>
      </c>
      <c r="E1795">
        <v>0</v>
      </c>
    </row>
    <row r="1796" spans="1:5" x14ac:dyDescent="0.45">
      <c r="A1796" t="s">
        <v>55</v>
      </c>
      <c r="B1796" t="s">
        <v>47</v>
      </c>
      <c r="C1796" t="s">
        <v>48</v>
      </c>
      <c r="D1796" t="s">
        <v>50</v>
      </c>
      <c r="E1796">
        <v>0</v>
      </c>
    </row>
    <row r="1797" spans="1:5" x14ac:dyDescent="0.45">
      <c r="A1797" t="s">
        <v>55</v>
      </c>
      <c r="B1797" t="s">
        <v>47</v>
      </c>
      <c r="C1797" t="s">
        <v>48</v>
      </c>
      <c r="D1797" t="s">
        <v>50</v>
      </c>
      <c r="E1797">
        <v>0</v>
      </c>
    </row>
    <row r="1798" spans="1:5" x14ac:dyDescent="0.45">
      <c r="A1798" t="s">
        <v>55</v>
      </c>
      <c r="B1798" t="s">
        <v>47</v>
      </c>
      <c r="C1798" t="s">
        <v>48</v>
      </c>
      <c r="D1798" t="s">
        <v>50</v>
      </c>
      <c r="E1798">
        <v>0</v>
      </c>
    </row>
    <row r="1799" spans="1:5" x14ac:dyDescent="0.45">
      <c r="A1799" t="s">
        <v>55</v>
      </c>
      <c r="B1799" t="s">
        <v>47</v>
      </c>
      <c r="C1799" t="s">
        <v>48</v>
      </c>
      <c r="D1799" t="s">
        <v>50</v>
      </c>
      <c r="E1799">
        <v>0</v>
      </c>
    </row>
    <row r="1800" spans="1:5" x14ac:dyDescent="0.45">
      <c r="A1800" t="s">
        <v>55</v>
      </c>
      <c r="B1800" t="s">
        <v>47</v>
      </c>
      <c r="C1800" t="s">
        <v>48</v>
      </c>
      <c r="D1800" t="s">
        <v>50</v>
      </c>
      <c r="E1800">
        <v>0</v>
      </c>
    </row>
    <row r="1801" spans="1:5" x14ac:dyDescent="0.45">
      <c r="A1801" t="s">
        <v>55</v>
      </c>
      <c r="B1801" t="s">
        <v>47</v>
      </c>
      <c r="C1801" t="s">
        <v>48</v>
      </c>
      <c r="D1801" t="s">
        <v>50</v>
      </c>
      <c r="E1801">
        <v>0</v>
      </c>
    </row>
    <row r="1802" spans="1:5" x14ac:dyDescent="0.45">
      <c r="A1802" t="s">
        <v>55</v>
      </c>
      <c r="B1802" t="s">
        <v>47</v>
      </c>
      <c r="C1802" t="s">
        <v>48</v>
      </c>
      <c r="D1802" t="s">
        <v>50</v>
      </c>
      <c r="E1802">
        <v>0</v>
      </c>
    </row>
    <row r="1803" spans="1:5" x14ac:dyDescent="0.45">
      <c r="A1803" t="s">
        <v>55</v>
      </c>
      <c r="B1803" t="s">
        <v>47</v>
      </c>
      <c r="C1803" t="s">
        <v>48</v>
      </c>
      <c r="D1803" t="s">
        <v>50</v>
      </c>
      <c r="E1803">
        <v>0</v>
      </c>
    </row>
    <row r="1804" spans="1:5" x14ac:dyDescent="0.45">
      <c r="A1804" t="s">
        <v>55</v>
      </c>
      <c r="B1804" t="s">
        <v>47</v>
      </c>
      <c r="C1804" t="s">
        <v>48</v>
      </c>
      <c r="D1804" t="s">
        <v>50</v>
      </c>
      <c r="E1804">
        <v>0</v>
      </c>
    </row>
    <row r="1805" spans="1:5" x14ac:dyDescent="0.45">
      <c r="A1805" t="s">
        <v>55</v>
      </c>
      <c r="B1805" t="s">
        <v>47</v>
      </c>
      <c r="C1805" t="s">
        <v>48</v>
      </c>
      <c r="D1805" t="s">
        <v>50</v>
      </c>
      <c r="E1805">
        <v>0</v>
      </c>
    </row>
    <row r="1806" spans="1:5" x14ac:dyDescent="0.45">
      <c r="A1806" t="s">
        <v>55</v>
      </c>
      <c r="B1806" t="s">
        <v>47</v>
      </c>
      <c r="C1806" t="s">
        <v>48</v>
      </c>
      <c r="D1806" t="s">
        <v>50</v>
      </c>
      <c r="E1806">
        <v>0</v>
      </c>
    </row>
    <row r="1807" spans="1:5" x14ac:dyDescent="0.45">
      <c r="A1807" t="s">
        <v>55</v>
      </c>
      <c r="B1807" t="s">
        <v>47</v>
      </c>
      <c r="C1807" t="s">
        <v>48</v>
      </c>
      <c r="D1807" t="s">
        <v>50</v>
      </c>
      <c r="E1807">
        <v>0</v>
      </c>
    </row>
    <row r="1808" spans="1:5" x14ac:dyDescent="0.45">
      <c r="A1808" t="s">
        <v>55</v>
      </c>
      <c r="B1808" t="s">
        <v>47</v>
      </c>
      <c r="C1808" t="s">
        <v>48</v>
      </c>
      <c r="D1808" t="s">
        <v>50</v>
      </c>
      <c r="E1808">
        <v>0</v>
      </c>
    </row>
    <row r="1809" spans="1:5" x14ac:dyDescent="0.45">
      <c r="A1809" t="s">
        <v>55</v>
      </c>
      <c r="B1809" t="s">
        <v>47</v>
      </c>
      <c r="C1809" t="s">
        <v>48</v>
      </c>
      <c r="D1809" t="s">
        <v>50</v>
      </c>
      <c r="E1809">
        <v>0</v>
      </c>
    </row>
    <row r="1810" spans="1:5" x14ac:dyDescent="0.45">
      <c r="A1810" t="s">
        <v>55</v>
      </c>
      <c r="B1810" t="s">
        <v>47</v>
      </c>
      <c r="C1810" t="s">
        <v>48</v>
      </c>
      <c r="D1810" t="s">
        <v>50</v>
      </c>
      <c r="E1810">
        <v>0</v>
      </c>
    </row>
    <row r="1811" spans="1:5" x14ac:dyDescent="0.45">
      <c r="A1811" t="s">
        <v>55</v>
      </c>
      <c r="B1811" t="s">
        <v>47</v>
      </c>
      <c r="C1811" t="s">
        <v>48</v>
      </c>
      <c r="D1811" t="s">
        <v>50</v>
      </c>
      <c r="E1811">
        <v>0</v>
      </c>
    </row>
    <row r="1812" spans="1:5" x14ac:dyDescent="0.45">
      <c r="A1812" t="s">
        <v>55</v>
      </c>
      <c r="B1812" t="s">
        <v>47</v>
      </c>
      <c r="C1812" t="s">
        <v>48</v>
      </c>
      <c r="D1812" t="s">
        <v>50</v>
      </c>
      <c r="E1812">
        <v>0</v>
      </c>
    </row>
    <row r="1813" spans="1:5" x14ac:dyDescent="0.45">
      <c r="A1813" t="s">
        <v>55</v>
      </c>
      <c r="B1813" t="s">
        <v>47</v>
      </c>
      <c r="C1813" t="s">
        <v>48</v>
      </c>
      <c r="D1813" t="s">
        <v>50</v>
      </c>
      <c r="E1813">
        <v>0</v>
      </c>
    </row>
    <row r="1814" spans="1:5" x14ac:dyDescent="0.45">
      <c r="A1814" t="s">
        <v>55</v>
      </c>
      <c r="B1814" t="s">
        <v>47</v>
      </c>
      <c r="C1814" t="s">
        <v>48</v>
      </c>
      <c r="D1814" t="s">
        <v>50</v>
      </c>
      <c r="E1814">
        <v>0</v>
      </c>
    </row>
    <row r="1815" spans="1:5" x14ac:dyDescent="0.45">
      <c r="A1815" t="s">
        <v>55</v>
      </c>
      <c r="B1815" t="s">
        <v>47</v>
      </c>
      <c r="C1815" t="s">
        <v>48</v>
      </c>
      <c r="D1815" t="s">
        <v>50</v>
      </c>
      <c r="E1815">
        <v>0</v>
      </c>
    </row>
    <row r="1816" spans="1:5" x14ac:dyDescent="0.45">
      <c r="A1816" t="s">
        <v>55</v>
      </c>
      <c r="B1816" t="s">
        <v>47</v>
      </c>
      <c r="C1816" t="s">
        <v>48</v>
      </c>
      <c r="D1816" t="s">
        <v>50</v>
      </c>
      <c r="E1816">
        <v>0</v>
      </c>
    </row>
    <row r="1817" spans="1:5" x14ac:dyDescent="0.45">
      <c r="A1817" t="s">
        <v>55</v>
      </c>
      <c r="B1817" t="s">
        <v>47</v>
      </c>
      <c r="C1817" t="s">
        <v>48</v>
      </c>
      <c r="D1817" t="s">
        <v>50</v>
      </c>
      <c r="E1817">
        <v>0</v>
      </c>
    </row>
    <row r="1818" spans="1:5" x14ac:dyDescent="0.45">
      <c r="A1818" t="s">
        <v>55</v>
      </c>
      <c r="B1818" t="s">
        <v>47</v>
      </c>
      <c r="C1818" t="s">
        <v>48</v>
      </c>
      <c r="D1818" t="s">
        <v>50</v>
      </c>
      <c r="E1818">
        <v>0</v>
      </c>
    </row>
    <row r="1819" spans="1:5" x14ac:dyDescent="0.45">
      <c r="A1819" t="s">
        <v>55</v>
      </c>
      <c r="B1819" t="s">
        <v>47</v>
      </c>
      <c r="C1819" t="s">
        <v>48</v>
      </c>
      <c r="D1819" t="s">
        <v>50</v>
      </c>
      <c r="E1819">
        <v>0</v>
      </c>
    </row>
    <row r="1820" spans="1:5" x14ac:dyDescent="0.45">
      <c r="A1820" t="s">
        <v>55</v>
      </c>
      <c r="B1820" t="s">
        <v>47</v>
      </c>
      <c r="C1820" t="s">
        <v>48</v>
      </c>
      <c r="D1820" t="s">
        <v>50</v>
      </c>
      <c r="E1820">
        <v>0</v>
      </c>
    </row>
    <row r="1821" spans="1:5" x14ac:dyDescent="0.45">
      <c r="A1821" t="s">
        <v>55</v>
      </c>
      <c r="B1821" t="s">
        <v>47</v>
      </c>
      <c r="C1821" t="s">
        <v>48</v>
      </c>
      <c r="D1821" t="s">
        <v>50</v>
      </c>
      <c r="E1821">
        <v>0</v>
      </c>
    </row>
    <row r="1822" spans="1:5" x14ac:dyDescent="0.45">
      <c r="A1822" t="s">
        <v>55</v>
      </c>
      <c r="B1822" t="s">
        <v>47</v>
      </c>
      <c r="C1822" t="s">
        <v>48</v>
      </c>
      <c r="D1822" t="s">
        <v>50</v>
      </c>
      <c r="E1822">
        <v>0</v>
      </c>
    </row>
    <row r="1823" spans="1:5" x14ac:dyDescent="0.45">
      <c r="A1823" t="s">
        <v>55</v>
      </c>
      <c r="B1823" t="s">
        <v>47</v>
      </c>
      <c r="C1823" t="s">
        <v>48</v>
      </c>
      <c r="D1823" t="s">
        <v>50</v>
      </c>
      <c r="E1823">
        <v>0</v>
      </c>
    </row>
    <row r="1824" spans="1:5" x14ac:dyDescent="0.45">
      <c r="A1824" t="s">
        <v>55</v>
      </c>
      <c r="B1824" t="s">
        <v>47</v>
      </c>
      <c r="C1824" t="s">
        <v>48</v>
      </c>
      <c r="D1824" t="s">
        <v>50</v>
      </c>
      <c r="E1824">
        <v>0</v>
      </c>
    </row>
    <row r="1825" spans="1:5" x14ac:dyDescent="0.45">
      <c r="A1825" t="s">
        <v>55</v>
      </c>
      <c r="B1825" t="s">
        <v>47</v>
      </c>
      <c r="C1825" t="s">
        <v>48</v>
      </c>
      <c r="D1825" t="s">
        <v>50</v>
      </c>
      <c r="E1825">
        <v>0</v>
      </c>
    </row>
    <row r="1826" spans="1:5" x14ac:dyDescent="0.45">
      <c r="A1826" t="s">
        <v>55</v>
      </c>
      <c r="B1826" t="s">
        <v>47</v>
      </c>
      <c r="C1826" t="s">
        <v>48</v>
      </c>
      <c r="D1826" t="s">
        <v>50</v>
      </c>
      <c r="E1826">
        <v>0</v>
      </c>
    </row>
    <row r="1827" spans="1:5" x14ac:dyDescent="0.45">
      <c r="A1827" t="s">
        <v>55</v>
      </c>
      <c r="B1827" t="s">
        <v>47</v>
      </c>
      <c r="C1827" t="s">
        <v>48</v>
      </c>
      <c r="D1827" t="s">
        <v>50</v>
      </c>
      <c r="E1827">
        <v>0</v>
      </c>
    </row>
    <row r="1828" spans="1:5" x14ac:dyDescent="0.45">
      <c r="A1828" t="s">
        <v>55</v>
      </c>
      <c r="B1828" t="s">
        <v>47</v>
      </c>
      <c r="C1828" t="s">
        <v>48</v>
      </c>
      <c r="D1828" t="s">
        <v>50</v>
      </c>
      <c r="E1828">
        <v>0</v>
      </c>
    </row>
    <row r="1829" spans="1:5" x14ac:dyDescent="0.45">
      <c r="A1829" t="s">
        <v>55</v>
      </c>
      <c r="B1829" t="s">
        <v>47</v>
      </c>
      <c r="C1829" t="s">
        <v>48</v>
      </c>
      <c r="D1829" t="s">
        <v>50</v>
      </c>
      <c r="E1829">
        <v>0</v>
      </c>
    </row>
    <row r="1830" spans="1:5" x14ac:dyDescent="0.45">
      <c r="A1830" t="s">
        <v>55</v>
      </c>
      <c r="B1830" t="s">
        <v>47</v>
      </c>
      <c r="C1830" t="s">
        <v>48</v>
      </c>
      <c r="D1830" t="s">
        <v>50</v>
      </c>
      <c r="E1830">
        <v>0</v>
      </c>
    </row>
    <row r="1831" spans="1:5" x14ac:dyDescent="0.45">
      <c r="A1831" t="s">
        <v>55</v>
      </c>
      <c r="B1831" t="s">
        <v>47</v>
      </c>
      <c r="C1831" t="s">
        <v>48</v>
      </c>
      <c r="D1831" t="s">
        <v>50</v>
      </c>
      <c r="E1831">
        <v>0</v>
      </c>
    </row>
    <row r="1832" spans="1:5" x14ac:dyDescent="0.45">
      <c r="A1832" t="s">
        <v>55</v>
      </c>
      <c r="B1832" t="s">
        <v>47</v>
      </c>
      <c r="C1832" t="s">
        <v>48</v>
      </c>
      <c r="D1832" t="s">
        <v>50</v>
      </c>
      <c r="E1832">
        <v>0</v>
      </c>
    </row>
    <row r="1833" spans="1:5" x14ac:dyDescent="0.45">
      <c r="A1833" t="s">
        <v>55</v>
      </c>
      <c r="B1833" t="s">
        <v>47</v>
      </c>
      <c r="C1833" t="s">
        <v>48</v>
      </c>
      <c r="D1833" t="s">
        <v>50</v>
      </c>
      <c r="E1833">
        <v>0</v>
      </c>
    </row>
    <row r="1834" spans="1:5" x14ac:dyDescent="0.45">
      <c r="A1834" t="s">
        <v>55</v>
      </c>
      <c r="B1834" t="s">
        <v>47</v>
      </c>
      <c r="C1834" t="s">
        <v>48</v>
      </c>
      <c r="D1834" t="s">
        <v>50</v>
      </c>
      <c r="E1834">
        <v>0</v>
      </c>
    </row>
    <row r="1835" spans="1:5" x14ac:dyDescent="0.45">
      <c r="A1835" t="s">
        <v>55</v>
      </c>
      <c r="B1835" t="s">
        <v>47</v>
      </c>
      <c r="C1835" t="s">
        <v>48</v>
      </c>
      <c r="D1835" t="s">
        <v>50</v>
      </c>
      <c r="E1835">
        <v>0</v>
      </c>
    </row>
    <row r="1836" spans="1:5" x14ac:dyDescent="0.45">
      <c r="A1836" t="s">
        <v>55</v>
      </c>
      <c r="B1836" t="s">
        <v>47</v>
      </c>
      <c r="C1836" t="s">
        <v>48</v>
      </c>
      <c r="D1836" t="s">
        <v>50</v>
      </c>
      <c r="E1836">
        <v>0</v>
      </c>
    </row>
    <row r="1837" spans="1:5" x14ac:dyDescent="0.45">
      <c r="A1837" t="s">
        <v>55</v>
      </c>
      <c r="B1837" t="s">
        <v>47</v>
      </c>
      <c r="C1837" t="s">
        <v>48</v>
      </c>
      <c r="D1837" t="s">
        <v>50</v>
      </c>
      <c r="E1837">
        <v>0</v>
      </c>
    </row>
    <row r="1838" spans="1:5" x14ac:dyDescent="0.45">
      <c r="A1838" t="s">
        <v>55</v>
      </c>
      <c r="B1838" t="s">
        <v>47</v>
      </c>
      <c r="C1838" t="s">
        <v>48</v>
      </c>
      <c r="D1838" t="s">
        <v>50</v>
      </c>
      <c r="E1838">
        <v>0</v>
      </c>
    </row>
    <row r="1839" spans="1:5" x14ac:dyDescent="0.45">
      <c r="A1839" t="s">
        <v>55</v>
      </c>
      <c r="B1839" t="s">
        <v>47</v>
      </c>
      <c r="C1839" t="s">
        <v>48</v>
      </c>
      <c r="D1839" t="s">
        <v>50</v>
      </c>
      <c r="E1839">
        <v>0</v>
      </c>
    </row>
    <row r="1840" spans="1:5" x14ac:dyDescent="0.45">
      <c r="A1840" t="s">
        <v>55</v>
      </c>
      <c r="B1840" t="s">
        <v>47</v>
      </c>
      <c r="C1840" t="s">
        <v>48</v>
      </c>
      <c r="D1840" t="s">
        <v>50</v>
      </c>
      <c r="E1840">
        <v>0</v>
      </c>
    </row>
    <row r="1841" spans="1:5" x14ac:dyDescent="0.45">
      <c r="A1841" t="s">
        <v>55</v>
      </c>
      <c r="B1841" t="s">
        <v>47</v>
      </c>
      <c r="C1841" t="s">
        <v>48</v>
      </c>
      <c r="D1841" t="s">
        <v>50</v>
      </c>
      <c r="E1841">
        <v>0</v>
      </c>
    </row>
    <row r="1842" spans="1:5" x14ac:dyDescent="0.45">
      <c r="A1842" t="s">
        <v>55</v>
      </c>
      <c r="B1842" t="s">
        <v>47</v>
      </c>
      <c r="C1842" t="s">
        <v>48</v>
      </c>
      <c r="D1842" t="s">
        <v>50</v>
      </c>
      <c r="E1842">
        <v>0</v>
      </c>
    </row>
    <row r="1843" spans="1:5" x14ac:dyDescent="0.45">
      <c r="A1843" t="s">
        <v>55</v>
      </c>
      <c r="B1843" t="s">
        <v>47</v>
      </c>
      <c r="C1843" t="s">
        <v>48</v>
      </c>
      <c r="D1843" t="s">
        <v>50</v>
      </c>
      <c r="E1843">
        <v>0</v>
      </c>
    </row>
    <row r="1844" spans="1:5" x14ac:dyDescent="0.45">
      <c r="A1844" t="s">
        <v>55</v>
      </c>
      <c r="B1844" t="s">
        <v>47</v>
      </c>
      <c r="C1844" t="s">
        <v>48</v>
      </c>
      <c r="D1844" t="s">
        <v>50</v>
      </c>
      <c r="E1844">
        <v>0</v>
      </c>
    </row>
    <row r="1845" spans="1:5" x14ac:dyDescent="0.45">
      <c r="A1845" t="s">
        <v>55</v>
      </c>
      <c r="B1845" t="s">
        <v>47</v>
      </c>
      <c r="C1845" t="s">
        <v>48</v>
      </c>
      <c r="D1845" t="s">
        <v>50</v>
      </c>
      <c r="E1845">
        <v>0</v>
      </c>
    </row>
    <row r="1846" spans="1:5" x14ac:dyDescent="0.45">
      <c r="A1846" t="s">
        <v>55</v>
      </c>
      <c r="B1846" t="s">
        <v>47</v>
      </c>
      <c r="C1846" t="s">
        <v>48</v>
      </c>
      <c r="D1846" t="s">
        <v>50</v>
      </c>
      <c r="E1846">
        <v>0</v>
      </c>
    </row>
    <row r="1847" spans="1:5" x14ac:dyDescent="0.45">
      <c r="A1847" t="s">
        <v>55</v>
      </c>
      <c r="B1847" t="s">
        <v>47</v>
      </c>
      <c r="C1847" t="s">
        <v>48</v>
      </c>
      <c r="D1847" t="s">
        <v>50</v>
      </c>
      <c r="E1847">
        <v>0</v>
      </c>
    </row>
    <row r="1848" spans="1:5" x14ac:dyDescent="0.45">
      <c r="A1848" t="s">
        <v>55</v>
      </c>
      <c r="B1848" t="s">
        <v>47</v>
      </c>
      <c r="C1848" t="s">
        <v>48</v>
      </c>
      <c r="D1848" t="s">
        <v>50</v>
      </c>
      <c r="E1848">
        <v>0</v>
      </c>
    </row>
    <row r="1849" spans="1:5" x14ac:dyDescent="0.45">
      <c r="A1849" t="s">
        <v>55</v>
      </c>
      <c r="B1849" t="s">
        <v>47</v>
      </c>
      <c r="C1849" t="s">
        <v>48</v>
      </c>
      <c r="D1849" t="s">
        <v>50</v>
      </c>
      <c r="E1849">
        <v>0</v>
      </c>
    </row>
    <row r="1850" spans="1:5" x14ac:dyDescent="0.45">
      <c r="A1850" t="s">
        <v>55</v>
      </c>
      <c r="B1850" t="s">
        <v>47</v>
      </c>
      <c r="C1850" t="s">
        <v>48</v>
      </c>
      <c r="D1850" t="s">
        <v>50</v>
      </c>
      <c r="E1850">
        <v>0</v>
      </c>
    </row>
    <row r="1851" spans="1:5" x14ac:dyDescent="0.45">
      <c r="A1851" t="s">
        <v>55</v>
      </c>
      <c r="B1851" t="s">
        <v>47</v>
      </c>
      <c r="C1851" t="s">
        <v>48</v>
      </c>
      <c r="D1851" t="s">
        <v>50</v>
      </c>
      <c r="E1851">
        <v>0</v>
      </c>
    </row>
    <row r="1852" spans="1:5" x14ac:dyDescent="0.45">
      <c r="A1852" t="s">
        <v>55</v>
      </c>
      <c r="B1852" t="s">
        <v>47</v>
      </c>
      <c r="C1852" t="s">
        <v>48</v>
      </c>
      <c r="D1852" t="s">
        <v>50</v>
      </c>
      <c r="E1852">
        <v>0</v>
      </c>
    </row>
    <row r="1853" spans="1:5" x14ac:dyDescent="0.45">
      <c r="A1853" t="s">
        <v>55</v>
      </c>
      <c r="B1853" t="s">
        <v>47</v>
      </c>
      <c r="C1853" t="s">
        <v>48</v>
      </c>
      <c r="D1853" t="s">
        <v>50</v>
      </c>
      <c r="E1853">
        <v>0</v>
      </c>
    </row>
    <row r="1854" spans="1:5" x14ac:dyDescent="0.45">
      <c r="A1854" t="s">
        <v>55</v>
      </c>
      <c r="B1854" t="s">
        <v>47</v>
      </c>
      <c r="C1854" t="s">
        <v>48</v>
      </c>
      <c r="D1854" t="s">
        <v>50</v>
      </c>
      <c r="E1854">
        <v>0</v>
      </c>
    </row>
    <row r="1855" spans="1:5" x14ac:dyDescent="0.45">
      <c r="A1855" t="s">
        <v>55</v>
      </c>
      <c r="B1855" t="s">
        <v>47</v>
      </c>
      <c r="C1855" t="s">
        <v>48</v>
      </c>
      <c r="D1855" t="s">
        <v>50</v>
      </c>
      <c r="E1855">
        <v>0</v>
      </c>
    </row>
    <row r="1856" spans="1:5" x14ac:dyDescent="0.45">
      <c r="A1856" t="s">
        <v>55</v>
      </c>
      <c r="B1856" t="s">
        <v>47</v>
      </c>
      <c r="C1856" t="s">
        <v>48</v>
      </c>
      <c r="D1856" t="s">
        <v>50</v>
      </c>
      <c r="E1856">
        <v>0</v>
      </c>
    </row>
    <row r="1857" spans="1:5" x14ac:dyDescent="0.45">
      <c r="A1857" t="s">
        <v>55</v>
      </c>
      <c r="B1857" t="s">
        <v>47</v>
      </c>
      <c r="C1857" t="s">
        <v>48</v>
      </c>
      <c r="D1857" t="s">
        <v>50</v>
      </c>
      <c r="E1857">
        <v>0</v>
      </c>
    </row>
    <row r="1858" spans="1:5" x14ac:dyDescent="0.45">
      <c r="A1858" t="s">
        <v>55</v>
      </c>
      <c r="B1858" t="s">
        <v>47</v>
      </c>
      <c r="C1858" t="s">
        <v>48</v>
      </c>
      <c r="D1858" t="s">
        <v>50</v>
      </c>
      <c r="E1858">
        <v>0</v>
      </c>
    </row>
    <row r="1859" spans="1:5" x14ac:dyDescent="0.45">
      <c r="A1859" t="s">
        <v>55</v>
      </c>
      <c r="B1859" t="s">
        <v>47</v>
      </c>
      <c r="C1859" t="s">
        <v>48</v>
      </c>
      <c r="D1859" t="s">
        <v>50</v>
      </c>
      <c r="E1859">
        <v>0</v>
      </c>
    </row>
    <row r="1860" spans="1:5" x14ac:dyDescent="0.45">
      <c r="A1860" t="s">
        <v>55</v>
      </c>
      <c r="B1860" t="s">
        <v>47</v>
      </c>
      <c r="C1860" t="s">
        <v>48</v>
      </c>
      <c r="D1860" t="s">
        <v>50</v>
      </c>
      <c r="E1860">
        <v>0</v>
      </c>
    </row>
    <row r="1861" spans="1:5" x14ac:dyDescent="0.45">
      <c r="A1861" t="s">
        <v>55</v>
      </c>
      <c r="B1861" t="s">
        <v>47</v>
      </c>
      <c r="C1861" t="s">
        <v>48</v>
      </c>
      <c r="D1861" t="s">
        <v>50</v>
      </c>
      <c r="E1861">
        <v>0</v>
      </c>
    </row>
    <row r="1862" spans="1:5" x14ac:dyDescent="0.45">
      <c r="A1862" t="s">
        <v>55</v>
      </c>
      <c r="B1862" t="s">
        <v>47</v>
      </c>
      <c r="C1862" t="s">
        <v>48</v>
      </c>
      <c r="D1862" t="s">
        <v>50</v>
      </c>
      <c r="E1862">
        <v>0</v>
      </c>
    </row>
    <row r="1863" spans="1:5" x14ac:dyDescent="0.45">
      <c r="A1863" t="s">
        <v>55</v>
      </c>
      <c r="B1863" t="s">
        <v>47</v>
      </c>
      <c r="C1863" t="s">
        <v>48</v>
      </c>
      <c r="D1863" t="s">
        <v>50</v>
      </c>
      <c r="E1863">
        <v>0</v>
      </c>
    </row>
    <row r="1864" spans="1:5" x14ac:dyDescent="0.45">
      <c r="A1864" t="s">
        <v>55</v>
      </c>
      <c r="B1864" t="s">
        <v>47</v>
      </c>
      <c r="C1864" t="s">
        <v>48</v>
      </c>
      <c r="D1864" t="s">
        <v>50</v>
      </c>
      <c r="E1864">
        <v>0</v>
      </c>
    </row>
    <row r="1865" spans="1:5" x14ac:dyDescent="0.45">
      <c r="A1865" t="s">
        <v>55</v>
      </c>
      <c r="B1865" t="s">
        <v>47</v>
      </c>
      <c r="C1865" t="s">
        <v>48</v>
      </c>
      <c r="D1865" t="s">
        <v>50</v>
      </c>
      <c r="E1865">
        <v>0</v>
      </c>
    </row>
    <row r="1866" spans="1:5" x14ac:dyDescent="0.45">
      <c r="A1866" t="s">
        <v>55</v>
      </c>
      <c r="B1866" t="s">
        <v>47</v>
      </c>
      <c r="C1866" t="s">
        <v>48</v>
      </c>
      <c r="D1866" t="s">
        <v>50</v>
      </c>
      <c r="E1866">
        <v>0</v>
      </c>
    </row>
    <row r="1867" spans="1:5" x14ac:dyDescent="0.45">
      <c r="A1867" t="s">
        <v>55</v>
      </c>
      <c r="B1867" t="s">
        <v>47</v>
      </c>
      <c r="C1867" t="s">
        <v>48</v>
      </c>
      <c r="D1867" t="s">
        <v>50</v>
      </c>
      <c r="E1867">
        <v>0</v>
      </c>
    </row>
    <row r="1868" spans="1:5" x14ac:dyDescent="0.45">
      <c r="A1868" t="s">
        <v>55</v>
      </c>
      <c r="B1868" t="s">
        <v>47</v>
      </c>
      <c r="C1868" t="s">
        <v>48</v>
      </c>
      <c r="D1868" t="s">
        <v>50</v>
      </c>
      <c r="E1868">
        <v>0</v>
      </c>
    </row>
    <row r="1869" spans="1:5" x14ac:dyDescent="0.45">
      <c r="A1869" t="s">
        <v>55</v>
      </c>
      <c r="B1869" t="s">
        <v>47</v>
      </c>
      <c r="C1869" t="s">
        <v>48</v>
      </c>
      <c r="D1869" t="s">
        <v>50</v>
      </c>
      <c r="E1869">
        <v>0</v>
      </c>
    </row>
    <row r="1870" spans="1:5" x14ac:dyDescent="0.45">
      <c r="A1870" t="s">
        <v>55</v>
      </c>
      <c r="B1870" t="s">
        <v>47</v>
      </c>
      <c r="C1870" t="s">
        <v>48</v>
      </c>
      <c r="D1870" t="s">
        <v>50</v>
      </c>
      <c r="E1870">
        <v>0</v>
      </c>
    </row>
    <row r="1871" spans="1:5" x14ac:dyDescent="0.45">
      <c r="A1871" t="s">
        <v>55</v>
      </c>
      <c r="B1871" t="s">
        <v>47</v>
      </c>
      <c r="C1871" t="s">
        <v>48</v>
      </c>
      <c r="D1871" t="s">
        <v>50</v>
      </c>
      <c r="E1871">
        <v>0</v>
      </c>
    </row>
    <row r="1872" spans="1:5" x14ac:dyDescent="0.45">
      <c r="A1872" t="s">
        <v>55</v>
      </c>
      <c r="B1872" t="s">
        <v>47</v>
      </c>
      <c r="C1872" t="s">
        <v>48</v>
      </c>
      <c r="D1872" t="s">
        <v>50</v>
      </c>
      <c r="E1872">
        <v>0</v>
      </c>
    </row>
    <row r="1873" spans="1:5" x14ac:dyDescent="0.45">
      <c r="A1873" t="s">
        <v>55</v>
      </c>
      <c r="B1873" t="s">
        <v>47</v>
      </c>
      <c r="C1873" t="s">
        <v>48</v>
      </c>
      <c r="D1873" t="s">
        <v>50</v>
      </c>
      <c r="E1873">
        <v>0</v>
      </c>
    </row>
    <row r="1874" spans="1:5" x14ac:dyDescent="0.45">
      <c r="A1874" t="s">
        <v>55</v>
      </c>
      <c r="B1874" t="s">
        <v>47</v>
      </c>
      <c r="C1874" t="s">
        <v>48</v>
      </c>
      <c r="D1874" t="s">
        <v>50</v>
      </c>
      <c r="E1874">
        <v>0</v>
      </c>
    </row>
    <row r="1875" spans="1:5" x14ac:dyDescent="0.45">
      <c r="A1875" t="s">
        <v>55</v>
      </c>
      <c r="B1875" t="s">
        <v>47</v>
      </c>
      <c r="C1875" t="s">
        <v>48</v>
      </c>
      <c r="D1875" t="s">
        <v>50</v>
      </c>
      <c r="E1875">
        <v>0</v>
      </c>
    </row>
    <row r="1876" spans="1:5" x14ac:dyDescent="0.45">
      <c r="A1876" t="s">
        <v>55</v>
      </c>
      <c r="B1876" t="s">
        <v>47</v>
      </c>
      <c r="C1876" t="s">
        <v>48</v>
      </c>
      <c r="D1876" t="s">
        <v>50</v>
      </c>
      <c r="E1876">
        <v>0</v>
      </c>
    </row>
    <row r="1877" spans="1:5" x14ac:dyDescent="0.45">
      <c r="A1877" t="s">
        <v>55</v>
      </c>
      <c r="B1877" t="s">
        <v>47</v>
      </c>
      <c r="C1877" t="s">
        <v>48</v>
      </c>
      <c r="D1877" t="s">
        <v>50</v>
      </c>
      <c r="E1877">
        <v>0</v>
      </c>
    </row>
    <row r="1878" spans="1:5" x14ac:dyDescent="0.45">
      <c r="A1878" t="s">
        <v>55</v>
      </c>
      <c r="B1878" t="s">
        <v>47</v>
      </c>
      <c r="C1878" t="s">
        <v>48</v>
      </c>
      <c r="D1878" t="s">
        <v>50</v>
      </c>
      <c r="E1878">
        <v>0</v>
      </c>
    </row>
    <row r="1879" spans="1:5" x14ac:dyDescent="0.45">
      <c r="A1879" t="s">
        <v>55</v>
      </c>
      <c r="B1879" t="s">
        <v>47</v>
      </c>
      <c r="C1879" t="s">
        <v>48</v>
      </c>
      <c r="D1879" t="s">
        <v>50</v>
      </c>
      <c r="E1879">
        <v>0</v>
      </c>
    </row>
    <row r="1880" spans="1:5" x14ac:dyDescent="0.45">
      <c r="A1880" t="s">
        <v>55</v>
      </c>
      <c r="B1880" t="s">
        <v>47</v>
      </c>
      <c r="C1880" t="s">
        <v>48</v>
      </c>
      <c r="D1880" t="s">
        <v>50</v>
      </c>
      <c r="E1880">
        <v>0</v>
      </c>
    </row>
    <row r="1881" spans="1:5" x14ac:dyDescent="0.45">
      <c r="A1881" t="s">
        <v>55</v>
      </c>
      <c r="B1881" t="s">
        <v>47</v>
      </c>
      <c r="C1881" t="s">
        <v>48</v>
      </c>
      <c r="D1881" t="s">
        <v>50</v>
      </c>
      <c r="E1881">
        <v>0</v>
      </c>
    </row>
    <row r="1882" spans="1:5" x14ac:dyDescent="0.45">
      <c r="A1882" t="s">
        <v>55</v>
      </c>
      <c r="B1882" t="s">
        <v>47</v>
      </c>
      <c r="C1882" t="s">
        <v>48</v>
      </c>
      <c r="D1882" t="s">
        <v>50</v>
      </c>
      <c r="E1882">
        <v>0</v>
      </c>
    </row>
    <row r="1883" spans="1:5" x14ac:dyDescent="0.45">
      <c r="A1883" t="s">
        <v>55</v>
      </c>
      <c r="B1883" t="s">
        <v>47</v>
      </c>
      <c r="C1883" t="s">
        <v>48</v>
      </c>
      <c r="D1883" t="s">
        <v>50</v>
      </c>
      <c r="E1883">
        <v>0</v>
      </c>
    </row>
    <row r="1884" spans="1:5" x14ac:dyDescent="0.45">
      <c r="A1884" t="s">
        <v>55</v>
      </c>
      <c r="B1884" t="s">
        <v>47</v>
      </c>
      <c r="C1884" t="s">
        <v>48</v>
      </c>
      <c r="D1884" t="s">
        <v>50</v>
      </c>
      <c r="E1884">
        <v>0</v>
      </c>
    </row>
    <row r="1885" spans="1:5" x14ac:dyDescent="0.45">
      <c r="A1885" t="s">
        <v>55</v>
      </c>
      <c r="B1885" t="s">
        <v>47</v>
      </c>
      <c r="C1885" t="s">
        <v>48</v>
      </c>
      <c r="D1885" t="s">
        <v>50</v>
      </c>
      <c r="E1885">
        <v>0</v>
      </c>
    </row>
    <row r="1886" spans="1:5" x14ac:dyDescent="0.45">
      <c r="A1886" t="s">
        <v>55</v>
      </c>
      <c r="B1886" t="s">
        <v>47</v>
      </c>
      <c r="C1886" t="s">
        <v>48</v>
      </c>
      <c r="D1886" t="s">
        <v>50</v>
      </c>
      <c r="E1886">
        <v>0</v>
      </c>
    </row>
    <row r="1887" spans="1:5" x14ac:dyDescent="0.45">
      <c r="A1887" t="s">
        <v>55</v>
      </c>
      <c r="B1887" t="s">
        <v>47</v>
      </c>
      <c r="C1887" t="s">
        <v>48</v>
      </c>
      <c r="D1887" t="s">
        <v>50</v>
      </c>
      <c r="E1887">
        <v>0</v>
      </c>
    </row>
    <row r="1888" spans="1:5" x14ac:dyDescent="0.45">
      <c r="A1888" t="s">
        <v>55</v>
      </c>
      <c r="B1888" t="s">
        <v>47</v>
      </c>
      <c r="C1888" t="s">
        <v>48</v>
      </c>
      <c r="D1888" t="s">
        <v>50</v>
      </c>
      <c r="E1888">
        <v>0</v>
      </c>
    </row>
    <row r="1889" spans="1:5" x14ac:dyDescent="0.45">
      <c r="A1889" t="s">
        <v>55</v>
      </c>
      <c r="B1889" t="s">
        <v>47</v>
      </c>
      <c r="C1889" t="s">
        <v>48</v>
      </c>
      <c r="D1889" t="s">
        <v>50</v>
      </c>
      <c r="E1889">
        <v>0</v>
      </c>
    </row>
    <row r="1890" spans="1:5" x14ac:dyDescent="0.45">
      <c r="A1890" t="s">
        <v>55</v>
      </c>
      <c r="B1890" t="s">
        <v>47</v>
      </c>
      <c r="C1890" t="s">
        <v>48</v>
      </c>
      <c r="D1890" t="s">
        <v>50</v>
      </c>
      <c r="E1890">
        <v>0</v>
      </c>
    </row>
    <row r="1891" spans="1:5" x14ac:dyDescent="0.45">
      <c r="A1891" t="s">
        <v>55</v>
      </c>
      <c r="B1891" t="s">
        <v>47</v>
      </c>
      <c r="C1891" t="s">
        <v>48</v>
      </c>
      <c r="D1891" t="s">
        <v>50</v>
      </c>
      <c r="E1891">
        <v>0</v>
      </c>
    </row>
    <row r="1892" spans="1:5" x14ac:dyDescent="0.45">
      <c r="A1892" t="s">
        <v>55</v>
      </c>
      <c r="B1892" t="s">
        <v>47</v>
      </c>
      <c r="C1892" t="s">
        <v>48</v>
      </c>
      <c r="D1892" t="s">
        <v>50</v>
      </c>
      <c r="E1892">
        <v>0</v>
      </c>
    </row>
    <row r="1893" spans="1:5" x14ac:dyDescent="0.45">
      <c r="A1893" t="s">
        <v>55</v>
      </c>
      <c r="B1893" t="s">
        <v>47</v>
      </c>
      <c r="C1893" t="s">
        <v>48</v>
      </c>
      <c r="D1893" t="s">
        <v>50</v>
      </c>
      <c r="E1893">
        <v>0</v>
      </c>
    </row>
    <row r="1894" spans="1:5" x14ac:dyDescent="0.45">
      <c r="A1894" t="s">
        <v>55</v>
      </c>
      <c r="B1894" t="s">
        <v>47</v>
      </c>
      <c r="C1894" t="s">
        <v>48</v>
      </c>
      <c r="D1894" t="s">
        <v>50</v>
      </c>
      <c r="E1894">
        <v>0</v>
      </c>
    </row>
    <row r="1895" spans="1:5" x14ac:dyDescent="0.45">
      <c r="A1895" t="s">
        <v>55</v>
      </c>
      <c r="B1895" t="s">
        <v>47</v>
      </c>
      <c r="C1895" t="s">
        <v>48</v>
      </c>
      <c r="D1895" t="s">
        <v>50</v>
      </c>
      <c r="E1895">
        <v>0</v>
      </c>
    </row>
    <row r="1896" spans="1:5" x14ac:dyDescent="0.45">
      <c r="A1896" t="s">
        <v>55</v>
      </c>
      <c r="B1896" t="s">
        <v>47</v>
      </c>
      <c r="C1896" t="s">
        <v>48</v>
      </c>
      <c r="D1896" t="s">
        <v>50</v>
      </c>
      <c r="E1896">
        <v>0</v>
      </c>
    </row>
    <row r="1897" spans="1:5" x14ac:dyDescent="0.45">
      <c r="A1897" t="s">
        <v>55</v>
      </c>
      <c r="B1897" t="s">
        <v>47</v>
      </c>
      <c r="C1897" t="s">
        <v>48</v>
      </c>
      <c r="D1897" t="s">
        <v>50</v>
      </c>
      <c r="E1897">
        <v>0</v>
      </c>
    </row>
    <row r="1898" spans="1:5" x14ac:dyDescent="0.45">
      <c r="A1898" t="s">
        <v>55</v>
      </c>
      <c r="B1898" t="s">
        <v>47</v>
      </c>
      <c r="C1898" t="s">
        <v>48</v>
      </c>
      <c r="D1898" t="s">
        <v>50</v>
      </c>
      <c r="E1898">
        <v>0</v>
      </c>
    </row>
    <row r="1899" spans="1:5" x14ac:dyDescent="0.45">
      <c r="A1899" t="s">
        <v>55</v>
      </c>
      <c r="B1899" t="s">
        <v>47</v>
      </c>
      <c r="C1899" t="s">
        <v>48</v>
      </c>
      <c r="D1899" t="s">
        <v>50</v>
      </c>
      <c r="E1899">
        <v>0</v>
      </c>
    </row>
    <row r="1900" spans="1:5" x14ac:dyDescent="0.45">
      <c r="A1900" t="s">
        <v>55</v>
      </c>
      <c r="B1900" t="s">
        <v>47</v>
      </c>
      <c r="C1900" t="s">
        <v>48</v>
      </c>
      <c r="D1900" t="s">
        <v>50</v>
      </c>
      <c r="E1900">
        <v>0</v>
      </c>
    </row>
    <row r="1901" spans="1:5" x14ac:dyDescent="0.45">
      <c r="A1901" t="s">
        <v>55</v>
      </c>
      <c r="B1901" t="s">
        <v>47</v>
      </c>
      <c r="C1901" t="s">
        <v>48</v>
      </c>
      <c r="D1901" t="s">
        <v>50</v>
      </c>
      <c r="E1901">
        <v>0</v>
      </c>
    </row>
    <row r="1902" spans="1:5" x14ac:dyDescent="0.45">
      <c r="A1902" t="s">
        <v>55</v>
      </c>
      <c r="B1902" t="s">
        <v>47</v>
      </c>
      <c r="C1902" t="s">
        <v>48</v>
      </c>
      <c r="D1902" t="s">
        <v>50</v>
      </c>
      <c r="E1902">
        <v>0</v>
      </c>
    </row>
    <row r="1903" spans="1:5" x14ac:dyDescent="0.45">
      <c r="A1903" t="s">
        <v>55</v>
      </c>
      <c r="B1903" t="s">
        <v>47</v>
      </c>
      <c r="C1903" t="s">
        <v>48</v>
      </c>
      <c r="D1903" t="s">
        <v>50</v>
      </c>
      <c r="E1903">
        <v>0</v>
      </c>
    </row>
    <row r="1904" spans="1:5" x14ac:dyDescent="0.45">
      <c r="A1904" t="s">
        <v>55</v>
      </c>
      <c r="B1904" t="s">
        <v>47</v>
      </c>
      <c r="C1904" t="s">
        <v>48</v>
      </c>
      <c r="D1904" t="s">
        <v>50</v>
      </c>
      <c r="E1904">
        <v>0</v>
      </c>
    </row>
    <row r="1905" spans="1:5" x14ac:dyDescent="0.45">
      <c r="A1905" t="s">
        <v>55</v>
      </c>
      <c r="B1905" t="s">
        <v>47</v>
      </c>
      <c r="C1905" t="s">
        <v>48</v>
      </c>
      <c r="D1905" t="s">
        <v>50</v>
      </c>
      <c r="E1905">
        <v>0</v>
      </c>
    </row>
    <row r="1906" spans="1:5" x14ac:dyDescent="0.45">
      <c r="A1906" t="s">
        <v>55</v>
      </c>
      <c r="B1906" t="s">
        <v>47</v>
      </c>
      <c r="C1906" t="s">
        <v>48</v>
      </c>
      <c r="D1906" t="s">
        <v>50</v>
      </c>
      <c r="E1906">
        <v>0</v>
      </c>
    </row>
    <row r="1907" spans="1:5" x14ac:dyDescent="0.45">
      <c r="A1907" t="s">
        <v>55</v>
      </c>
      <c r="B1907" t="s">
        <v>47</v>
      </c>
      <c r="C1907" t="s">
        <v>48</v>
      </c>
      <c r="D1907" t="s">
        <v>50</v>
      </c>
      <c r="E1907">
        <v>0</v>
      </c>
    </row>
    <row r="1908" spans="1:5" x14ac:dyDescent="0.45">
      <c r="A1908" t="s">
        <v>55</v>
      </c>
      <c r="B1908" t="s">
        <v>47</v>
      </c>
      <c r="C1908" t="s">
        <v>48</v>
      </c>
      <c r="D1908" t="s">
        <v>50</v>
      </c>
      <c r="E1908">
        <v>0</v>
      </c>
    </row>
    <row r="1909" spans="1:5" x14ac:dyDescent="0.45">
      <c r="A1909" t="s">
        <v>55</v>
      </c>
      <c r="B1909" t="s">
        <v>47</v>
      </c>
      <c r="C1909" t="s">
        <v>48</v>
      </c>
      <c r="D1909" t="s">
        <v>50</v>
      </c>
      <c r="E1909">
        <v>0</v>
      </c>
    </row>
    <row r="1910" spans="1:5" x14ac:dyDescent="0.45">
      <c r="A1910" t="s">
        <v>55</v>
      </c>
      <c r="B1910" t="s">
        <v>47</v>
      </c>
      <c r="C1910" t="s">
        <v>48</v>
      </c>
      <c r="D1910" t="s">
        <v>50</v>
      </c>
      <c r="E1910">
        <v>0</v>
      </c>
    </row>
    <row r="1911" spans="1:5" x14ac:dyDescent="0.45">
      <c r="A1911" t="s">
        <v>55</v>
      </c>
      <c r="B1911" t="s">
        <v>47</v>
      </c>
      <c r="C1911" t="s">
        <v>48</v>
      </c>
      <c r="D1911" t="s">
        <v>50</v>
      </c>
      <c r="E1911">
        <v>0</v>
      </c>
    </row>
    <row r="1912" spans="1:5" x14ac:dyDescent="0.45">
      <c r="A1912" t="s">
        <v>55</v>
      </c>
      <c r="B1912" t="s">
        <v>47</v>
      </c>
      <c r="C1912" t="s">
        <v>48</v>
      </c>
      <c r="D1912" t="s">
        <v>50</v>
      </c>
      <c r="E1912">
        <v>0</v>
      </c>
    </row>
    <row r="1913" spans="1:5" x14ac:dyDescent="0.45">
      <c r="A1913" t="s">
        <v>55</v>
      </c>
      <c r="B1913" t="s">
        <v>47</v>
      </c>
      <c r="C1913" t="s">
        <v>48</v>
      </c>
      <c r="D1913" t="s">
        <v>50</v>
      </c>
      <c r="E1913">
        <v>0</v>
      </c>
    </row>
    <row r="1914" spans="1:5" x14ac:dyDescent="0.45">
      <c r="A1914" t="s">
        <v>55</v>
      </c>
      <c r="B1914" t="s">
        <v>47</v>
      </c>
      <c r="C1914" t="s">
        <v>48</v>
      </c>
      <c r="D1914" t="s">
        <v>50</v>
      </c>
      <c r="E1914">
        <v>0</v>
      </c>
    </row>
    <row r="1915" spans="1:5" x14ac:dyDescent="0.45">
      <c r="A1915" t="s">
        <v>55</v>
      </c>
      <c r="B1915" t="s">
        <v>47</v>
      </c>
      <c r="C1915" t="s">
        <v>48</v>
      </c>
      <c r="D1915" t="s">
        <v>50</v>
      </c>
      <c r="E1915">
        <v>0</v>
      </c>
    </row>
    <row r="1916" spans="1:5" x14ac:dyDescent="0.45">
      <c r="A1916" t="s">
        <v>55</v>
      </c>
      <c r="B1916" t="s">
        <v>47</v>
      </c>
      <c r="C1916" t="s">
        <v>48</v>
      </c>
      <c r="D1916" t="s">
        <v>50</v>
      </c>
      <c r="E1916">
        <v>0</v>
      </c>
    </row>
    <row r="1917" spans="1:5" x14ac:dyDescent="0.45">
      <c r="A1917" t="s">
        <v>55</v>
      </c>
      <c r="B1917" t="s">
        <v>47</v>
      </c>
      <c r="C1917" t="s">
        <v>48</v>
      </c>
      <c r="D1917" t="s">
        <v>50</v>
      </c>
      <c r="E1917">
        <v>0</v>
      </c>
    </row>
    <row r="1918" spans="1:5" x14ac:dyDescent="0.45">
      <c r="A1918" t="s">
        <v>55</v>
      </c>
      <c r="B1918" t="s">
        <v>47</v>
      </c>
      <c r="C1918" t="s">
        <v>48</v>
      </c>
      <c r="D1918" t="s">
        <v>50</v>
      </c>
      <c r="E1918">
        <v>0</v>
      </c>
    </row>
    <row r="1919" spans="1:5" x14ac:dyDescent="0.45">
      <c r="A1919" t="s">
        <v>55</v>
      </c>
      <c r="B1919" t="s">
        <v>47</v>
      </c>
      <c r="C1919" t="s">
        <v>48</v>
      </c>
      <c r="D1919" t="s">
        <v>50</v>
      </c>
      <c r="E1919">
        <v>0</v>
      </c>
    </row>
    <row r="1920" spans="1:5" x14ac:dyDescent="0.45">
      <c r="A1920" t="s">
        <v>55</v>
      </c>
      <c r="B1920" t="s">
        <v>47</v>
      </c>
      <c r="C1920" t="s">
        <v>48</v>
      </c>
      <c r="D1920" t="s">
        <v>50</v>
      </c>
      <c r="E1920">
        <v>0</v>
      </c>
    </row>
    <row r="1921" spans="1:5" x14ac:dyDescent="0.45">
      <c r="A1921" t="s">
        <v>55</v>
      </c>
      <c r="B1921" t="s">
        <v>47</v>
      </c>
      <c r="C1921" t="s">
        <v>48</v>
      </c>
      <c r="D1921" t="s">
        <v>50</v>
      </c>
      <c r="E1921">
        <v>0</v>
      </c>
    </row>
    <row r="1922" spans="1:5" x14ac:dyDescent="0.45">
      <c r="A1922" t="s">
        <v>55</v>
      </c>
      <c r="B1922" t="s">
        <v>47</v>
      </c>
      <c r="C1922" t="s">
        <v>48</v>
      </c>
      <c r="D1922" t="s">
        <v>50</v>
      </c>
      <c r="E1922">
        <v>0</v>
      </c>
    </row>
    <row r="1923" spans="1:5" x14ac:dyDescent="0.45">
      <c r="A1923" t="s">
        <v>55</v>
      </c>
      <c r="B1923" t="s">
        <v>47</v>
      </c>
      <c r="C1923" t="s">
        <v>48</v>
      </c>
      <c r="D1923" t="s">
        <v>50</v>
      </c>
      <c r="E1923">
        <v>0</v>
      </c>
    </row>
    <row r="1924" spans="1:5" x14ac:dyDescent="0.45">
      <c r="A1924" t="s">
        <v>55</v>
      </c>
      <c r="B1924" t="s">
        <v>47</v>
      </c>
      <c r="C1924" t="s">
        <v>48</v>
      </c>
      <c r="D1924" t="s">
        <v>50</v>
      </c>
      <c r="E1924">
        <v>0</v>
      </c>
    </row>
    <row r="1925" spans="1:5" x14ac:dyDescent="0.45">
      <c r="A1925" t="s">
        <v>55</v>
      </c>
      <c r="B1925" t="s">
        <v>47</v>
      </c>
      <c r="C1925" t="s">
        <v>48</v>
      </c>
      <c r="D1925" t="s">
        <v>50</v>
      </c>
      <c r="E1925">
        <v>0</v>
      </c>
    </row>
    <row r="1926" spans="1:5" x14ac:dyDescent="0.45">
      <c r="A1926" t="s">
        <v>55</v>
      </c>
      <c r="B1926" t="s">
        <v>47</v>
      </c>
      <c r="C1926" t="s">
        <v>48</v>
      </c>
      <c r="D1926" t="s">
        <v>50</v>
      </c>
      <c r="E1926">
        <v>0</v>
      </c>
    </row>
    <row r="1927" spans="1:5" x14ac:dyDescent="0.45">
      <c r="A1927" t="s">
        <v>55</v>
      </c>
      <c r="B1927" t="s">
        <v>47</v>
      </c>
      <c r="C1927" t="s">
        <v>48</v>
      </c>
      <c r="D1927" t="s">
        <v>50</v>
      </c>
      <c r="E1927">
        <v>0</v>
      </c>
    </row>
    <row r="1928" spans="1:5" x14ac:dyDescent="0.45">
      <c r="A1928" t="s">
        <v>55</v>
      </c>
      <c r="B1928" t="s">
        <v>47</v>
      </c>
      <c r="C1928" t="s">
        <v>48</v>
      </c>
      <c r="D1928" t="s">
        <v>50</v>
      </c>
      <c r="E1928">
        <v>0</v>
      </c>
    </row>
    <row r="1929" spans="1:5" x14ac:dyDescent="0.45">
      <c r="A1929" t="s">
        <v>55</v>
      </c>
      <c r="B1929" t="s">
        <v>47</v>
      </c>
      <c r="C1929" t="s">
        <v>48</v>
      </c>
      <c r="D1929" t="s">
        <v>50</v>
      </c>
      <c r="E1929">
        <v>0</v>
      </c>
    </row>
    <row r="1930" spans="1:5" x14ac:dyDescent="0.45">
      <c r="A1930" t="s">
        <v>55</v>
      </c>
      <c r="B1930" t="s">
        <v>47</v>
      </c>
      <c r="C1930" t="s">
        <v>48</v>
      </c>
      <c r="D1930" t="s">
        <v>50</v>
      </c>
      <c r="E1930">
        <v>0</v>
      </c>
    </row>
    <row r="1931" spans="1:5" x14ac:dyDescent="0.45">
      <c r="A1931" t="s">
        <v>55</v>
      </c>
      <c r="B1931" t="s">
        <v>47</v>
      </c>
      <c r="C1931" t="s">
        <v>48</v>
      </c>
      <c r="D1931" t="s">
        <v>50</v>
      </c>
      <c r="E1931">
        <v>0</v>
      </c>
    </row>
    <row r="1932" spans="1:5" x14ac:dyDescent="0.45">
      <c r="A1932" t="s">
        <v>55</v>
      </c>
      <c r="B1932" t="s">
        <v>47</v>
      </c>
      <c r="C1932" t="s">
        <v>48</v>
      </c>
      <c r="D1932" t="s">
        <v>50</v>
      </c>
      <c r="E1932">
        <v>0</v>
      </c>
    </row>
    <row r="1933" spans="1:5" x14ac:dyDescent="0.45">
      <c r="A1933" t="s">
        <v>55</v>
      </c>
      <c r="B1933" t="s">
        <v>47</v>
      </c>
      <c r="C1933" t="s">
        <v>48</v>
      </c>
      <c r="D1933" t="s">
        <v>50</v>
      </c>
      <c r="E1933">
        <v>0</v>
      </c>
    </row>
    <row r="1934" spans="1:5" x14ac:dyDescent="0.45">
      <c r="A1934" t="s">
        <v>55</v>
      </c>
      <c r="B1934" t="s">
        <v>47</v>
      </c>
      <c r="C1934" t="s">
        <v>48</v>
      </c>
      <c r="D1934" t="s">
        <v>50</v>
      </c>
      <c r="E1934">
        <v>0</v>
      </c>
    </row>
    <row r="1935" spans="1:5" x14ac:dyDescent="0.45">
      <c r="A1935" t="s">
        <v>55</v>
      </c>
      <c r="B1935" t="s">
        <v>47</v>
      </c>
      <c r="C1935" t="s">
        <v>48</v>
      </c>
      <c r="D1935" t="s">
        <v>50</v>
      </c>
      <c r="E1935">
        <v>0</v>
      </c>
    </row>
    <row r="1936" spans="1:5" x14ac:dyDescent="0.45">
      <c r="A1936" t="s">
        <v>55</v>
      </c>
      <c r="B1936" t="s">
        <v>47</v>
      </c>
      <c r="C1936" t="s">
        <v>48</v>
      </c>
      <c r="D1936" t="s">
        <v>50</v>
      </c>
      <c r="E1936">
        <v>0</v>
      </c>
    </row>
    <row r="1937" spans="1:5" x14ac:dyDescent="0.45">
      <c r="A1937" t="s">
        <v>55</v>
      </c>
      <c r="B1937" t="s">
        <v>47</v>
      </c>
      <c r="C1937" t="s">
        <v>48</v>
      </c>
      <c r="D1937" t="s">
        <v>50</v>
      </c>
      <c r="E1937">
        <v>0</v>
      </c>
    </row>
    <row r="1938" spans="1:5" x14ac:dyDescent="0.45">
      <c r="A1938" t="s">
        <v>55</v>
      </c>
      <c r="B1938" t="s">
        <v>47</v>
      </c>
      <c r="C1938" t="s">
        <v>48</v>
      </c>
      <c r="D1938" t="s">
        <v>50</v>
      </c>
      <c r="E1938">
        <v>0</v>
      </c>
    </row>
    <row r="1939" spans="1:5" x14ac:dyDescent="0.45">
      <c r="A1939" t="s">
        <v>55</v>
      </c>
      <c r="B1939" t="s">
        <v>47</v>
      </c>
      <c r="C1939" t="s">
        <v>48</v>
      </c>
      <c r="D1939" t="s">
        <v>50</v>
      </c>
      <c r="E1939">
        <v>0</v>
      </c>
    </row>
    <row r="1940" spans="1:5" x14ac:dyDescent="0.45">
      <c r="A1940" t="s">
        <v>55</v>
      </c>
      <c r="B1940" t="s">
        <v>47</v>
      </c>
      <c r="C1940" t="s">
        <v>48</v>
      </c>
      <c r="D1940" t="s">
        <v>50</v>
      </c>
      <c r="E1940">
        <v>0</v>
      </c>
    </row>
    <row r="1941" spans="1:5" x14ac:dyDescent="0.45">
      <c r="A1941" t="s">
        <v>55</v>
      </c>
      <c r="B1941" t="s">
        <v>47</v>
      </c>
      <c r="C1941" t="s">
        <v>48</v>
      </c>
      <c r="D1941" t="s">
        <v>50</v>
      </c>
      <c r="E1941">
        <v>0</v>
      </c>
    </row>
    <row r="1942" spans="1:5" x14ac:dyDescent="0.45">
      <c r="A1942" t="s">
        <v>55</v>
      </c>
      <c r="B1942" t="s">
        <v>47</v>
      </c>
      <c r="C1942" t="s">
        <v>48</v>
      </c>
      <c r="D1942" t="s">
        <v>50</v>
      </c>
      <c r="E1942">
        <v>0</v>
      </c>
    </row>
    <row r="1943" spans="1:5" x14ac:dyDescent="0.45">
      <c r="A1943" t="s">
        <v>55</v>
      </c>
      <c r="B1943" t="s">
        <v>47</v>
      </c>
      <c r="C1943" t="s">
        <v>48</v>
      </c>
      <c r="D1943" t="s">
        <v>50</v>
      </c>
      <c r="E1943">
        <v>0</v>
      </c>
    </row>
    <row r="1944" spans="1:5" x14ac:dyDescent="0.45">
      <c r="A1944" t="s">
        <v>55</v>
      </c>
      <c r="B1944" t="s">
        <v>47</v>
      </c>
      <c r="C1944" t="s">
        <v>48</v>
      </c>
      <c r="D1944" t="s">
        <v>50</v>
      </c>
      <c r="E1944">
        <v>0</v>
      </c>
    </row>
    <row r="1945" spans="1:5" x14ac:dyDescent="0.45">
      <c r="A1945" t="s">
        <v>55</v>
      </c>
      <c r="B1945" t="s">
        <v>47</v>
      </c>
      <c r="C1945" t="s">
        <v>48</v>
      </c>
      <c r="D1945" t="s">
        <v>50</v>
      </c>
      <c r="E1945">
        <v>0</v>
      </c>
    </row>
    <row r="1946" spans="1:5" x14ac:dyDescent="0.45">
      <c r="A1946" t="s">
        <v>55</v>
      </c>
      <c r="B1946" t="s">
        <v>47</v>
      </c>
      <c r="C1946" t="s">
        <v>48</v>
      </c>
      <c r="D1946" t="s">
        <v>50</v>
      </c>
      <c r="E1946">
        <v>0</v>
      </c>
    </row>
    <row r="1947" spans="1:5" x14ac:dyDescent="0.45">
      <c r="A1947" t="s">
        <v>55</v>
      </c>
      <c r="B1947" t="s">
        <v>47</v>
      </c>
      <c r="C1947" t="s">
        <v>48</v>
      </c>
      <c r="D1947" t="s">
        <v>50</v>
      </c>
      <c r="E1947">
        <v>0</v>
      </c>
    </row>
    <row r="1948" spans="1:5" x14ac:dyDescent="0.45">
      <c r="A1948" t="s">
        <v>55</v>
      </c>
      <c r="B1948" t="s">
        <v>47</v>
      </c>
      <c r="C1948" t="s">
        <v>48</v>
      </c>
      <c r="D1948" t="s">
        <v>50</v>
      </c>
      <c r="E1948">
        <v>0</v>
      </c>
    </row>
    <row r="1949" spans="1:5" x14ac:dyDescent="0.45">
      <c r="A1949" t="s">
        <v>55</v>
      </c>
      <c r="B1949" t="s">
        <v>47</v>
      </c>
      <c r="C1949" t="s">
        <v>48</v>
      </c>
      <c r="D1949" t="s">
        <v>50</v>
      </c>
      <c r="E1949">
        <v>0</v>
      </c>
    </row>
    <row r="1950" spans="1:5" x14ac:dyDescent="0.45">
      <c r="A1950" t="s">
        <v>55</v>
      </c>
      <c r="B1950" t="s">
        <v>47</v>
      </c>
      <c r="C1950" t="s">
        <v>48</v>
      </c>
      <c r="D1950" t="s">
        <v>50</v>
      </c>
      <c r="E1950">
        <v>0</v>
      </c>
    </row>
    <row r="1951" spans="1:5" x14ac:dyDescent="0.45">
      <c r="A1951" t="s">
        <v>55</v>
      </c>
      <c r="B1951" t="s">
        <v>47</v>
      </c>
      <c r="C1951" t="s">
        <v>48</v>
      </c>
      <c r="D1951" t="s">
        <v>50</v>
      </c>
      <c r="E1951">
        <v>0</v>
      </c>
    </row>
    <row r="1952" spans="1:5" x14ac:dyDescent="0.45">
      <c r="A1952" t="s">
        <v>55</v>
      </c>
      <c r="B1952" t="s">
        <v>47</v>
      </c>
      <c r="C1952" t="s">
        <v>48</v>
      </c>
      <c r="D1952" t="s">
        <v>50</v>
      </c>
      <c r="E1952">
        <v>0</v>
      </c>
    </row>
    <row r="1953" spans="1:5" x14ac:dyDescent="0.45">
      <c r="A1953" t="s">
        <v>55</v>
      </c>
      <c r="B1953" t="s">
        <v>47</v>
      </c>
      <c r="C1953" t="s">
        <v>48</v>
      </c>
      <c r="D1953" t="s">
        <v>50</v>
      </c>
      <c r="E1953">
        <v>0</v>
      </c>
    </row>
    <row r="1954" spans="1:5" x14ac:dyDescent="0.45">
      <c r="A1954" t="s">
        <v>55</v>
      </c>
      <c r="B1954" t="s">
        <v>47</v>
      </c>
      <c r="C1954" t="s">
        <v>48</v>
      </c>
      <c r="D1954" t="s">
        <v>50</v>
      </c>
      <c r="E1954">
        <v>0</v>
      </c>
    </row>
    <row r="1955" spans="1:5" x14ac:dyDescent="0.45">
      <c r="A1955" t="s">
        <v>55</v>
      </c>
      <c r="B1955" t="s">
        <v>47</v>
      </c>
      <c r="C1955" t="s">
        <v>48</v>
      </c>
      <c r="D1955" t="s">
        <v>50</v>
      </c>
      <c r="E1955">
        <v>0</v>
      </c>
    </row>
    <row r="1956" spans="1:5" x14ac:dyDescent="0.45">
      <c r="A1956" t="s">
        <v>55</v>
      </c>
      <c r="B1956" t="s">
        <v>47</v>
      </c>
      <c r="C1956" t="s">
        <v>48</v>
      </c>
      <c r="D1956" t="s">
        <v>50</v>
      </c>
      <c r="E1956">
        <v>0</v>
      </c>
    </row>
    <row r="1957" spans="1:5" x14ac:dyDescent="0.45">
      <c r="A1957" t="s">
        <v>55</v>
      </c>
      <c r="B1957" t="s">
        <v>47</v>
      </c>
      <c r="C1957" t="s">
        <v>48</v>
      </c>
      <c r="D1957" t="s">
        <v>50</v>
      </c>
      <c r="E1957">
        <v>0</v>
      </c>
    </row>
    <row r="1958" spans="1:5" x14ac:dyDescent="0.45">
      <c r="A1958" t="s">
        <v>55</v>
      </c>
      <c r="B1958" t="s">
        <v>47</v>
      </c>
      <c r="C1958" t="s">
        <v>48</v>
      </c>
      <c r="D1958" t="s">
        <v>50</v>
      </c>
      <c r="E1958">
        <v>0</v>
      </c>
    </row>
    <row r="1959" spans="1:5" x14ac:dyDescent="0.45">
      <c r="A1959" t="s">
        <v>55</v>
      </c>
      <c r="B1959" t="s">
        <v>47</v>
      </c>
      <c r="C1959" t="s">
        <v>48</v>
      </c>
      <c r="D1959" t="s">
        <v>50</v>
      </c>
      <c r="E1959">
        <v>0</v>
      </c>
    </row>
    <row r="1960" spans="1:5" x14ac:dyDescent="0.45">
      <c r="A1960" t="s">
        <v>55</v>
      </c>
      <c r="B1960" t="s">
        <v>47</v>
      </c>
      <c r="C1960" t="s">
        <v>48</v>
      </c>
      <c r="D1960" t="s">
        <v>50</v>
      </c>
      <c r="E1960">
        <v>0</v>
      </c>
    </row>
    <row r="1961" spans="1:5" x14ac:dyDescent="0.45">
      <c r="A1961" t="s">
        <v>55</v>
      </c>
      <c r="B1961" t="s">
        <v>47</v>
      </c>
      <c r="C1961" t="s">
        <v>48</v>
      </c>
      <c r="D1961" t="s">
        <v>50</v>
      </c>
      <c r="E1961">
        <v>0</v>
      </c>
    </row>
    <row r="1962" spans="1:5" x14ac:dyDescent="0.45">
      <c r="A1962" t="s">
        <v>55</v>
      </c>
      <c r="B1962" t="s">
        <v>47</v>
      </c>
      <c r="C1962" t="s">
        <v>48</v>
      </c>
      <c r="D1962" t="s">
        <v>50</v>
      </c>
      <c r="E1962">
        <v>0</v>
      </c>
    </row>
    <row r="1963" spans="1:5" x14ac:dyDescent="0.45">
      <c r="A1963" t="s">
        <v>55</v>
      </c>
      <c r="B1963" t="s">
        <v>47</v>
      </c>
      <c r="C1963" t="s">
        <v>48</v>
      </c>
      <c r="D1963" t="s">
        <v>50</v>
      </c>
      <c r="E1963">
        <v>0</v>
      </c>
    </row>
    <row r="1964" spans="1:5" x14ac:dyDescent="0.45">
      <c r="A1964" t="s">
        <v>55</v>
      </c>
      <c r="B1964" t="s">
        <v>47</v>
      </c>
      <c r="C1964" t="s">
        <v>48</v>
      </c>
      <c r="D1964" t="s">
        <v>50</v>
      </c>
      <c r="E1964">
        <v>0</v>
      </c>
    </row>
    <row r="1965" spans="1:5" x14ac:dyDescent="0.45">
      <c r="A1965" t="s">
        <v>55</v>
      </c>
      <c r="B1965" t="s">
        <v>47</v>
      </c>
      <c r="C1965" t="s">
        <v>48</v>
      </c>
      <c r="D1965" t="s">
        <v>50</v>
      </c>
      <c r="E1965">
        <v>0</v>
      </c>
    </row>
    <row r="1966" spans="1:5" x14ac:dyDescent="0.45">
      <c r="A1966" t="s">
        <v>55</v>
      </c>
      <c r="B1966" t="s">
        <v>47</v>
      </c>
      <c r="C1966" t="s">
        <v>48</v>
      </c>
      <c r="D1966" t="s">
        <v>50</v>
      </c>
      <c r="E1966">
        <v>0</v>
      </c>
    </row>
    <row r="1967" spans="1:5" x14ac:dyDescent="0.45">
      <c r="A1967" t="s">
        <v>55</v>
      </c>
      <c r="B1967" t="s">
        <v>47</v>
      </c>
      <c r="C1967" t="s">
        <v>48</v>
      </c>
      <c r="D1967" t="s">
        <v>50</v>
      </c>
      <c r="E1967">
        <v>0</v>
      </c>
    </row>
    <row r="1968" spans="1:5" x14ac:dyDescent="0.45">
      <c r="A1968" t="s">
        <v>55</v>
      </c>
      <c r="B1968" t="s">
        <v>47</v>
      </c>
      <c r="C1968" t="s">
        <v>48</v>
      </c>
      <c r="D1968" t="s">
        <v>50</v>
      </c>
      <c r="E1968">
        <v>0</v>
      </c>
    </row>
    <row r="1969" spans="1:5" x14ac:dyDescent="0.45">
      <c r="A1969" t="s">
        <v>55</v>
      </c>
      <c r="B1969" t="s">
        <v>47</v>
      </c>
      <c r="C1969" t="s">
        <v>48</v>
      </c>
      <c r="D1969" t="s">
        <v>50</v>
      </c>
      <c r="E1969">
        <v>0</v>
      </c>
    </row>
    <row r="1970" spans="1:5" x14ac:dyDescent="0.45">
      <c r="A1970" t="s">
        <v>55</v>
      </c>
      <c r="B1970" t="s">
        <v>47</v>
      </c>
      <c r="C1970" t="s">
        <v>48</v>
      </c>
      <c r="D1970" t="s">
        <v>50</v>
      </c>
      <c r="E1970">
        <v>0</v>
      </c>
    </row>
    <row r="1971" spans="1:5" x14ac:dyDescent="0.45">
      <c r="A1971" t="s">
        <v>55</v>
      </c>
      <c r="B1971" t="s">
        <v>47</v>
      </c>
      <c r="C1971" t="s">
        <v>48</v>
      </c>
      <c r="D1971" t="s">
        <v>50</v>
      </c>
      <c r="E1971">
        <v>0</v>
      </c>
    </row>
    <row r="1972" spans="1:5" x14ac:dyDescent="0.45">
      <c r="A1972" t="s">
        <v>55</v>
      </c>
      <c r="B1972" t="s">
        <v>47</v>
      </c>
      <c r="C1972" t="s">
        <v>48</v>
      </c>
      <c r="D1972" t="s">
        <v>50</v>
      </c>
      <c r="E1972">
        <v>0</v>
      </c>
    </row>
    <row r="1973" spans="1:5" x14ac:dyDescent="0.45">
      <c r="A1973" t="s">
        <v>55</v>
      </c>
      <c r="B1973" t="s">
        <v>47</v>
      </c>
      <c r="C1973" t="s">
        <v>48</v>
      </c>
      <c r="D1973" t="s">
        <v>50</v>
      </c>
      <c r="E1973">
        <v>0</v>
      </c>
    </row>
    <row r="1974" spans="1:5" x14ac:dyDescent="0.45">
      <c r="A1974" t="s">
        <v>55</v>
      </c>
      <c r="B1974" t="s">
        <v>47</v>
      </c>
      <c r="C1974" t="s">
        <v>48</v>
      </c>
      <c r="D1974" t="s">
        <v>50</v>
      </c>
      <c r="E1974">
        <v>0</v>
      </c>
    </row>
    <row r="1975" spans="1:5" x14ac:dyDescent="0.45">
      <c r="A1975" t="s">
        <v>55</v>
      </c>
      <c r="B1975" t="s">
        <v>47</v>
      </c>
      <c r="C1975" t="s">
        <v>48</v>
      </c>
      <c r="D1975" t="s">
        <v>50</v>
      </c>
      <c r="E1975">
        <v>0</v>
      </c>
    </row>
    <row r="1976" spans="1:5" x14ac:dyDescent="0.45">
      <c r="A1976" t="s">
        <v>55</v>
      </c>
      <c r="B1976" t="s">
        <v>47</v>
      </c>
      <c r="C1976" t="s">
        <v>48</v>
      </c>
      <c r="D1976" t="s">
        <v>50</v>
      </c>
      <c r="E1976">
        <v>0</v>
      </c>
    </row>
    <row r="1977" spans="1:5" x14ac:dyDescent="0.45">
      <c r="A1977" t="s">
        <v>55</v>
      </c>
      <c r="B1977" t="s">
        <v>47</v>
      </c>
      <c r="C1977" t="s">
        <v>48</v>
      </c>
      <c r="D1977" t="s">
        <v>50</v>
      </c>
      <c r="E1977">
        <v>0</v>
      </c>
    </row>
    <row r="1978" spans="1:5" x14ac:dyDescent="0.45">
      <c r="A1978" t="s">
        <v>55</v>
      </c>
      <c r="B1978" t="s">
        <v>47</v>
      </c>
      <c r="C1978" t="s">
        <v>48</v>
      </c>
      <c r="D1978" t="s">
        <v>50</v>
      </c>
      <c r="E1978">
        <v>0</v>
      </c>
    </row>
    <row r="1979" spans="1:5" x14ac:dyDescent="0.45">
      <c r="A1979" t="s">
        <v>55</v>
      </c>
      <c r="B1979" t="s">
        <v>47</v>
      </c>
      <c r="C1979" t="s">
        <v>48</v>
      </c>
      <c r="D1979" t="s">
        <v>50</v>
      </c>
      <c r="E1979">
        <v>0</v>
      </c>
    </row>
    <row r="1980" spans="1:5" x14ac:dyDescent="0.45">
      <c r="A1980" t="s">
        <v>55</v>
      </c>
      <c r="B1980" t="s">
        <v>47</v>
      </c>
      <c r="C1980" t="s">
        <v>48</v>
      </c>
      <c r="D1980" t="s">
        <v>50</v>
      </c>
      <c r="E1980">
        <v>0</v>
      </c>
    </row>
    <row r="1981" spans="1:5" x14ac:dyDescent="0.45">
      <c r="A1981" t="s">
        <v>55</v>
      </c>
      <c r="B1981" t="s">
        <v>47</v>
      </c>
      <c r="C1981" t="s">
        <v>48</v>
      </c>
      <c r="D1981" t="s">
        <v>50</v>
      </c>
      <c r="E1981">
        <v>0</v>
      </c>
    </row>
    <row r="1982" spans="1:5" x14ac:dyDescent="0.45">
      <c r="A1982" t="s">
        <v>55</v>
      </c>
      <c r="B1982" t="s">
        <v>47</v>
      </c>
      <c r="C1982" t="s">
        <v>48</v>
      </c>
      <c r="D1982" t="s">
        <v>50</v>
      </c>
      <c r="E1982">
        <v>0</v>
      </c>
    </row>
    <row r="1983" spans="1:5" x14ac:dyDescent="0.45">
      <c r="A1983" t="s">
        <v>55</v>
      </c>
      <c r="B1983" t="s">
        <v>47</v>
      </c>
      <c r="C1983" t="s">
        <v>48</v>
      </c>
      <c r="D1983" t="s">
        <v>50</v>
      </c>
      <c r="E1983">
        <v>0</v>
      </c>
    </row>
    <row r="1984" spans="1:5" x14ac:dyDescent="0.45">
      <c r="A1984" t="s">
        <v>55</v>
      </c>
      <c r="B1984" t="s">
        <v>47</v>
      </c>
      <c r="C1984" t="s">
        <v>48</v>
      </c>
      <c r="D1984" t="s">
        <v>50</v>
      </c>
      <c r="E1984">
        <v>0</v>
      </c>
    </row>
    <row r="1985" spans="1:5" x14ac:dyDescent="0.45">
      <c r="A1985" t="s">
        <v>55</v>
      </c>
      <c r="B1985" t="s">
        <v>47</v>
      </c>
      <c r="C1985" t="s">
        <v>48</v>
      </c>
      <c r="D1985" t="s">
        <v>50</v>
      </c>
      <c r="E1985">
        <v>0</v>
      </c>
    </row>
    <row r="1986" spans="1:5" x14ac:dyDescent="0.45">
      <c r="A1986" t="s">
        <v>55</v>
      </c>
      <c r="B1986" t="s">
        <v>47</v>
      </c>
      <c r="C1986" t="s">
        <v>48</v>
      </c>
      <c r="D1986" t="s">
        <v>50</v>
      </c>
      <c r="E1986">
        <v>0</v>
      </c>
    </row>
    <row r="1987" spans="1:5" x14ac:dyDescent="0.45">
      <c r="A1987" t="s">
        <v>55</v>
      </c>
      <c r="B1987" t="s">
        <v>47</v>
      </c>
      <c r="C1987" t="s">
        <v>48</v>
      </c>
      <c r="D1987" t="s">
        <v>50</v>
      </c>
      <c r="E1987">
        <v>0</v>
      </c>
    </row>
    <row r="1988" spans="1:5" x14ac:dyDescent="0.45">
      <c r="A1988" t="s">
        <v>55</v>
      </c>
      <c r="B1988" t="s">
        <v>47</v>
      </c>
      <c r="C1988" t="s">
        <v>48</v>
      </c>
      <c r="D1988" t="s">
        <v>50</v>
      </c>
      <c r="E1988">
        <v>0</v>
      </c>
    </row>
    <row r="1989" spans="1:5" x14ac:dyDescent="0.45">
      <c r="A1989" t="s">
        <v>55</v>
      </c>
      <c r="B1989" t="s">
        <v>47</v>
      </c>
      <c r="C1989" t="s">
        <v>48</v>
      </c>
      <c r="D1989" t="s">
        <v>50</v>
      </c>
      <c r="E1989">
        <v>0</v>
      </c>
    </row>
    <row r="1990" spans="1:5" x14ac:dyDescent="0.45">
      <c r="A1990" t="s">
        <v>55</v>
      </c>
      <c r="B1990" t="s">
        <v>47</v>
      </c>
      <c r="C1990" t="s">
        <v>48</v>
      </c>
      <c r="D1990" t="s">
        <v>50</v>
      </c>
      <c r="E1990">
        <v>0</v>
      </c>
    </row>
    <row r="1991" spans="1:5" x14ac:dyDescent="0.45">
      <c r="A1991" t="s">
        <v>55</v>
      </c>
      <c r="B1991" t="s">
        <v>47</v>
      </c>
      <c r="C1991" t="s">
        <v>48</v>
      </c>
      <c r="D1991" t="s">
        <v>50</v>
      </c>
      <c r="E1991">
        <v>0</v>
      </c>
    </row>
    <row r="1992" spans="1:5" x14ac:dyDescent="0.45">
      <c r="A1992" t="s">
        <v>55</v>
      </c>
      <c r="B1992" t="s">
        <v>47</v>
      </c>
      <c r="C1992" t="s">
        <v>48</v>
      </c>
      <c r="D1992" t="s">
        <v>50</v>
      </c>
      <c r="E1992">
        <v>0</v>
      </c>
    </row>
    <row r="1993" spans="1:5" x14ac:dyDescent="0.45">
      <c r="A1993" t="s">
        <v>55</v>
      </c>
      <c r="B1993" t="s">
        <v>47</v>
      </c>
      <c r="C1993" t="s">
        <v>48</v>
      </c>
      <c r="D1993" t="s">
        <v>50</v>
      </c>
      <c r="E1993">
        <v>0</v>
      </c>
    </row>
    <row r="1994" spans="1:5" x14ac:dyDescent="0.45">
      <c r="A1994" t="s">
        <v>55</v>
      </c>
      <c r="B1994" t="s">
        <v>47</v>
      </c>
      <c r="C1994" t="s">
        <v>48</v>
      </c>
      <c r="D1994" t="s">
        <v>50</v>
      </c>
      <c r="E1994">
        <v>0</v>
      </c>
    </row>
    <row r="1995" spans="1:5" x14ac:dyDescent="0.45">
      <c r="A1995" t="s">
        <v>55</v>
      </c>
      <c r="B1995" t="s">
        <v>47</v>
      </c>
      <c r="C1995" t="s">
        <v>48</v>
      </c>
      <c r="D1995" t="s">
        <v>50</v>
      </c>
      <c r="E1995">
        <v>0</v>
      </c>
    </row>
    <row r="1996" spans="1:5" x14ac:dyDescent="0.45">
      <c r="A1996" t="s">
        <v>55</v>
      </c>
      <c r="B1996" t="s">
        <v>47</v>
      </c>
      <c r="C1996" t="s">
        <v>48</v>
      </c>
      <c r="D1996" t="s">
        <v>50</v>
      </c>
      <c r="E1996">
        <v>0</v>
      </c>
    </row>
    <row r="1997" spans="1:5" x14ac:dyDescent="0.45">
      <c r="A1997" t="s">
        <v>55</v>
      </c>
      <c r="B1997" t="s">
        <v>47</v>
      </c>
      <c r="C1997" t="s">
        <v>48</v>
      </c>
      <c r="D1997" t="s">
        <v>50</v>
      </c>
      <c r="E1997">
        <v>0</v>
      </c>
    </row>
    <row r="1998" spans="1:5" x14ac:dyDescent="0.45">
      <c r="A1998" t="s">
        <v>55</v>
      </c>
      <c r="B1998" t="s">
        <v>47</v>
      </c>
      <c r="C1998" t="s">
        <v>48</v>
      </c>
      <c r="D1998" t="s">
        <v>50</v>
      </c>
      <c r="E1998">
        <v>0</v>
      </c>
    </row>
    <row r="1999" spans="1:5" x14ac:dyDescent="0.45">
      <c r="A1999" t="s">
        <v>55</v>
      </c>
      <c r="B1999" t="s">
        <v>47</v>
      </c>
      <c r="C1999" t="s">
        <v>48</v>
      </c>
      <c r="D1999" t="s">
        <v>50</v>
      </c>
      <c r="E1999">
        <v>0</v>
      </c>
    </row>
    <row r="2000" spans="1:5" x14ac:dyDescent="0.45">
      <c r="A2000" t="s">
        <v>55</v>
      </c>
      <c r="B2000" t="s">
        <v>47</v>
      </c>
      <c r="C2000" t="s">
        <v>48</v>
      </c>
      <c r="D2000" t="s">
        <v>50</v>
      </c>
      <c r="E2000">
        <v>0</v>
      </c>
    </row>
    <row r="2001" spans="1:5" x14ac:dyDescent="0.45">
      <c r="A2001" t="s">
        <v>55</v>
      </c>
      <c r="B2001" t="s">
        <v>47</v>
      </c>
      <c r="C2001" t="s">
        <v>48</v>
      </c>
      <c r="D2001" t="s">
        <v>50</v>
      </c>
      <c r="E2001">
        <v>0</v>
      </c>
    </row>
    <row r="2002" spans="1:5" x14ac:dyDescent="0.45">
      <c r="A2002" t="s">
        <v>55</v>
      </c>
      <c r="B2002" t="s">
        <v>47</v>
      </c>
      <c r="C2002" t="s">
        <v>48</v>
      </c>
      <c r="D2002" t="s">
        <v>50</v>
      </c>
      <c r="E2002">
        <v>0</v>
      </c>
    </row>
    <row r="2003" spans="1:5" x14ac:dyDescent="0.45">
      <c r="A2003" t="s">
        <v>55</v>
      </c>
      <c r="B2003" t="s">
        <v>47</v>
      </c>
      <c r="C2003" t="s">
        <v>48</v>
      </c>
      <c r="D2003" t="s">
        <v>50</v>
      </c>
      <c r="E2003">
        <v>0</v>
      </c>
    </row>
    <row r="2004" spans="1:5" x14ac:dyDescent="0.45">
      <c r="A2004" t="s">
        <v>55</v>
      </c>
      <c r="B2004" t="s">
        <v>47</v>
      </c>
      <c r="C2004" t="s">
        <v>48</v>
      </c>
      <c r="D2004" t="s">
        <v>50</v>
      </c>
      <c r="E2004">
        <v>0</v>
      </c>
    </row>
    <row r="2005" spans="1:5" x14ac:dyDescent="0.45">
      <c r="A2005" t="s">
        <v>55</v>
      </c>
      <c r="B2005" t="s">
        <v>47</v>
      </c>
      <c r="C2005" t="s">
        <v>48</v>
      </c>
      <c r="D2005" t="s">
        <v>50</v>
      </c>
      <c r="E2005">
        <v>0</v>
      </c>
    </row>
    <row r="2006" spans="1:5" x14ac:dyDescent="0.45">
      <c r="A2006" t="s">
        <v>55</v>
      </c>
      <c r="B2006" t="s">
        <v>47</v>
      </c>
      <c r="C2006" t="s">
        <v>48</v>
      </c>
      <c r="D2006" t="s">
        <v>50</v>
      </c>
      <c r="E2006">
        <v>0</v>
      </c>
    </row>
    <row r="2007" spans="1:5" x14ac:dyDescent="0.45">
      <c r="A2007" t="s">
        <v>55</v>
      </c>
      <c r="B2007" t="s">
        <v>47</v>
      </c>
      <c r="C2007" t="s">
        <v>48</v>
      </c>
      <c r="D2007" t="s">
        <v>50</v>
      </c>
      <c r="E2007">
        <v>0</v>
      </c>
    </row>
    <row r="2008" spans="1:5" x14ac:dyDescent="0.45">
      <c r="A2008" t="s">
        <v>55</v>
      </c>
      <c r="B2008" t="s">
        <v>47</v>
      </c>
      <c r="C2008" t="s">
        <v>48</v>
      </c>
      <c r="D2008" t="s">
        <v>50</v>
      </c>
      <c r="E2008">
        <v>0</v>
      </c>
    </row>
    <row r="2009" spans="1:5" x14ac:dyDescent="0.45">
      <c r="A2009" t="s">
        <v>55</v>
      </c>
      <c r="B2009" t="s">
        <v>47</v>
      </c>
      <c r="C2009" t="s">
        <v>48</v>
      </c>
      <c r="D2009" t="s">
        <v>50</v>
      </c>
      <c r="E2009">
        <v>0</v>
      </c>
    </row>
    <row r="2010" spans="1:5" x14ac:dyDescent="0.45">
      <c r="A2010" t="s">
        <v>55</v>
      </c>
      <c r="B2010" t="s">
        <v>47</v>
      </c>
      <c r="C2010" t="s">
        <v>48</v>
      </c>
      <c r="D2010" t="s">
        <v>50</v>
      </c>
      <c r="E2010">
        <v>0</v>
      </c>
    </row>
    <row r="2011" spans="1:5" x14ac:dyDescent="0.45">
      <c r="A2011" t="s">
        <v>55</v>
      </c>
      <c r="B2011" t="s">
        <v>47</v>
      </c>
      <c r="C2011" t="s">
        <v>48</v>
      </c>
      <c r="D2011" t="s">
        <v>50</v>
      </c>
      <c r="E2011">
        <v>0</v>
      </c>
    </row>
    <row r="2012" spans="1:5" x14ac:dyDescent="0.45">
      <c r="A2012" t="s">
        <v>55</v>
      </c>
      <c r="B2012" t="s">
        <v>47</v>
      </c>
      <c r="C2012" t="s">
        <v>48</v>
      </c>
      <c r="D2012" t="s">
        <v>50</v>
      </c>
      <c r="E2012">
        <v>0</v>
      </c>
    </row>
    <row r="2013" spans="1:5" x14ac:dyDescent="0.45">
      <c r="A2013" t="s">
        <v>55</v>
      </c>
      <c r="B2013" t="s">
        <v>47</v>
      </c>
      <c r="C2013" t="s">
        <v>48</v>
      </c>
      <c r="D2013" t="s">
        <v>50</v>
      </c>
      <c r="E2013">
        <v>0</v>
      </c>
    </row>
    <row r="2014" spans="1:5" x14ac:dyDescent="0.45">
      <c r="A2014" t="s">
        <v>55</v>
      </c>
      <c r="B2014" t="s">
        <v>47</v>
      </c>
      <c r="C2014" t="s">
        <v>48</v>
      </c>
      <c r="D2014" t="s">
        <v>50</v>
      </c>
      <c r="E2014">
        <v>0</v>
      </c>
    </row>
    <row r="2015" spans="1:5" x14ac:dyDescent="0.45">
      <c r="A2015" t="s">
        <v>55</v>
      </c>
      <c r="B2015" t="s">
        <v>47</v>
      </c>
      <c r="C2015" t="s">
        <v>48</v>
      </c>
      <c r="D2015" t="s">
        <v>50</v>
      </c>
      <c r="E2015">
        <v>0</v>
      </c>
    </row>
    <row r="2016" spans="1:5" x14ac:dyDescent="0.45">
      <c r="A2016" t="s">
        <v>55</v>
      </c>
      <c r="B2016" t="s">
        <v>47</v>
      </c>
      <c r="C2016" t="s">
        <v>48</v>
      </c>
      <c r="D2016" t="s">
        <v>50</v>
      </c>
      <c r="E2016">
        <v>0</v>
      </c>
    </row>
    <row r="2017" spans="1:5" x14ac:dyDescent="0.45">
      <c r="A2017" t="s">
        <v>55</v>
      </c>
      <c r="B2017" t="s">
        <v>47</v>
      </c>
      <c r="C2017" t="s">
        <v>48</v>
      </c>
      <c r="D2017" t="s">
        <v>50</v>
      </c>
      <c r="E2017">
        <v>0</v>
      </c>
    </row>
    <row r="2018" spans="1:5" x14ac:dyDescent="0.45">
      <c r="A2018" t="s">
        <v>55</v>
      </c>
      <c r="B2018" t="s">
        <v>47</v>
      </c>
      <c r="C2018" t="s">
        <v>48</v>
      </c>
      <c r="D2018" t="s">
        <v>50</v>
      </c>
      <c r="E2018">
        <v>0</v>
      </c>
    </row>
    <row r="2019" spans="1:5" x14ac:dyDescent="0.45">
      <c r="A2019" t="s">
        <v>55</v>
      </c>
      <c r="B2019" t="s">
        <v>47</v>
      </c>
      <c r="C2019" t="s">
        <v>48</v>
      </c>
      <c r="D2019" t="s">
        <v>50</v>
      </c>
      <c r="E2019">
        <v>0</v>
      </c>
    </row>
    <row r="2020" spans="1:5" x14ac:dyDescent="0.45">
      <c r="A2020" t="s">
        <v>55</v>
      </c>
      <c r="B2020" t="s">
        <v>47</v>
      </c>
      <c r="C2020" t="s">
        <v>48</v>
      </c>
      <c r="D2020" t="s">
        <v>50</v>
      </c>
      <c r="E2020">
        <v>0</v>
      </c>
    </row>
    <row r="2021" spans="1:5" x14ac:dyDescent="0.45">
      <c r="A2021" t="s">
        <v>55</v>
      </c>
      <c r="B2021" t="s">
        <v>47</v>
      </c>
      <c r="C2021" t="s">
        <v>48</v>
      </c>
      <c r="D2021" t="s">
        <v>50</v>
      </c>
      <c r="E2021">
        <v>0</v>
      </c>
    </row>
    <row r="2022" spans="1:5" x14ac:dyDescent="0.45">
      <c r="A2022" t="s">
        <v>55</v>
      </c>
      <c r="B2022" t="s">
        <v>47</v>
      </c>
      <c r="C2022" t="s">
        <v>48</v>
      </c>
      <c r="D2022" t="s">
        <v>50</v>
      </c>
      <c r="E2022">
        <v>0</v>
      </c>
    </row>
    <row r="2023" spans="1:5" x14ac:dyDescent="0.45">
      <c r="A2023" t="s">
        <v>55</v>
      </c>
      <c r="B2023" t="s">
        <v>47</v>
      </c>
      <c r="C2023" t="s">
        <v>48</v>
      </c>
      <c r="D2023" t="s">
        <v>50</v>
      </c>
      <c r="E2023">
        <v>0</v>
      </c>
    </row>
    <row r="2024" spans="1:5" x14ac:dyDescent="0.45">
      <c r="A2024" t="s">
        <v>55</v>
      </c>
      <c r="B2024" t="s">
        <v>47</v>
      </c>
      <c r="C2024" t="s">
        <v>48</v>
      </c>
      <c r="D2024" t="s">
        <v>50</v>
      </c>
      <c r="E2024">
        <v>0</v>
      </c>
    </row>
    <row r="2025" spans="1:5" x14ac:dyDescent="0.45">
      <c r="A2025" t="s">
        <v>55</v>
      </c>
      <c r="B2025" t="s">
        <v>47</v>
      </c>
      <c r="C2025" t="s">
        <v>48</v>
      </c>
      <c r="D2025" t="s">
        <v>50</v>
      </c>
      <c r="E2025">
        <v>0</v>
      </c>
    </row>
    <row r="2026" spans="1:5" x14ac:dyDescent="0.45">
      <c r="A2026" t="s">
        <v>55</v>
      </c>
      <c r="B2026" t="s">
        <v>47</v>
      </c>
      <c r="C2026" t="s">
        <v>48</v>
      </c>
      <c r="D2026" t="s">
        <v>50</v>
      </c>
      <c r="E2026">
        <v>0</v>
      </c>
    </row>
    <row r="2027" spans="1:5" x14ac:dyDescent="0.45">
      <c r="A2027" t="s">
        <v>55</v>
      </c>
      <c r="B2027" t="s">
        <v>47</v>
      </c>
      <c r="C2027" t="s">
        <v>48</v>
      </c>
      <c r="D2027" t="s">
        <v>50</v>
      </c>
      <c r="E2027">
        <v>0</v>
      </c>
    </row>
    <row r="2028" spans="1:5" x14ac:dyDescent="0.45">
      <c r="A2028" t="s">
        <v>55</v>
      </c>
      <c r="B2028" t="s">
        <v>47</v>
      </c>
      <c r="C2028" t="s">
        <v>48</v>
      </c>
      <c r="D2028" t="s">
        <v>50</v>
      </c>
      <c r="E2028">
        <v>0</v>
      </c>
    </row>
    <row r="2029" spans="1:5" x14ac:dyDescent="0.45">
      <c r="A2029" t="s">
        <v>55</v>
      </c>
      <c r="B2029" t="s">
        <v>47</v>
      </c>
      <c r="C2029" t="s">
        <v>48</v>
      </c>
      <c r="D2029" t="s">
        <v>50</v>
      </c>
      <c r="E2029">
        <v>0</v>
      </c>
    </row>
    <row r="2030" spans="1:5" x14ac:dyDescent="0.45">
      <c r="A2030" t="s">
        <v>55</v>
      </c>
      <c r="B2030" t="s">
        <v>47</v>
      </c>
      <c r="C2030" t="s">
        <v>48</v>
      </c>
      <c r="D2030" t="s">
        <v>50</v>
      </c>
      <c r="E2030">
        <v>0</v>
      </c>
    </row>
    <row r="2031" spans="1:5" x14ac:dyDescent="0.45">
      <c r="A2031" t="s">
        <v>55</v>
      </c>
      <c r="B2031" t="s">
        <v>47</v>
      </c>
      <c r="C2031" t="s">
        <v>48</v>
      </c>
      <c r="D2031" t="s">
        <v>50</v>
      </c>
      <c r="E2031">
        <v>0</v>
      </c>
    </row>
    <row r="2032" spans="1:5" x14ac:dyDescent="0.45">
      <c r="A2032" t="s">
        <v>55</v>
      </c>
      <c r="B2032" t="s">
        <v>47</v>
      </c>
      <c r="C2032" t="s">
        <v>48</v>
      </c>
      <c r="D2032" t="s">
        <v>50</v>
      </c>
      <c r="E2032">
        <v>0</v>
      </c>
    </row>
    <row r="2033" spans="1:5" x14ac:dyDescent="0.45">
      <c r="A2033" t="s">
        <v>55</v>
      </c>
      <c r="B2033" t="s">
        <v>47</v>
      </c>
      <c r="C2033" t="s">
        <v>48</v>
      </c>
      <c r="D2033" t="s">
        <v>50</v>
      </c>
      <c r="E2033">
        <v>0</v>
      </c>
    </row>
    <row r="2034" spans="1:5" x14ac:dyDescent="0.45">
      <c r="A2034" t="s">
        <v>55</v>
      </c>
      <c r="B2034" t="s">
        <v>47</v>
      </c>
      <c r="C2034" t="s">
        <v>48</v>
      </c>
      <c r="D2034" t="s">
        <v>50</v>
      </c>
      <c r="E2034">
        <v>0</v>
      </c>
    </row>
    <row r="2035" spans="1:5" x14ac:dyDescent="0.45">
      <c r="A2035" t="s">
        <v>55</v>
      </c>
      <c r="B2035" t="s">
        <v>47</v>
      </c>
      <c r="C2035" t="s">
        <v>48</v>
      </c>
      <c r="D2035" t="s">
        <v>50</v>
      </c>
      <c r="E2035">
        <v>0</v>
      </c>
    </row>
    <row r="2036" spans="1:5" x14ac:dyDescent="0.45">
      <c r="A2036" t="s">
        <v>55</v>
      </c>
      <c r="B2036" t="s">
        <v>47</v>
      </c>
      <c r="C2036" t="s">
        <v>48</v>
      </c>
      <c r="D2036" t="s">
        <v>50</v>
      </c>
      <c r="E2036">
        <v>0</v>
      </c>
    </row>
    <row r="2037" spans="1:5" x14ac:dyDescent="0.45">
      <c r="A2037" t="s">
        <v>55</v>
      </c>
      <c r="B2037" t="s">
        <v>47</v>
      </c>
      <c r="C2037" t="s">
        <v>48</v>
      </c>
      <c r="D2037" t="s">
        <v>50</v>
      </c>
      <c r="E2037">
        <v>0</v>
      </c>
    </row>
    <row r="2038" spans="1:5" x14ac:dyDescent="0.45">
      <c r="A2038" t="s">
        <v>55</v>
      </c>
      <c r="B2038" t="s">
        <v>47</v>
      </c>
      <c r="C2038" t="s">
        <v>48</v>
      </c>
      <c r="D2038" t="s">
        <v>50</v>
      </c>
      <c r="E2038">
        <v>0</v>
      </c>
    </row>
    <row r="2039" spans="1:5" x14ac:dyDescent="0.45">
      <c r="A2039" t="s">
        <v>55</v>
      </c>
      <c r="B2039" t="s">
        <v>47</v>
      </c>
      <c r="C2039" t="s">
        <v>48</v>
      </c>
      <c r="D2039" t="s">
        <v>50</v>
      </c>
      <c r="E2039">
        <v>0</v>
      </c>
    </row>
    <row r="2040" spans="1:5" x14ac:dyDescent="0.45">
      <c r="A2040" t="s">
        <v>55</v>
      </c>
      <c r="B2040" t="s">
        <v>47</v>
      </c>
      <c r="C2040" t="s">
        <v>48</v>
      </c>
      <c r="D2040" t="s">
        <v>50</v>
      </c>
      <c r="E2040">
        <v>0</v>
      </c>
    </row>
    <row r="2041" spans="1:5" x14ac:dyDescent="0.45">
      <c r="A2041" t="s">
        <v>55</v>
      </c>
      <c r="B2041" t="s">
        <v>47</v>
      </c>
      <c r="C2041" t="s">
        <v>48</v>
      </c>
      <c r="D2041" t="s">
        <v>50</v>
      </c>
      <c r="E2041">
        <v>0</v>
      </c>
    </row>
    <row r="2042" spans="1:5" x14ac:dyDescent="0.45">
      <c r="A2042" t="s">
        <v>55</v>
      </c>
      <c r="B2042" t="s">
        <v>47</v>
      </c>
      <c r="C2042" t="s">
        <v>48</v>
      </c>
      <c r="D2042" t="s">
        <v>50</v>
      </c>
      <c r="E2042">
        <v>0</v>
      </c>
    </row>
    <row r="2043" spans="1:5" x14ac:dyDescent="0.45">
      <c r="A2043" t="s">
        <v>55</v>
      </c>
      <c r="B2043" t="s">
        <v>47</v>
      </c>
      <c r="C2043" t="s">
        <v>48</v>
      </c>
      <c r="D2043" t="s">
        <v>50</v>
      </c>
      <c r="E2043">
        <v>0</v>
      </c>
    </row>
    <row r="2044" spans="1:5" x14ac:dyDescent="0.45">
      <c r="A2044" t="s">
        <v>55</v>
      </c>
      <c r="B2044" t="s">
        <v>47</v>
      </c>
      <c r="C2044" t="s">
        <v>48</v>
      </c>
      <c r="D2044" t="s">
        <v>50</v>
      </c>
      <c r="E2044">
        <v>0</v>
      </c>
    </row>
    <row r="2045" spans="1:5" x14ac:dyDescent="0.45">
      <c r="A2045" t="s">
        <v>55</v>
      </c>
      <c r="B2045" t="s">
        <v>47</v>
      </c>
      <c r="C2045" t="s">
        <v>48</v>
      </c>
      <c r="D2045" t="s">
        <v>50</v>
      </c>
      <c r="E2045">
        <v>0</v>
      </c>
    </row>
    <row r="2046" spans="1:5" x14ac:dyDescent="0.45">
      <c r="A2046" t="s">
        <v>55</v>
      </c>
      <c r="B2046" t="s">
        <v>47</v>
      </c>
      <c r="C2046" t="s">
        <v>48</v>
      </c>
      <c r="D2046" t="s">
        <v>50</v>
      </c>
      <c r="E2046">
        <v>0</v>
      </c>
    </row>
    <row r="2047" spans="1:5" x14ac:dyDescent="0.45">
      <c r="A2047" t="s">
        <v>55</v>
      </c>
      <c r="B2047" t="s">
        <v>47</v>
      </c>
      <c r="C2047" t="s">
        <v>48</v>
      </c>
      <c r="D2047" t="s">
        <v>50</v>
      </c>
      <c r="E2047">
        <v>0</v>
      </c>
    </row>
    <row r="2048" spans="1:5" x14ac:dyDescent="0.45">
      <c r="A2048" t="s">
        <v>55</v>
      </c>
      <c r="B2048" t="s">
        <v>47</v>
      </c>
      <c r="C2048" t="s">
        <v>48</v>
      </c>
      <c r="D2048" t="s">
        <v>50</v>
      </c>
      <c r="E2048">
        <v>0</v>
      </c>
    </row>
    <row r="2049" spans="1:5" x14ac:dyDescent="0.45">
      <c r="A2049" t="s">
        <v>55</v>
      </c>
      <c r="B2049" t="s">
        <v>47</v>
      </c>
      <c r="C2049" t="s">
        <v>48</v>
      </c>
      <c r="D2049" t="s">
        <v>50</v>
      </c>
      <c r="E2049">
        <v>0</v>
      </c>
    </row>
    <row r="2050" spans="1:5" x14ac:dyDescent="0.45">
      <c r="A2050" t="s">
        <v>55</v>
      </c>
      <c r="B2050" t="s">
        <v>47</v>
      </c>
      <c r="C2050" t="s">
        <v>48</v>
      </c>
      <c r="D2050" t="s">
        <v>50</v>
      </c>
      <c r="E2050">
        <v>0</v>
      </c>
    </row>
    <row r="2051" spans="1:5" x14ac:dyDescent="0.45">
      <c r="A2051" t="s">
        <v>55</v>
      </c>
      <c r="B2051" t="s">
        <v>47</v>
      </c>
      <c r="C2051" t="s">
        <v>48</v>
      </c>
      <c r="D2051" t="s">
        <v>50</v>
      </c>
      <c r="E2051">
        <v>0</v>
      </c>
    </row>
    <row r="2052" spans="1:5" x14ac:dyDescent="0.45">
      <c r="A2052" t="s">
        <v>55</v>
      </c>
      <c r="B2052" t="s">
        <v>47</v>
      </c>
      <c r="C2052" t="s">
        <v>48</v>
      </c>
      <c r="D2052" t="s">
        <v>50</v>
      </c>
      <c r="E2052">
        <v>0</v>
      </c>
    </row>
    <row r="2053" spans="1:5" x14ac:dyDescent="0.45">
      <c r="A2053" t="s">
        <v>55</v>
      </c>
      <c r="B2053" t="s">
        <v>47</v>
      </c>
      <c r="C2053" t="s">
        <v>48</v>
      </c>
      <c r="D2053" t="s">
        <v>50</v>
      </c>
      <c r="E2053">
        <v>0</v>
      </c>
    </row>
    <row r="2054" spans="1:5" x14ac:dyDescent="0.45">
      <c r="A2054" t="s">
        <v>55</v>
      </c>
      <c r="B2054" t="s">
        <v>47</v>
      </c>
      <c r="C2054" t="s">
        <v>48</v>
      </c>
      <c r="D2054" t="s">
        <v>50</v>
      </c>
      <c r="E2054">
        <v>0</v>
      </c>
    </row>
    <row r="2055" spans="1:5" x14ac:dyDescent="0.45">
      <c r="A2055" t="s">
        <v>55</v>
      </c>
      <c r="B2055" t="s">
        <v>47</v>
      </c>
      <c r="C2055" t="s">
        <v>48</v>
      </c>
      <c r="D2055" t="s">
        <v>50</v>
      </c>
      <c r="E2055">
        <v>0</v>
      </c>
    </row>
    <row r="2056" spans="1:5" x14ac:dyDescent="0.45">
      <c r="A2056" t="s">
        <v>55</v>
      </c>
      <c r="B2056" t="s">
        <v>47</v>
      </c>
      <c r="C2056" t="s">
        <v>48</v>
      </c>
      <c r="D2056" t="s">
        <v>50</v>
      </c>
      <c r="E2056">
        <v>0</v>
      </c>
    </row>
    <row r="2057" spans="1:5" x14ac:dyDescent="0.45">
      <c r="A2057" t="s">
        <v>55</v>
      </c>
      <c r="B2057" t="s">
        <v>47</v>
      </c>
      <c r="C2057" t="s">
        <v>48</v>
      </c>
      <c r="D2057" t="s">
        <v>50</v>
      </c>
      <c r="E2057">
        <v>0</v>
      </c>
    </row>
    <row r="2058" spans="1:5" x14ac:dyDescent="0.45">
      <c r="A2058" t="s">
        <v>55</v>
      </c>
      <c r="B2058" t="s">
        <v>47</v>
      </c>
      <c r="C2058" t="s">
        <v>48</v>
      </c>
      <c r="D2058" t="s">
        <v>50</v>
      </c>
      <c r="E2058">
        <v>0</v>
      </c>
    </row>
    <row r="2059" spans="1:5" x14ac:dyDescent="0.45">
      <c r="A2059" t="s">
        <v>55</v>
      </c>
      <c r="B2059" t="s">
        <v>47</v>
      </c>
      <c r="C2059" t="s">
        <v>48</v>
      </c>
      <c r="D2059" t="s">
        <v>50</v>
      </c>
      <c r="E2059">
        <v>0</v>
      </c>
    </row>
    <row r="2060" spans="1:5" x14ac:dyDescent="0.45">
      <c r="A2060" t="s">
        <v>55</v>
      </c>
      <c r="B2060" t="s">
        <v>47</v>
      </c>
      <c r="C2060" t="s">
        <v>48</v>
      </c>
      <c r="D2060" t="s">
        <v>50</v>
      </c>
      <c r="E2060">
        <v>0</v>
      </c>
    </row>
    <row r="2061" spans="1:5" x14ac:dyDescent="0.45">
      <c r="A2061" t="s">
        <v>55</v>
      </c>
      <c r="B2061" t="s">
        <v>47</v>
      </c>
      <c r="C2061" t="s">
        <v>48</v>
      </c>
      <c r="D2061" t="s">
        <v>50</v>
      </c>
      <c r="E2061">
        <v>0</v>
      </c>
    </row>
    <row r="2062" spans="1:5" x14ac:dyDescent="0.45">
      <c r="A2062" t="s">
        <v>55</v>
      </c>
      <c r="B2062" t="s">
        <v>47</v>
      </c>
      <c r="C2062" t="s">
        <v>48</v>
      </c>
      <c r="D2062" t="s">
        <v>50</v>
      </c>
      <c r="E2062">
        <v>0</v>
      </c>
    </row>
    <row r="2063" spans="1:5" x14ac:dyDescent="0.45">
      <c r="A2063" t="s">
        <v>55</v>
      </c>
      <c r="B2063" t="s">
        <v>47</v>
      </c>
      <c r="C2063" t="s">
        <v>48</v>
      </c>
      <c r="D2063" t="s">
        <v>50</v>
      </c>
      <c r="E2063">
        <v>0</v>
      </c>
    </row>
    <row r="2064" spans="1:5" x14ac:dyDescent="0.45">
      <c r="A2064" t="s">
        <v>55</v>
      </c>
      <c r="B2064" t="s">
        <v>47</v>
      </c>
      <c r="C2064" t="s">
        <v>48</v>
      </c>
      <c r="D2064" t="s">
        <v>50</v>
      </c>
      <c r="E2064">
        <v>0</v>
      </c>
    </row>
    <row r="2065" spans="1:5" x14ac:dyDescent="0.45">
      <c r="A2065" t="s">
        <v>55</v>
      </c>
      <c r="B2065" t="s">
        <v>47</v>
      </c>
      <c r="C2065" t="s">
        <v>48</v>
      </c>
      <c r="D2065" t="s">
        <v>50</v>
      </c>
      <c r="E2065">
        <v>0</v>
      </c>
    </row>
    <row r="2066" spans="1:5" x14ac:dyDescent="0.45">
      <c r="A2066" t="s">
        <v>55</v>
      </c>
      <c r="B2066" t="s">
        <v>47</v>
      </c>
      <c r="C2066" t="s">
        <v>48</v>
      </c>
      <c r="D2066" t="s">
        <v>50</v>
      </c>
      <c r="E2066">
        <v>0</v>
      </c>
    </row>
    <row r="2067" spans="1:5" x14ac:dyDescent="0.45">
      <c r="A2067" t="s">
        <v>55</v>
      </c>
      <c r="B2067" t="s">
        <v>47</v>
      </c>
      <c r="C2067" t="s">
        <v>48</v>
      </c>
      <c r="D2067" t="s">
        <v>50</v>
      </c>
      <c r="E2067">
        <v>0</v>
      </c>
    </row>
    <row r="2068" spans="1:5" x14ac:dyDescent="0.45">
      <c r="A2068" t="s">
        <v>55</v>
      </c>
      <c r="B2068" t="s">
        <v>47</v>
      </c>
      <c r="C2068" t="s">
        <v>48</v>
      </c>
      <c r="D2068" t="s">
        <v>50</v>
      </c>
      <c r="E2068">
        <v>0</v>
      </c>
    </row>
    <row r="2069" spans="1:5" x14ac:dyDescent="0.45">
      <c r="A2069" t="s">
        <v>55</v>
      </c>
      <c r="B2069" t="s">
        <v>47</v>
      </c>
      <c r="C2069" t="s">
        <v>48</v>
      </c>
      <c r="D2069" t="s">
        <v>50</v>
      </c>
      <c r="E2069">
        <v>0</v>
      </c>
    </row>
    <row r="2070" spans="1:5" x14ac:dyDescent="0.45">
      <c r="A2070" t="s">
        <v>55</v>
      </c>
      <c r="B2070" t="s">
        <v>47</v>
      </c>
      <c r="C2070" t="s">
        <v>48</v>
      </c>
      <c r="D2070" t="s">
        <v>50</v>
      </c>
      <c r="E2070">
        <v>0</v>
      </c>
    </row>
    <row r="2071" spans="1:5" x14ac:dyDescent="0.45">
      <c r="A2071" t="s">
        <v>55</v>
      </c>
      <c r="B2071" t="s">
        <v>47</v>
      </c>
      <c r="C2071" t="s">
        <v>48</v>
      </c>
      <c r="D2071" t="s">
        <v>50</v>
      </c>
      <c r="E2071">
        <v>0</v>
      </c>
    </row>
    <row r="2072" spans="1:5" x14ac:dyDescent="0.45">
      <c r="A2072" t="s">
        <v>55</v>
      </c>
      <c r="B2072" t="s">
        <v>47</v>
      </c>
      <c r="C2072" t="s">
        <v>48</v>
      </c>
      <c r="D2072" t="s">
        <v>50</v>
      </c>
      <c r="E2072">
        <v>0</v>
      </c>
    </row>
    <row r="2073" spans="1:5" x14ac:dyDescent="0.45">
      <c r="A2073" t="s">
        <v>55</v>
      </c>
      <c r="B2073" t="s">
        <v>47</v>
      </c>
      <c r="C2073" t="s">
        <v>48</v>
      </c>
      <c r="D2073" t="s">
        <v>50</v>
      </c>
      <c r="E2073">
        <v>0</v>
      </c>
    </row>
    <row r="2074" spans="1:5" x14ac:dyDescent="0.45">
      <c r="A2074" t="s">
        <v>55</v>
      </c>
      <c r="B2074" t="s">
        <v>47</v>
      </c>
      <c r="C2074" t="s">
        <v>48</v>
      </c>
      <c r="D2074" t="s">
        <v>50</v>
      </c>
      <c r="E2074">
        <v>0</v>
      </c>
    </row>
    <row r="2075" spans="1:5" x14ac:dyDescent="0.45">
      <c r="A2075" t="s">
        <v>55</v>
      </c>
      <c r="B2075" t="s">
        <v>47</v>
      </c>
      <c r="C2075" t="s">
        <v>48</v>
      </c>
      <c r="D2075" t="s">
        <v>50</v>
      </c>
      <c r="E2075">
        <v>0</v>
      </c>
    </row>
    <row r="2076" spans="1:5" x14ac:dyDescent="0.45">
      <c r="A2076" t="s">
        <v>55</v>
      </c>
      <c r="B2076" t="s">
        <v>47</v>
      </c>
      <c r="C2076" t="s">
        <v>48</v>
      </c>
      <c r="D2076" t="s">
        <v>50</v>
      </c>
      <c r="E2076">
        <v>0</v>
      </c>
    </row>
    <row r="2077" spans="1:5" x14ac:dyDescent="0.45">
      <c r="A2077" t="s">
        <v>55</v>
      </c>
      <c r="B2077" t="s">
        <v>47</v>
      </c>
      <c r="C2077" t="s">
        <v>48</v>
      </c>
      <c r="D2077" t="s">
        <v>50</v>
      </c>
      <c r="E2077">
        <v>0</v>
      </c>
    </row>
    <row r="2078" spans="1:5" x14ac:dyDescent="0.45">
      <c r="A2078" t="s">
        <v>55</v>
      </c>
      <c r="B2078" t="s">
        <v>47</v>
      </c>
      <c r="C2078" t="s">
        <v>48</v>
      </c>
      <c r="D2078" t="s">
        <v>50</v>
      </c>
      <c r="E2078">
        <v>0</v>
      </c>
    </row>
    <row r="2079" spans="1:5" x14ac:dyDescent="0.45">
      <c r="A2079" t="s">
        <v>55</v>
      </c>
      <c r="B2079" t="s">
        <v>47</v>
      </c>
      <c r="C2079" t="s">
        <v>48</v>
      </c>
      <c r="D2079" t="s">
        <v>50</v>
      </c>
      <c r="E2079">
        <v>0</v>
      </c>
    </row>
    <row r="2080" spans="1:5" x14ac:dyDescent="0.45">
      <c r="A2080" t="s">
        <v>55</v>
      </c>
      <c r="B2080" t="s">
        <v>47</v>
      </c>
      <c r="C2080" t="s">
        <v>48</v>
      </c>
      <c r="D2080" t="s">
        <v>50</v>
      </c>
      <c r="E2080">
        <v>0</v>
      </c>
    </row>
    <row r="2081" spans="1:5" x14ac:dyDescent="0.45">
      <c r="A2081" t="s">
        <v>55</v>
      </c>
      <c r="B2081" t="s">
        <v>47</v>
      </c>
      <c r="C2081" t="s">
        <v>48</v>
      </c>
      <c r="D2081" t="s">
        <v>50</v>
      </c>
      <c r="E2081">
        <v>0</v>
      </c>
    </row>
    <row r="2082" spans="1:5" x14ac:dyDescent="0.45">
      <c r="A2082" t="s">
        <v>55</v>
      </c>
      <c r="B2082" t="s">
        <v>47</v>
      </c>
      <c r="C2082" t="s">
        <v>48</v>
      </c>
      <c r="D2082" t="s">
        <v>50</v>
      </c>
      <c r="E2082">
        <v>0</v>
      </c>
    </row>
    <row r="2083" spans="1:5" x14ac:dyDescent="0.45">
      <c r="A2083" t="s">
        <v>55</v>
      </c>
      <c r="B2083" t="s">
        <v>47</v>
      </c>
      <c r="C2083" t="s">
        <v>48</v>
      </c>
      <c r="D2083" t="s">
        <v>50</v>
      </c>
      <c r="E2083">
        <v>0</v>
      </c>
    </row>
    <row r="2084" spans="1:5" x14ac:dyDescent="0.45">
      <c r="A2084" t="s">
        <v>55</v>
      </c>
      <c r="B2084" t="s">
        <v>47</v>
      </c>
      <c r="C2084" t="s">
        <v>48</v>
      </c>
      <c r="D2084" t="s">
        <v>50</v>
      </c>
      <c r="E2084">
        <v>0</v>
      </c>
    </row>
    <row r="2085" spans="1:5" x14ac:dyDescent="0.45">
      <c r="A2085" t="s">
        <v>55</v>
      </c>
      <c r="B2085" t="s">
        <v>47</v>
      </c>
      <c r="C2085" t="s">
        <v>48</v>
      </c>
      <c r="D2085" t="s">
        <v>50</v>
      </c>
      <c r="E2085">
        <v>0</v>
      </c>
    </row>
    <row r="2086" spans="1:5" x14ac:dyDescent="0.45">
      <c r="A2086" t="s">
        <v>55</v>
      </c>
      <c r="B2086" t="s">
        <v>47</v>
      </c>
      <c r="C2086" t="s">
        <v>48</v>
      </c>
      <c r="D2086" t="s">
        <v>50</v>
      </c>
      <c r="E2086">
        <v>0</v>
      </c>
    </row>
    <row r="2087" spans="1:5" x14ac:dyDescent="0.45">
      <c r="A2087" t="s">
        <v>55</v>
      </c>
      <c r="B2087" t="s">
        <v>47</v>
      </c>
      <c r="C2087" t="s">
        <v>48</v>
      </c>
      <c r="D2087" t="s">
        <v>50</v>
      </c>
      <c r="E2087">
        <v>0</v>
      </c>
    </row>
    <row r="2088" spans="1:5" x14ac:dyDescent="0.45">
      <c r="A2088" t="s">
        <v>55</v>
      </c>
      <c r="B2088" t="s">
        <v>47</v>
      </c>
      <c r="C2088" t="s">
        <v>48</v>
      </c>
      <c r="D2088" t="s">
        <v>50</v>
      </c>
      <c r="E2088">
        <v>0</v>
      </c>
    </row>
    <row r="2089" spans="1:5" x14ac:dyDescent="0.45">
      <c r="A2089" t="s">
        <v>55</v>
      </c>
      <c r="B2089" t="s">
        <v>47</v>
      </c>
      <c r="C2089" t="s">
        <v>48</v>
      </c>
      <c r="D2089" t="s">
        <v>50</v>
      </c>
      <c r="E2089">
        <v>0</v>
      </c>
    </row>
    <row r="2090" spans="1:5" x14ac:dyDescent="0.45">
      <c r="A2090" t="s">
        <v>55</v>
      </c>
      <c r="B2090" t="s">
        <v>47</v>
      </c>
      <c r="C2090" t="s">
        <v>48</v>
      </c>
      <c r="D2090" t="s">
        <v>50</v>
      </c>
      <c r="E2090">
        <v>0</v>
      </c>
    </row>
    <row r="2091" spans="1:5" x14ac:dyDescent="0.45">
      <c r="A2091" t="s">
        <v>55</v>
      </c>
      <c r="B2091" t="s">
        <v>47</v>
      </c>
      <c r="C2091" t="s">
        <v>48</v>
      </c>
      <c r="D2091" t="s">
        <v>50</v>
      </c>
      <c r="E2091">
        <v>0</v>
      </c>
    </row>
    <row r="2092" spans="1:5" x14ac:dyDescent="0.45">
      <c r="A2092" t="s">
        <v>55</v>
      </c>
      <c r="B2092" t="s">
        <v>47</v>
      </c>
      <c r="C2092" t="s">
        <v>48</v>
      </c>
      <c r="D2092" t="s">
        <v>50</v>
      </c>
      <c r="E2092">
        <v>0</v>
      </c>
    </row>
    <row r="2093" spans="1:5" x14ac:dyDescent="0.45">
      <c r="A2093" t="s">
        <v>55</v>
      </c>
      <c r="B2093" t="s">
        <v>47</v>
      </c>
      <c r="C2093" t="s">
        <v>48</v>
      </c>
      <c r="D2093" t="s">
        <v>50</v>
      </c>
      <c r="E2093">
        <v>0</v>
      </c>
    </row>
    <row r="2094" spans="1:5" x14ac:dyDescent="0.45">
      <c r="A2094" t="s">
        <v>55</v>
      </c>
      <c r="B2094" t="s">
        <v>47</v>
      </c>
      <c r="C2094" t="s">
        <v>48</v>
      </c>
      <c r="D2094" t="s">
        <v>50</v>
      </c>
      <c r="E2094">
        <v>0</v>
      </c>
    </row>
    <row r="2095" spans="1:5" x14ac:dyDescent="0.45">
      <c r="A2095" t="s">
        <v>55</v>
      </c>
      <c r="B2095" t="s">
        <v>47</v>
      </c>
      <c r="C2095" t="s">
        <v>48</v>
      </c>
      <c r="D2095" t="s">
        <v>50</v>
      </c>
      <c r="E2095">
        <v>0</v>
      </c>
    </row>
    <row r="2096" spans="1:5" x14ac:dyDescent="0.45">
      <c r="A2096" t="s">
        <v>55</v>
      </c>
      <c r="B2096" t="s">
        <v>47</v>
      </c>
      <c r="C2096" t="s">
        <v>48</v>
      </c>
      <c r="D2096" t="s">
        <v>50</v>
      </c>
      <c r="E2096">
        <v>0</v>
      </c>
    </row>
    <row r="2097" spans="1:5" x14ac:dyDescent="0.45">
      <c r="A2097" t="s">
        <v>55</v>
      </c>
      <c r="B2097" t="s">
        <v>47</v>
      </c>
      <c r="C2097" t="s">
        <v>48</v>
      </c>
      <c r="D2097" t="s">
        <v>50</v>
      </c>
      <c r="E2097">
        <v>0</v>
      </c>
    </row>
    <row r="2098" spans="1:5" x14ac:dyDescent="0.45">
      <c r="A2098" t="s">
        <v>55</v>
      </c>
      <c r="B2098" t="s">
        <v>47</v>
      </c>
      <c r="C2098" t="s">
        <v>48</v>
      </c>
      <c r="D2098" t="s">
        <v>50</v>
      </c>
      <c r="E2098">
        <v>0</v>
      </c>
    </row>
    <row r="2099" spans="1:5" x14ac:dyDescent="0.45">
      <c r="A2099" t="s">
        <v>55</v>
      </c>
      <c r="B2099" t="s">
        <v>47</v>
      </c>
      <c r="C2099" t="s">
        <v>48</v>
      </c>
      <c r="D2099" t="s">
        <v>50</v>
      </c>
      <c r="E2099">
        <v>0</v>
      </c>
    </row>
    <row r="2100" spans="1:5" x14ac:dyDescent="0.45">
      <c r="A2100" t="s">
        <v>55</v>
      </c>
      <c r="B2100" t="s">
        <v>47</v>
      </c>
      <c r="C2100" t="s">
        <v>48</v>
      </c>
      <c r="D2100" t="s">
        <v>50</v>
      </c>
      <c r="E2100">
        <v>0</v>
      </c>
    </row>
    <row r="2101" spans="1:5" x14ac:dyDescent="0.45">
      <c r="A2101" t="s">
        <v>55</v>
      </c>
      <c r="B2101" t="s">
        <v>47</v>
      </c>
      <c r="C2101" t="s">
        <v>48</v>
      </c>
      <c r="D2101" t="s">
        <v>50</v>
      </c>
      <c r="E2101">
        <v>0</v>
      </c>
    </row>
    <row r="2102" spans="1:5" x14ac:dyDescent="0.45">
      <c r="A2102" t="s">
        <v>55</v>
      </c>
      <c r="B2102" t="s">
        <v>47</v>
      </c>
      <c r="C2102" t="s">
        <v>48</v>
      </c>
      <c r="D2102" t="s">
        <v>50</v>
      </c>
      <c r="E2102">
        <v>0</v>
      </c>
    </row>
    <row r="2103" spans="1:5" x14ac:dyDescent="0.45">
      <c r="A2103" t="s">
        <v>55</v>
      </c>
      <c r="B2103" t="s">
        <v>47</v>
      </c>
      <c r="C2103" t="s">
        <v>48</v>
      </c>
      <c r="D2103" t="s">
        <v>50</v>
      </c>
      <c r="E2103">
        <v>0</v>
      </c>
    </row>
    <row r="2104" spans="1:5" x14ac:dyDescent="0.45">
      <c r="A2104" t="s">
        <v>55</v>
      </c>
      <c r="B2104" t="s">
        <v>47</v>
      </c>
      <c r="C2104" t="s">
        <v>48</v>
      </c>
      <c r="D2104" t="s">
        <v>50</v>
      </c>
      <c r="E2104">
        <v>0</v>
      </c>
    </row>
    <row r="2105" spans="1:5" x14ac:dyDescent="0.45">
      <c r="A2105" t="s">
        <v>55</v>
      </c>
      <c r="B2105" t="s">
        <v>47</v>
      </c>
      <c r="C2105" t="s">
        <v>48</v>
      </c>
      <c r="D2105" t="s">
        <v>50</v>
      </c>
      <c r="E2105">
        <v>0</v>
      </c>
    </row>
    <row r="2106" spans="1:5" x14ac:dyDescent="0.45">
      <c r="A2106" t="s">
        <v>55</v>
      </c>
      <c r="B2106" t="s">
        <v>47</v>
      </c>
      <c r="C2106" t="s">
        <v>48</v>
      </c>
      <c r="D2106" t="s">
        <v>50</v>
      </c>
      <c r="E2106">
        <v>0</v>
      </c>
    </row>
    <row r="2107" spans="1:5" x14ac:dyDescent="0.45">
      <c r="A2107" t="s">
        <v>55</v>
      </c>
      <c r="B2107" t="s">
        <v>47</v>
      </c>
      <c r="C2107" t="s">
        <v>48</v>
      </c>
      <c r="D2107" t="s">
        <v>50</v>
      </c>
      <c r="E2107">
        <v>0</v>
      </c>
    </row>
    <row r="2108" spans="1:5" x14ac:dyDescent="0.45">
      <c r="A2108" t="s">
        <v>55</v>
      </c>
      <c r="B2108" t="s">
        <v>47</v>
      </c>
      <c r="C2108" t="s">
        <v>48</v>
      </c>
      <c r="D2108" t="s">
        <v>50</v>
      </c>
      <c r="E2108">
        <v>0</v>
      </c>
    </row>
    <row r="2109" spans="1:5" x14ac:dyDescent="0.45">
      <c r="A2109" t="s">
        <v>55</v>
      </c>
      <c r="B2109" t="s">
        <v>47</v>
      </c>
      <c r="C2109" t="s">
        <v>48</v>
      </c>
      <c r="D2109" t="s">
        <v>50</v>
      </c>
      <c r="E2109">
        <v>0</v>
      </c>
    </row>
    <row r="2110" spans="1:5" x14ac:dyDescent="0.45">
      <c r="A2110" t="s">
        <v>55</v>
      </c>
      <c r="B2110" t="s">
        <v>47</v>
      </c>
      <c r="C2110" t="s">
        <v>48</v>
      </c>
      <c r="D2110" t="s">
        <v>50</v>
      </c>
      <c r="E2110">
        <v>0</v>
      </c>
    </row>
    <row r="2111" spans="1:5" x14ac:dyDescent="0.45">
      <c r="A2111" t="s">
        <v>55</v>
      </c>
      <c r="B2111" t="s">
        <v>47</v>
      </c>
      <c r="C2111" t="s">
        <v>48</v>
      </c>
      <c r="D2111" t="s">
        <v>50</v>
      </c>
      <c r="E2111">
        <v>0</v>
      </c>
    </row>
    <row r="2112" spans="1:5" x14ac:dyDescent="0.45">
      <c r="A2112" t="s">
        <v>55</v>
      </c>
      <c r="B2112" t="s">
        <v>47</v>
      </c>
      <c r="C2112" t="s">
        <v>48</v>
      </c>
      <c r="D2112" t="s">
        <v>50</v>
      </c>
      <c r="E2112">
        <v>0</v>
      </c>
    </row>
    <row r="2113" spans="1:5" x14ac:dyDescent="0.45">
      <c r="A2113" t="s">
        <v>55</v>
      </c>
      <c r="B2113" t="s">
        <v>47</v>
      </c>
      <c r="C2113" t="s">
        <v>48</v>
      </c>
      <c r="D2113" t="s">
        <v>50</v>
      </c>
      <c r="E2113">
        <v>0</v>
      </c>
    </row>
    <row r="2114" spans="1:5" x14ac:dyDescent="0.45">
      <c r="A2114" t="s">
        <v>55</v>
      </c>
      <c r="B2114" t="s">
        <v>47</v>
      </c>
      <c r="C2114" t="s">
        <v>48</v>
      </c>
      <c r="D2114" t="s">
        <v>50</v>
      </c>
      <c r="E2114">
        <v>0</v>
      </c>
    </row>
    <row r="2115" spans="1:5" x14ac:dyDescent="0.45">
      <c r="A2115" t="s">
        <v>55</v>
      </c>
      <c r="B2115" t="s">
        <v>47</v>
      </c>
      <c r="C2115" t="s">
        <v>48</v>
      </c>
      <c r="D2115" t="s">
        <v>50</v>
      </c>
      <c r="E2115">
        <v>0</v>
      </c>
    </row>
    <row r="2116" spans="1:5" x14ac:dyDescent="0.45">
      <c r="A2116" t="s">
        <v>55</v>
      </c>
      <c r="B2116" t="s">
        <v>47</v>
      </c>
      <c r="C2116" t="s">
        <v>48</v>
      </c>
      <c r="D2116" t="s">
        <v>50</v>
      </c>
      <c r="E2116">
        <v>0</v>
      </c>
    </row>
    <row r="2117" spans="1:5" x14ac:dyDescent="0.45">
      <c r="A2117" t="s">
        <v>55</v>
      </c>
      <c r="B2117" t="s">
        <v>47</v>
      </c>
      <c r="C2117" t="s">
        <v>48</v>
      </c>
      <c r="D2117" t="s">
        <v>50</v>
      </c>
      <c r="E2117">
        <v>0</v>
      </c>
    </row>
    <row r="2118" spans="1:5" x14ac:dyDescent="0.45">
      <c r="A2118" t="s">
        <v>55</v>
      </c>
      <c r="B2118" t="s">
        <v>47</v>
      </c>
      <c r="C2118" t="s">
        <v>48</v>
      </c>
      <c r="D2118" t="s">
        <v>50</v>
      </c>
      <c r="E2118">
        <v>0</v>
      </c>
    </row>
    <row r="2119" spans="1:5" x14ac:dyDescent="0.45">
      <c r="A2119" t="s">
        <v>55</v>
      </c>
      <c r="B2119" t="s">
        <v>47</v>
      </c>
      <c r="C2119" t="s">
        <v>48</v>
      </c>
      <c r="D2119" t="s">
        <v>50</v>
      </c>
      <c r="E2119">
        <v>0</v>
      </c>
    </row>
    <row r="2120" spans="1:5" x14ac:dyDescent="0.45">
      <c r="A2120" t="s">
        <v>55</v>
      </c>
      <c r="B2120" t="s">
        <v>47</v>
      </c>
      <c r="C2120" t="s">
        <v>48</v>
      </c>
      <c r="D2120" t="s">
        <v>50</v>
      </c>
      <c r="E2120">
        <v>0</v>
      </c>
    </row>
    <row r="2121" spans="1:5" x14ac:dyDescent="0.45">
      <c r="A2121" t="s">
        <v>55</v>
      </c>
      <c r="B2121" t="s">
        <v>47</v>
      </c>
      <c r="C2121" t="s">
        <v>48</v>
      </c>
      <c r="D2121" t="s">
        <v>50</v>
      </c>
      <c r="E2121">
        <v>0</v>
      </c>
    </row>
    <row r="2122" spans="1:5" x14ac:dyDescent="0.45">
      <c r="A2122" t="s">
        <v>55</v>
      </c>
      <c r="B2122" t="s">
        <v>47</v>
      </c>
      <c r="C2122" t="s">
        <v>48</v>
      </c>
      <c r="D2122" t="s">
        <v>50</v>
      </c>
      <c r="E2122">
        <v>0</v>
      </c>
    </row>
    <row r="2123" spans="1:5" x14ac:dyDescent="0.45">
      <c r="A2123" t="s">
        <v>55</v>
      </c>
      <c r="B2123" t="s">
        <v>47</v>
      </c>
      <c r="C2123" t="s">
        <v>48</v>
      </c>
      <c r="D2123" t="s">
        <v>50</v>
      </c>
      <c r="E2123">
        <v>0</v>
      </c>
    </row>
    <row r="2124" spans="1:5" x14ac:dyDescent="0.45">
      <c r="A2124" t="s">
        <v>55</v>
      </c>
      <c r="B2124" t="s">
        <v>47</v>
      </c>
      <c r="C2124" t="s">
        <v>48</v>
      </c>
      <c r="D2124" t="s">
        <v>50</v>
      </c>
      <c r="E2124">
        <v>0</v>
      </c>
    </row>
    <row r="2125" spans="1:5" x14ac:dyDescent="0.45">
      <c r="A2125" t="s">
        <v>55</v>
      </c>
      <c r="B2125" t="s">
        <v>47</v>
      </c>
      <c r="C2125" t="s">
        <v>48</v>
      </c>
      <c r="D2125" t="s">
        <v>50</v>
      </c>
      <c r="E2125">
        <v>0</v>
      </c>
    </row>
    <row r="2126" spans="1:5" x14ac:dyDescent="0.45">
      <c r="A2126" t="s">
        <v>55</v>
      </c>
      <c r="B2126" t="s">
        <v>47</v>
      </c>
      <c r="C2126" t="s">
        <v>48</v>
      </c>
      <c r="D2126" t="s">
        <v>50</v>
      </c>
      <c r="E2126">
        <v>0</v>
      </c>
    </row>
    <row r="2127" spans="1:5" x14ac:dyDescent="0.45">
      <c r="A2127" t="s">
        <v>55</v>
      </c>
      <c r="B2127" t="s">
        <v>47</v>
      </c>
      <c r="C2127" t="s">
        <v>48</v>
      </c>
      <c r="D2127" t="s">
        <v>50</v>
      </c>
      <c r="E2127">
        <v>0</v>
      </c>
    </row>
    <row r="2128" spans="1:5" x14ac:dyDescent="0.45">
      <c r="A2128" t="s">
        <v>55</v>
      </c>
      <c r="B2128" t="s">
        <v>47</v>
      </c>
      <c r="C2128" t="s">
        <v>48</v>
      </c>
      <c r="D2128" t="s">
        <v>50</v>
      </c>
      <c r="E2128">
        <v>0</v>
      </c>
    </row>
    <row r="2129" spans="1:5" x14ac:dyDescent="0.45">
      <c r="A2129" t="s">
        <v>55</v>
      </c>
      <c r="B2129" t="s">
        <v>47</v>
      </c>
      <c r="C2129" t="s">
        <v>48</v>
      </c>
      <c r="D2129" t="s">
        <v>50</v>
      </c>
      <c r="E2129">
        <v>0</v>
      </c>
    </row>
    <row r="2130" spans="1:5" x14ac:dyDescent="0.45">
      <c r="A2130" t="s">
        <v>55</v>
      </c>
      <c r="B2130" t="s">
        <v>47</v>
      </c>
      <c r="C2130" t="s">
        <v>48</v>
      </c>
      <c r="D2130" t="s">
        <v>50</v>
      </c>
      <c r="E2130">
        <v>0</v>
      </c>
    </row>
    <row r="2131" spans="1:5" x14ac:dyDescent="0.45">
      <c r="A2131" t="s">
        <v>55</v>
      </c>
      <c r="B2131" t="s">
        <v>47</v>
      </c>
      <c r="C2131" t="s">
        <v>48</v>
      </c>
      <c r="D2131" t="s">
        <v>50</v>
      </c>
      <c r="E2131">
        <v>0</v>
      </c>
    </row>
    <row r="2132" spans="1:5" x14ac:dyDescent="0.45">
      <c r="A2132" t="s">
        <v>55</v>
      </c>
      <c r="B2132" t="s">
        <v>47</v>
      </c>
      <c r="C2132" t="s">
        <v>48</v>
      </c>
      <c r="D2132" t="s">
        <v>50</v>
      </c>
      <c r="E2132">
        <v>0</v>
      </c>
    </row>
    <row r="2133" spans="1:5" x14ac:dyDescent="0.45">
      <c r="A2133" t="s">
        <v>55</v>
      </c>
      <c r="B2133" t="s">
        <v>47</v>
      </c>
      <c r="C2133" t="s">
        <v>48</v>
      </c>
      <c r="D2133" t="s">
        <v>50</v>
      </c>
      <c r="E2133">
        <v>0</v>
      </c>
    </row>
    <row r="2134" spans="1:5" x14ac:dyDescent="0.45">
      <c r="A2134" t="s">
        <v>55</v>
      </c>
      <c r="B2134" t="s">
        <v>47</v>
      </c>
      <c r="C2134" t="s">
        <v>48</v>
      </c>
      <c r="D2134" t="s">
        <v>50</v>
      </c>
      <c r="E2134">
        <v>0</v>
      </c>
    </row>
    <row r="2135" spans="1:5" x14ac:dyDescent="0.45">
      <c r="A2135" t="s">
        <v>55</v>
      </c>
      <c r="B2135" t="s">
        <v>47</v>
      </c>
      <c r="C2135" t="s">
        <v>48</v>
      </c>
      <c r="D2135" t="s">
        <v>50</v>
      </c>
      <c r="E2135">
        <v>0</v>
      </c>
    </row>
    <row r="2136" spans="1:5" x14ac:dyDescent="0.45">
      <c r="A2136" t="s">
        <v>55</v>
      </c>
      <c r="B2136" t="s">
        <v>47</v>
      </c>
      <c r="C2136" t="s">
        <v>48</v>
      </c>
      <c r="D2136" t="s">
        <v>50</v>
      </c>
      <c r="E2136">
        <v>0</v>
      </c>
    </row>
    <row r="2137" spans="1:5" x14ac:dyDescent="0.45">
      <c r="A2137" t="s">
        <v>55</v>
      </c>
      <c r="B2137" t="s">
        <v>47</v>
      </c>
      <c r="C2137" t="s">
        <v>48</v>
      </c>
      <c r="D2137" t="s">
        <v>50</v>
      </c>
      <c r="E2137">
        <v>0</v>
      </c>
    </row>
    <row r="2138" spans="1:5" x14ac:dyDescent="0.45">
      <c r="A2138" t="s">
        <v>55</v>
      </c>
      <c r="B2138" t="s">
        <v>47</v>
      </c>
      <c r="C2138" t="s">
        <v>48</v>
      </c>
      <c r="D2138" t="s">
        <v>50</v>
      </c>
      <c r="E2138">
        <v>0</v>
      </c>
    </row>
    <row r="2139" spans="1:5" x14ac:dyDescent="0.45">
      <c r="A2139" t="s">
        <v>55</v>
      </c>
      <c r="B2139" t="s">
        <v>47</v>
      </c>
      <c r="C2139" t="s">
        <v>48</v>
      </c>
      <c r="D2139" t="s">
        <v>50</v>
      </c>
      <c r="E2139">
        <v>0</v>
      </c>
    </row>
    <row r="2140" spans="1:5" x14ac:dyDescent="0.45">
      <c r="A2140" t="s">
        <v>55</v>
      </c>
      <c r="B2140" t="s">
        <v>47</v>
      </c>
      <c r="C2140" t="s">
        <v>48</v>
      </c>
      <c r="D2140" t="s">
        <v>50</v>
      </c>
      <c r="E2140">
        <v>0</v>
      </c>
    </row>
    <row r="2141" spans="1:5" x14ac:dyDescent="0.45">
      <c r="A2141" t="s">
        <v>55</v>
      </c>
      <c r="B2141" t="s">
        <v>47</v>
      </c>
      <c r="C2141" t="s">
        <v>48</v>
      </c>
      <c r="D2141" t="s">
        <v>50</v>
      </c>
      <c r="E2141">
        <v>0</v>
      </c>
    </row>
    <row r="2142" spans="1:5" x14ac:dyDescent="0.45">
      <c r="A2142" t="s">
        <v>55</v>
      </c>
      <c r="B2142" t="s">
        <v>47</v>
      </c>
      <c r="C2142" t="s">
        <v>48</v>
      </c>
      <c r="D2142" t="s">
        <v>50</v>
      </c>
      <c r="E2142">
        <v>0</v>
      </c>
    </row>
    <row r="2143" spans="1:5" x14ac:dyDescent="0.45">
      <c r="A2143" t="s">
        <v>55</v>
      </c>
      <c r="B2143" t="s">
        <v>47</v>
      </c>
      <c r="C2143" t="s">
        <v>48</v>
      </c>
      <c r="D2143" t="s">
        <v>50</v>
      </c>
      <c r="E2143">
        <v>0</v>
      </c>
    </row>
    <row r="2144" spans="1:5" x14ac:dyDescent="0.45">
      <c r="A2144" t="s">
        <v>55</v>
      </c>
      <c r="B2144" t="s">
        <v>47</v>
      </c>
      <c r="C2144" t="s">
        <v>48</v>
      </c>
      <c r="D2144" t="s">
        <v>50</v>
      </c>
      <c r="E2144">
        <v>0</v>
      </c>
    </row>
    <row r="2145" spans="1:5" x14ac:dyDescent="0.45">
      <c r="A2145" t="s">
        <v>55</v>
      </c>
      <c r="B2145" t="s">
        <v>47</v>
      </c>
      <c r="C2145" t="s">
        <v>48</v>
      </c>
      <c r="D2145" t="s">
        <v>50</v>
      </c>
      <c r="E2145">
        <v>0</v>
      </c>
    </row>
    <row r="2146" spans="1:5" x14ac:dyDescent="0.45">
      <c r="A2146" t="s">
        <v>55</v>
      </c>
      <c r="B2146" t="s">
        <v>47</v>
      </c>
      <c r="C2146" t="s">
        <v>48</v>
      </c>
      <c r="D2146" t="s">
        <v>50</v>
      </c>
      <c r="E2146">
        <v>0</v>
      </c>
    </row>
    <row r="2147" spans="1:5" x14ac:dyDescent="0.45">
      <c r="A2147" t="s">
        <v>55</v>
      </c>
      <c r="B2147" t="s">
        <v>47</v>
      </c>
      <c r="C2147" t="s">
        <v>48</v>
      </c>
      <c r="D2147" t="s">
        <v>50</v>
      </c>
      <c r="E2147">
        <v>0</v>
      </c>
    </row>
    <row r="2148" spans="1:5" x14ac:dyDescent="0.45">
      <c r="A2148" t="s">
        <v>55</v>
      </c>
      <c r="B2148" t="s">
        <v>47</v>
      </c>
      <c r="C2148" t="s">
        <v>48</v>
      </c>
      <c r="D2148" t="s">
        <v>50</v>
      </c>
      <c r="E2148">
        <v>0</v>
      </c>
    </row>
    <row r="2149" spans="1:5" x14ac:dyDescent="0.45">
      <c r="A2149" t="s">
        <v>55</v>
      </c>
      <c r="B2149" t="s">
        <v>47</v>
      </c>
      <c r="C2149" t="s">
        <v>48</v>
      </c>
      <c r="D2149" t="s">
        <v>50</v>
      </c>
      <c r="E2149">
        <v>0</v>
      </c>
    </row>
    <row r="2150" spans="1:5" x14ac:dyDescent="0.45">
      <c r="A2150" t="s">
        <v>55</v>
      </c>
      <c r="B2150" t="s">
        <v>47</v>
      </c>
      <c r="C2150" t="s">
        <v>48</v>
      </c>
      <c r="D2150" t="s">
        <v>50</v>
      </c>
      <c r="E2150">
        <v>0</v>
      </c>
    </row>
    <row r="2151" spans="1:5" x14ac:dyDescent="0.45">
      <c r="A2151" t="s">
        <v>55</v>
      </c>
      <c r="B2151" t="s">
        <v>47</v>
      </c>
      <c r="C2151" t="s">
        <v>48</v>
      </c>
      <c r="D2151" t="s">
        <v>50</v>
      </c>
      <c r="E2151">
        <v>0</v>
      </c>
    </row>
    <row r="2152" spans="1:5" x14ac:dyDescent="0.45">
      <c r="A2152" t="s">
        <v>55</v>
      </c>
      <c r="B2152" t="s">
        <v>47</v>
      </c>
      <c r="C2152" t="s">
        <v>48</v>
      </c>
      <c r="D2152" t="s">
        <v>50</v>
      </c>
      <c r="E2152">
        <v>0</v>
      </c>
    </row>
    <row r="2153" spans="1:5" x14ac:dyDescent="0.45">
      <c r="A2153" t="s">
        <v>55</v>
      </c>
      <c r="B2153" t="s">
        <v>47</v>
      </c>
      <c r="C2153" t="s">
        <v>48</v>
      </c>
      <c r="D2153" t="s">
        <v>50</v>
      </c>
      <c r="E2153">
        <v>0</v>
      </c>
    </row>
    <row r="2154" spans="1:5" x14ac:dyDescent="0.45">
      <c r="A2154" t="s">
        <v>55</v>
      </c>
      <c r="B2154" t="s">
        <v>47</v>
      </c>
      <c r="C2154" t="s">
        <v>48</v>
      </c>
      <c r="D2154" t="s">
        <v>50</v>
      </c>
      <c r="E2154">
        <v>0</v>
      </c>
    </row>
    <row r="2155" spans="1:5" x14ac:dyDescent="0.45">
      <c r="A2155" t="s">
        <v>55</v>
      </c>
      <c r="B2155" t="s">
        <v>47</v>
      </c>
      <c r="C2155" t="s">
        <v>48</v>
      </c>
      <c r="D2155" t="s">
        <v>50</v>
      </c>
      <c r="E2155">
        <v>0</v>
      </c>
    </row>
    <row r="2156" spans="1:5" x14ac:dyDescent="0.45">
      <c r="A2156" t="s">
        <v>55</v>
      </c>
      <c r="B2156" t="s">
        <v>47</v>
      </c>
      <c r="C2156" t="s">
        <v>48</v>
      </c>
      <c r="D2156" t="s">
        <v>50</v>
      </c>
      <c r="E2156">
        <v>0</v>
      </c>
    </row>
    <row r="2157" spans="1:5" x14ac:dyDescent="0.45">
      <c r="A2157" t="s">
        <v>55</v>
      </c>
      <c r="B2157" t="s">
        <v>47</v>
      </c>
      <c r="C2157" t="s">
        <v>48</v>
      </c>
      <c r="D2157" t="s">
        <v>50</v>
      </c>
      <c r="E2157">
        <v>0</v>
      </c>
    </row>
    <row r="2158" spans="1:5" x14ac:dyDescent="0.45">
      <c r="A2158" t="s">
        <v>55</v>
      </c>
      <c r="B2158" t="s">
        <v>47</v>
      </c>
      <c r="C2158" t="s">
        <v>48</v>
      </c>
      <c r="D2158" t="s">
        <v>50</v>
      </c>
      <c r="E2158">
        <v>0</v>
      </c>
    </row>
    <row r="2159" spans="1:5" x14ac:dyDescent="0.45">
      <c r="A2159" t="s">
        <v>55</v>
      </c>
      <c r="B2159" t="s">
        <v>47</v>
      </c>
      <c r="C2159" t="s">
        <v>48</v>
      </c>
      <c r="D2159" t="s">
        <v>50</v>
      </c>
      <c r="E2159">
        <v>0</v>
      </c>
    </row>
    <row r="2160" spans="1:5" x14ac:dyDescent="0.45">
      <c r="A2160" t="s">
        <v>55</v>
      </c>
      <c r="B2160" t="s">
        <v>47</v>
      </c>
      <c r="C2160" t="s">
        <v>48</v>
      </c>
      <c r="D2160" t="s">
        <v>50</v>
      </c>
      <c r="E2160">
        <v>0</v>
      </c>
    </row>
    <row r="2161" spans="1:5" x14ac:dyDescent="0.45">
      <c r="A2161" t="s">
        <v>55</v>
      </c>
      <c r="B2161" t="s">
        <v>47</v>
      </c>
      <c r="C2161" t="s">
        <v>48</v>
      </c>
      <c r="D2161" t="s">
        <v>50</v>
      </c>
      <c r="E2161">
        <v>0</v>
      </c>
    </row>
    <row r="2162" spans="1:5" x14ac:dyDescent="0.45">
      <c r="A2162" t="s">
        <v>55</v>
      </c>
      <c r="B2162" t="s">
        <v>47</v>
      </c>
      <c r="C2162" t="s">
        <v>48</v>
      </c>
      <c r="D2162" t="s">
        <v>50</v>
      </c>
      <c r="E2162">
        <v>0</v>
      </c>
    </row>
    <row r="2163" spans="1:5" x14ac:dyDescent="0.45">
      <c r="A2163" t="s">
        <v>55</v>
      </c>
      <c r="B2163" t="s">
        <v>47</v>
      </c>
      <c r="C2163" t="s">
        <v>48</v>
      </c>
      <c r="D2163" t="s">
        <v>50</v>
      </c>
      <c r="E2163">
        <v>0</v>
      </c>
    </row>
    <row r="2164" spans="1:5" x14ac:dyDescent="0.45">
      <c r="A2164" t="s">
        <v>55</v>
      </c>
      <c r="B2164" t="s">
        <v>47</v>
      </c>
      <c r="C2164" t="s">
        <v>48</v>
      </c>
      <c r="D2164" t="s">
        <v>50</v>
      </c>
      <c r="E2164">
        <v>0</v>
      </c>
    </row>
    <row r="2165" spans="1:5" x14ac:dyDescent="0.45">
      <c r="A2165" t="s">
        <v>55</v>
      </c>
      <c r="B2165" t="s">
        <v>47</v>
      </c>
      <c r="C2165" t="s">
        <v>48</v>
      </c>
      <c r="D2165" t="s">
        <v>50</v>
      </c>
      <c r="E2165">
        <v>0</v>
      </c>
    </row>
    <row r="2166" spans="1:5" x14ac:dyDescent="0.45">
      <c r="A2166" t="s">
        <v>55</v>
      </c>
      <c r="B2166" t="s">
        <v>47</v>
      </c>
      <c r="C2166" t="s">
        <v>48</v>
      </c>
      <c r="D2166" t="s">
        <v>50</v>
      </c>
      <c r="E2166">
        <v>0</v>
      </c>
    </row>
    <row r="2167" spans="1:5" x14ac:dyDescent="0.45">
      <c r="A2167" t="s">
        <v>55</v>
      </c>
      <c r="B2167" t="s">
        <v>47</v>
      </c>
      <c r="C2167" t="s">
        <v>48</v>
      </c>
      <c r="D2167" t="s">
        <v>50</v>
      </c>
      <c r="E2167">
        <v>0</v>
      </c>
    </row>
    <row r="2168" spans="1:5" x14ac:dyDescent="0.45">
      <c r="A2168" t="s">
        <v>55</v>
      </c>
      <c r="B2168" t="s">
        <v>47</v>
      </c>
      <c r="C2168" t="s">
        <v>48</v>
      </c>
      <c r="D2168" t="s">
        <v>50</v>
      </c>
      <c r="E2168">
        <v>0</v>
      </c>
    </row>
    <row r="2169" spans="1:5" x14ac:dyDescent="0.45">
      <c r="A2169" t="s">
        <v>55</v>
      </c>
      <c r="B2169" t="s">
        <v>47</v>
      </c>
      <c r="C2169" t="s">
        <v>48</v>
      </c>
      <c r="D2169" t="s">
        <v>50</v>
      </c>
      <c r="E2169">
        <v>0</v>
      </c>
    </row>
    <row r="2170" spans="1:5" x14ac:dyDescent="0.45">
      <c r="A2170" t="s">
        <v>55</v>
      </c>
      <c r="B2170" t="s">
        <v>47</v>
      </c>
      <c r="C2170" t="s">
        <v>48</v>
      </c>
      <c r="D2170" t="s">
        <v>50</v>
      </c>
      <c r="E2170">
        <v>0</v>
      </c>
    </row>
    <row r="2171" spans="1:5" x14ac:dyDescent="0.45">
      <c r="A2171" t="s">
        <v>55</v>
      </c>
      <c r="B2171" t="s">
        <v>47</v>
      </c>
      <c r="C2171" t="s">
        <v>48</v>
      </c>
      <c r="D2171" t="s">
        <v>50</v>
      </c>
      <c r="E2171">
        <v>0</v>
      </c>
    </row>
    <row r="2172" spans="1:5" x14ac:dyDescent="0.45">
      <c r="A2172" t="s">
        <v>55</v>
      </c>
      <c r="B2172" t="s">
        <v>47</v>
      </c>
      <c r="C2172" t="s">
        <v>48</v>
      </c>
      <c r="D2172" t="s">
        <v>50</v>
      </c>
      <c r="E2172">
        <v>0</v>
      </c>
    </row>
    <row r="2173" spans="1:5" x14ac:dyDescent="0.45">
      <c r="A2173" t="s">
        <v>55</v>
      </c>
      <c r="B2173" t="s">
        <v>47</v>
      </c>
      <c r="C2173" t="s">
        <v>48</v>
      </c>
      <c r="D2173" t="s">
        <v>50</v>
      </c>
      <c r="E2173">
        <v>0</v>
      </c>
    </row>
    <row r="2174" spans="1:5" x14ac:dyDescent="0.45">
      <c r="A2174" t="s">
        <v>55</v>
      </c>
      <c r="B2174" t="s">
        <v>47</v>
      </c>
      <c r="C2174" t="s">
        <v>48</v>
      </c>
      <c r="D2174" t="s">
        <v>50</v>
      </c>
      <c r="E2174">
        <v>0</v>
      </c>
    </row>
    <row r="2175" spans="1:5" x14ac:dyDescent="0.45">
      <c r="A2175" t="s">
        <v>55</v>
      </c>
      <c r="B2175" t="s">
        <v>47</v>
      </c>
      <c r="C2175" t="s">
        <v>48</v>
      </c>
      <c r="D2175" t="s">
        <v>50</v>
      </c>
      <c r="E2175">
        <v>0</v>
      </c>
    </row>
    <row r="2176" spans="1:5" x14ac:dyDescent="0.45">
      <c r="A2176" t="s">
        <v>55</v>
      </c>
      <c r="B2176" t="s">
        <v>47</v>
      </c>
      <c r="C2176" t="s">
        <v>48</v>
      </c>
      <c r="D2176" t="s">
        <v>50</v>
      </c>
      <c r="E2176">
        <v>0</v>
      </c>
    </row>
    <row r="2177" spans="1:5" x14ac:dyDescent="0.45">
      <c r="A2177" t="s">
        <v>55</v>
      </c>
      <c r="B2177" t="s">
        <v>47</v>
      </c>
      <c r="C2177" t="s">
        <v>48</v>
      </c>
      <c r="D2177" t="s">
        <v>50</v>
      </c>
      <c r="E2177">
        <v>0</v>
      </c>
    </row>
    <row r="2178" spans="1:5" x14ac:dyDescent="0.45">
      <c r="A2178" t="s">
        <v>55</v>
      </c>
      <c r="B2178" t="s">
        <v>47</v>
      </c>
      <c r="C2178" t="s">
        <v>48</v>
      </c>
      <c r="D2178" t="s">
        <v>50</v>
      </c>
      <c r="E2178">
        <v>0</v>
      </c>
    </row>
    <row r="2179" spans="1:5" x14ac:dyDescent="0.45">
      <c r="A2179" t="s">
        <v>55</v>
      </c>
      <c r="B2179" t="s">
        <v>47</v>
      </c>
      <c r="C2179" t="s">
        <v>48</v>
      </c>
      <c r="D2179" t="s">
        <v>50</v>
      </c>
      <c r="E2179">
        <v>0</v>
      </c>
    </row>
    <row r="2180" spans="1:5" x14ac:dyDescent="0.45">
      <c r="A2180" t="s">
        <v>55</v>
      </c>
      <c r="B2180" t="s">
        <v>47</v>
      </c>
      <c r="C2180" t="s">
        <v>51</v>
      </c>
      <c r="D2180" t="s">
        <v>49</v>
      </c>
      <c r="E2180">
        <v>1</v>
      </c>
    </row>
    <row r="2181" spans="1:5" x14ac:dyDescent="0.45">
      <c r="A2181" t="s">
        <v>55</v>
      </c>
      <c r="B2181" t="s">
        <v>47</v>
      </c>
      <c r="C2181" t="s">
        <v>51</v>
      </c>
      <c r="D2181" t="s">
        <v>49</v>
      </c>
      <c r="E2181">
        <v>1</v>
      </c>
    </row>
    <row r="2182" spans="1:5" x14ac:dyDescent="0.45">
      <c r="A2182" t="s">
        <v>55</v>
      </c>
      <c r="B2182" t="s">
        <v>47</v>
      </c>
      <c r="C2182" t="s">
        <v>51</v>
      </c>
      <c r="D2182" t="s">
        <v>49</v>
      </c>
      <c r="E2182">
        <v>1</v>
      </c>
    </row>
    <row r="2183" spans="1:5" x14ac:dyDescent="0.45">
      <c r="A2183" t="s">
        <v>55</v>
      </c>
      <c r="B2183" t="s">
        <v>47</v>
      </c>
      <c r="C2183" t="s">
        <v>51</v>
      </c>
      <c r="D2183" t="s">
        <v>49</v>
      </c>
      <c r="E2183">
        <v>1</v>
      </c>
    </row>
    <row r="2184" spans="1:5" x14ac:dyDescent="0.45">
      <c r="A2184" t="s">
        <v>55</v>
      </c>
      <c r="B2184" t="s">
        <v>47</v>
      </c>
      <c r="C2184" t="s">
        <v>51</v>
      </c>
      <c r="D2184" t="s">
        <v>49</v>
      </c>
      <c r="E2184">
        <v>1</v>
      </c>
    </row>
    <row r="2185" spans="1:5" x14ac:dyDescent="0.45">
      <c r="A2185" t="s">
        <v>55</v>
      </c>
      <c r="B2185" t="s">
        <v>47</v>
      </c>
      <c r="C2185" t="s">
        <v>51</v>
      </c>
      <c r="D2185" t="s">
        <v>49</v>
      </c>
      <c r="E2185">
        <v>1</v>
      </c>
    </row>
    <row r="2186" spans="1:5" x14ac:dyDescent="0.45">
      <c r="A2186" t="s">
        <v>55</v>
      </c>
      <c r="B2186" t="s">
        <v>47</v>
      </c>
      <c r="C2186" t="s">
        <v>51</v>
      </c>
      <c r="D2186" t="s">
        <v>49</v>
      </c>
      <c r="E2186">
        <v>1</v>
      </c>
    </row>
    <row r="2187" spans="1:5" x14ac:dyDescent="0.45">
      <c r="A2187" t="s">
        <v>55</v>
      </c>
      <c r="B2187" t="s">
        <v>47</v>
      </c>
      <c r="C2187" t="s">
        <v>51</v>
      </c>
      <c r="D2187" t="s">
        <v>49</v>
      </c>
      <c r="E2187">
        <v>1</v>
      </c>
    </row>
    <row r="2188" spans="1:5" x14ac:dyDescent="0.45">
      <c r="A2188" t="s">
        <v>55</v>
      </c>
      <c r="B2188" t="s">
        <v>47</v>
      </c>
      <c r="C2188" t="s">
        <v>51</v>
      </c>
      <c r="D2188" t="s">
        <v>49</v>
      </c>
      <c r="E2188">
        <v>1</v>
      </c>
    </row>
    <row r="2189" spans="1:5" x14ac:dyDescent="0.45">
      <c r="A2189" t="s">
        <v>55</v>
      </c>
      <c r="B2189" t="s">
        <v>47</v>
      </c>
      <c r="C2189" t="s">
        <v>51</v>
      </c>
      <c r="D2189" t="s">
        <v>49</v>
      </c>
      <c r="E2189">
        <v>1</v>
      </c>
    </row>
    <row r="2190" spans="1:5" x14ac:dyDescent="0.45">
      <c r="A2190" t="s">
        <v>55</v>
      </c>
      <c r="B2190" t="s">
        <v>47</v>
      </c>
      <c r="C2190" t="s">
        <v>51</v>
      </c>
      <c r="D2190" t="s">
        <v>49</v>
      </c>
      <c r="E2190">
        <v>1</v>
      </c>
    </row>
    <row r="2191" spans="1:5" x14ac:dyDescent="0.45">
      <c r="A2191" t="s">
        <v>55</v>
      </c>
      <c r="B2191" t="s">
        <v>47</v>
      </c>
      <c r="C2191" t="s">
        <v>51</v>
      </c>
      <c r="D2191" t="s">
        <v>49</v>
      </c>
      <c r="E2191">
        <v>1</v>
      </c>
    </row>
    <row r="2192" spans="1:5" x14ac:dyDescent="0.45">
      <c r="A2192" t="s">
        <v>55</v>
      </c>
      <c r="B2192" t="s">
        <v>47</v>
      </c>
      <c r="C2192" t="s">
        <v>51</v>
      </c>
      <c r="D2192" t="s">
        <v>49</v>
      </c>
      <c r="E2192">
        <v>1</v>
      </c>
    </row>
    <row r="2193" spans="1:5" x14ac:dyDescent="0.45">
      <c r="A2193" t="s">
        <v>55</v>
      </c>
      <c r="B2193" t="s">
        <v>47</v>
      </c>
      <c r="C2193" t="s">
        <v>51</v>
      </c>
      <c r="D2193" t="s">
        <v>49</v>
      </c>
      <c r="E2193">
        <v>1</v>
      </c>
    </row>
    <row r="2194" spans="1:5" x14ac:dyDescent="0.45">
      <c r="A2194" t="s">
        <v>55</v>
      </c>
      <c r="B2194" t="s">
        <v>47</v>
      </c>
      <c r="C2194" t="s">
        <v>51</v>
      </c>
      <c r="D2194" t="s">
        <v>49</v>
      </c>
      <c r="E2194">
        <v>1</v>
      </c>
    </row>
    <row r="2195" spans="1:5" x14ac:dyDescent="0.45">
      <c r="A2195" t="s">
        <v>55</v>
      </c>
      <c r="B2195" t="s">
        <v>47</v>
      </c>
      <c r="C2195" t="s">
        <v>51</v>
      </c>
      <c r="D2195" t="s">
        <v>49</v>
      </c>
      <c r="E2195">
        <v>1</v>
      </c>
    </row>
    <row r="2196" spans="1:5" x14ac:dyDescent="0.45">
      <c r="A2196" t="s">
        <v>55</v>
      </c>
      <c r="B2196" t="s">
        <v>47</v>
      </c>
      <c r="C2196" t="s">
        <v>51</v>
      </c>
      <c r="D2196" t="s">
        <v>49</v>
      </c>
      <c r="E2196">
        <v>1</v>
      </c>
    </row>
    <row r="2197" spans="1:5" x14ac:dyDescent="0.45">
      <c r="A2197" t="s">
        <v>55</v>
      </c>
      <c r="B2197" t="s">
        <v>47</v>
      </c>
      <c r="C2197" t="s">
        <v>51</v>
      </c>
      <c r="D2197" t="s">
        <v>49</v>
      </c>
      <c r="E2197">
        <v>1</v>
      </c>
    </row>
    <row r="2198" spans="1:5" x14ac:dyDescent="0.45">
      <c r="A2198" t="s">
        <v>55</v>
      </c>
      <c r="B2198" t="s">
        <v>47</v>
      </c>
      <c r="C2198" t="s">
        <v>51</v>
      </c>
      <c r="D2198" t="s">
        <v>49</v>
      </c>
      <c r="E2198">
        <v>1</v>
      </c>
    </row>
    <row r="2199" spans="1:5" x14ac:dyDescent="0.45">
      <c r="A2199" t="s">
        <v>55</v>
      </c>
      <c r="B2199" t="s">
        <v>47</v>
      </c>
      <c r="C2199" t="s">
        <v>51</v>
      </c>
      <c r="D2199" t="s">
        <v>49</v>
      </c>
      <c r="E2199">
        <v>1</v>
      </c>
    </row>
    <row r="2200" spans="1:5" x14ac:dyDescent="0.45">
      <c r="A2200" t="s">
        <v>55</v>
      </c>
      <c r="B2200" t="s">
        <v>47</v>
      </c>
      <c r="C2200" t="s">
        <v>51</v>
      </c>
      <c r="D2200" t="s">
        <v>50</v>
      </c>
      <c r="E2200">
        <v>0</v>
      </c>
    </row>
    <row r="2201" spans="1:5" x14ac:dyDescent="0.45">
      <c r="A2201" t="s">
        <v>55</v>
      </c>
      <c r="B2201" t="s">
        <v>47</v>
      </c>
      <c r="C2201" t="s">
        <v>51</v>
      </c>
      <c r="D2201" t="s">
        <v>50</v>
      </c>
      <c r="E2201">
        <v>0</v>
      </c>
    </row>
    <row r="2202" spans="1:5" x14ac:dyDescent="0.45">
      <c r="A2202" t="s">
        <v>55</v>
      </c>
      <c r="B2202" t="s">
        <v>47</v>
      </c>
      <c r="C2202" t="s">
        <v>51</v>
      </c>
      <c r="D2202" t="s">
        <v>50</v>
      </c>
      <c r="E22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FA34-3F54-4629-8096-21A8CD8F3236}">
  <dimension ref="A1:B381"/>
  <sheetViews>
    <sheetView workbookViewId="0"/>
  </sheetViews>
  <sheetFormatPr defaultRowHeight="14.25" x14ac:dyDescent="0.45"/>
  <sheetData>
    <row r="1" spans="1:2" x14ac:dyDescent="0.45">
      <c r="A1" s="1" t="s">
        <v>1</v>
      </c>
      <c r="B1" s="1" t="s">
        <v>2</v>
      </c>
    </row>
    <row r="2" spans="1:2" x14ac:dyDescent="0.45">
      <c r="A2">
        <v>0.75</v>
      </c>
      <c r="B2">
        <v>2050</v>
      </c>
    </row>
    <row r="3" spans="1:2" x14ac:dyDescent="0.45">
      <c r="A3">
        <v>1</v>
      </c>
      <c r="B3">
        <v>4263</v>
      </c>
    </row>
    <row r="4" spans="1:2" x14ac:dyDescent="0.45">
      <c r="A4">
        <v>1</v>
      </c>
      <c r="B4">
        <v>4272</v>
      </c>
    </row>
    <row r="5" spans="1:2" x14ac:dyDescent="0.45">
      <c r="A5">
        <v>1.01</v>
      </c>
      <c r="B5">
        <v>4372</v>
      </c>
    </row>
    <row r="6" spans="1:2" x14ac:dyDescent="0.45">
      <c r="A6">
        <v>1.01</v>
      </c>
      <c r="B6">
        <v>4372</v>
      </c>
    </row>
    <row r="7" spans="1:2" x14ac:dyDescent="0.45">
      <c r="A7">
        <v>1.1100000000000001</v>
      </c>
      <c r="B7">
        <v>4889</v>
      </c>
    </row>
    <row r="8" spans="1:2" x14ac:dyDescent="0.45">
      <c r="A8">
        <v>0.9</v>
      </c>
      <c r="B8">
        <v>3444</v>
      </c>
    </row>
    <row r="9" spans="1:2" x14ac:dyDescent="0.45">
      <c r="A9">
        <v>1.01</v>
      </c>
      <c r="B9">
        <v>4433</v>
      </c>
    </row>
    <row r="10" spans="1:2" x14ac:dyDescent="0.45">
      <c r="A10">
        <v>0.9</v>
      </c>
      <c r="B10">
        <v>3403</v>
      </c>
    </row>
    <row r="11" spans="1:2" x14ac:dyDescent="0.45">
      <c r="A11">
        <v>1</v>
      </c>
      <c r="B11">
        <v>4392</v>
      </c>
    </row>
    <row r="12" spans="1:2" x14ac:dyDescent="0.45">
      <c r="A12">
        <v>1.0900000000000001</v>
      </c>
      <c r="B12">
        <v>4689</v>
      </c>
    </row>
    <row r="13" spans="1:2" x14ac:dyDescent="0.45">
      <c r="A13">
        <v>0.7</v>
      </c>
      <c r="B13">
        <v>2192</v>
      </c>
    </row>
    <row r="14" spans="1:2" x14ac:dyDescent="0.45">
      <c r="A14">
        <v>0.91</v>
      </c>
      <c r="B14">
        <v>3532</v>
      </c>
    </row>
    <row r="15" spans="1:2" x14ac:dyDescent="0.45">
      <c r="A15">
        <v>1.01</v>
      </c>
      <c r="B15">
        <v>4540</v>
      </c>
    </row>
    <row r="16" spans="1:2" x14ac:dyDescent="0.45">
      <c r="A16">
        <v>1.1000000000000001</v>
      </c>
      <c r="B16">
        <v>4943</v>
      </c>
    </row>
    <row r="17" spans="1:2" x14ac:dyDescent="0.45">
      <c r="A17">
        <v>1.02</v>
      </c>
      <c r="B17">
        <v>4585</v>
      </c>
    </row>
    <row r="18" spans="1:2" x14ac:dyDescent="0.45">
      <c r="A18">
        <v>1.01</v>
      </c>
      <c r="B18">
        <v>4540</v>
      </c>
    </row>
    <row r="19" spans="1:2" x14ac:dyDescent="0.45">
      <c r="A19">
        <v>0.82</v>
      </c>
      <c r="B19">
        <v>2618</v>
      </c>
    </row>
    <row r="20" spans="1:2" x14ac:dyDescent="0.45">
      <c r="A20">
        <v>1.05</v>
      </c>
      <c r="B20">
        <v>4719</v>
      </c>
    </row>
    <row r="21" spans="1:2" x14ac:dyDescent="0.45">
      <c r="A21">
        <v>0.9</v>
      </c>
      <c r="B21">
        <v>3639</v>
      </c>
    </row>
    <row r="22" spans="1:2" x14ac:dyDescent="0.45">
      <c r="A22">
        <v>0.9</v>
      </c>
      <c r="B22">
        <v>3639</v>
      </c>
    </row>
    <row r="23" spans="1:2" x14ac:dyDescent="0.45">
      <c r="A23">
        <v>0.92</v>
      </c>
      <c r="B23">
        <v>3713</v>
      </c>
    </row>
    <row r="24" spans="1:2" x14ac:dyDescent="0.45">
      <c r="A24">
        <v>1.05</v>
      </c>
      <c r="B24">
        <v>4853</v>
      </c>
    </row>
    <row r="25" spans="1:2" x14ac:dyDescent="0.45">
      <c r="A25">
        <v>1.02</v>
      </c>
      <c r="B25">
        <v>4715</v>
      </c>
    </row>
    <row r="26" spans="1:2" x14ac:dyDescent="0.45">
      <c r="A26">
        <v>1.22</v>
      </c>
      <c r="B26">
        <v>5789</v>
      </c>
    </row>
    <row r="27" spans="1:2" x14ac:dyDescent="0.45">
      <c r="A27">
        <v>1.05</v>
      </c>
      <c r="B27">
        <v>5448</v>
      </c>
    </row>
    <row r="28" spans="1:2" x14ac:dyDescent="0.45">
      <c r="A28">
        <v>0.71</v>
      </c>
      <c r="B28">
        <v>2368</v>
      </c>
    </row>
    <row r="29" spans="1:2" x14ac:dyDescent="0.45">
      <c r="A29">
        <v>0.7</v>
      </c>
      <c r="B29">
        <v>2340</v>
      </c>
    </row>
    <row r="30" spans="1:2" x14ac:dyDescent="0.45">
      <c r="A30">
        <v>0.71</v>
      </c>
      <c r="B30">
        <v>2368</v>
      </c>
    </row>
    <row r="31" spans="1:2" x14ac:dyDescent="0.45">
      <c r="A31">
        <v>0.9</v>
      </c>
      <c r="B31">
        <v>3866</v>
      </c>
    </row>
    <row r="32" spans="1:2" x14ac:dyDescent="0.45">
      <c r="A32">
        <v>1</v>
      </c>
      <c r="B32">
        <v>4093</v>
      </c>
    </row>
    <row r="33" spans="1:2" x14ac:dyDescent="0.45">
      <c r="A33">
        <v>1</v>
      </c>
      <c r="B33">
        <v>4782</v>
      </c>
    </row>
    <row r="34" spans="1:2" x14ac:dyDescent="0.45">
      <c r="A34">
        <v>0.72</v>
      </c>
      <c r="B34">
        <v>2549</v>
      </c>
    </row>
    <row r="35" spans="1:2" x14ac:dyDescent="0.45">
      <c r="A35">
        <v>1.03</v>
      </c>
      <c r="B35">
        <v>4260</v>
      </c>
    </row>
    <row r="36" spans="1:2" x14ac:dyDescent="0.45">
      <c r="A36">
        <v>0.75</v>
      </c>
      <c r="B36">
        <v>2608</v>
      </c>
    </row>
    <row r="37" spans="1:2" x14ac:dyDescent="0.45">
      <c r="A37">
        <v>0.79</v>
      </c>
      <c r="B37">
        <v>2820</v>
      </c>
    </row>
    <row r="38" spans="1:2" x14ac:dyDescent="0.45">
      <c r="A38">
        <v>0.72</v>
      </c>
      <c r="B38">
        <v>2458</v>
      </c>
    </row>
    <row r="39" spans="1:2" x14ac:dyDescent="0.45">
      <c r="A39">
        <v>1.03</v>
      </c>
      <c r="B39">
        <v>6605</v>
      </c>
    </row>
    <row r="40" spans="1:2" x14ac:dyDescent="0.45">
      <c r="A40">
        <v>1.24</v>
      </c>
      <c r="B40">
        <v>6744</v>
      </c>
    </row>
    <row r="41" spans="1:2" x14ac:dyDescent="0.45">
      <c r="A41">
        <v>1.06</v>
      </c>
      <c r="B41">
        <v>5208</v>
      </c>
    </row>
    <row r="42" spans="1:2" x14ac:dyDescent="0.45">
      <c r="A42">
        <v>1.1200000000000001</v>
      </c>
      <c r="B42">
        <v>4674</v>
      </c>
    </row>
    <row r="43" spans="1:2" x14ac:dyDescent="0.45">
      <c r="A43">
        <v>0.71</v>
      </c>
      <c r="B43">
        <v>2578</v>
      </c>
    </row>
    <row r="44" spans="1:2" x14ac:dyDescent="0.45">
      <c r="A44">
        <v>1.22</v>
      </c>
      <c r="B44">
        <v>6461</v>
      </c>
    </row>
    <row r="45" spans="1:2" x14ac:dyDescent="0.45">
      <c r="A45">
        <v>1.03</v>
      </c>
      <c r="B45">
        <v>6605</v>
      </c>
    </row>
    <row r="46" spans="1:2" x14ac:dyDescent="0.45">
      <c r="A46">
        <v>0.7</v>
      </c>
      <c r="B46">
        <v>2399</v>
      </c>
    </row>
    <row r="47" spans="1:2" x14ac:dyDescent="0.45">
      <c r="A47">
        <v>0.71</v>
      </c>
      <c r="B47">
        <v>2578</v>
      </c>
    </row>
    <row r="48" spans="1:2" x14ac:dyDescent="0.45">
      <c r="A48">
        <v>0.8</v>
      </c>
      <c r="B48">
        <v>2802</v>
      </c>
    </row>
    <row r="49" spans="1:2" x14ac:dyDescent="0.45">
      <c r="A49">
        <v>0.7</v>
      </c>
      <c r="B49">
        <v>2399</v>
      </c>
    </row>
    <row r="50" spans="1:2" x14ac:dyDescent="0.45">
      <c r="A50">
        <v>0.72</v>
      </c>
      <c r="B50">
        <v>2610</v>
      </c>
    </row>
    <row r="51" spans="1:2" x14ac:dyDescent="0.45">
      <c r="A51">
        <v>0.76</v>
      </c>
      <c r="B51">
        <v>2643</v>
      </c>
    </row>
    <row r="52" spans="1:2" x14ac:dyDescent="0.45">
      <c r="A52">
        <v>1.27</v>
      </c>
      <c r="B52">
        <v>6353</v>
      </c>
    </row>
    <row r="53" spans="1:2" x14ac:dyDescent="0.45">
      <c r="A53">
        <v>1.2</v>
      </c>
      <c r="B53">
        <v>6541</v>
      </c>
    </row>
    <row r="54" spans="1:2" x14ac:dyDescent="0.45">
      <c r="A54">
        <v>0.91</v>
      </c>
      <c r="B54">
        <v>3915</v>
      </c>
    </row>
    <row r="55" spans="1:2" x14ac:dyDescent="0.45">
      <c r="A55">
        <v>1.0900000000000001</v>
      </c>
      <c r="B55">
        <v>4555</v>
      </c>
    </row>
    <row r="56" spans="1:2" x14ac:dyDescent="0.45">
      <c r="A56">
        <v>1.02</v>
      </c>
      <c r="B56">
        <v>4296</v>
      </c>
    </row>
    <row r="57" spans="1:2" x14ac:dyDescent="0.45">
      <c r="A57">
        <v>1.07</v>
      </c>
      <c r="B57">
        <v>4293</v>
      </c>
    </row>
    <row r="58" spans="1:2" x14ac:dyDescent="0.45">
      <c r="A58">
        <v>1.0900000000000001</v>
      </c>
      <c r="B58">
        <v>4679</v>
      </c>
    </row>
    <row r="59" spans="1:2" x14ac:dyDescent="0.45">
      <c r="A59">
        <v>1.2</v>
      </c>
      <c r="B59">
        <v>6210</v>
      </c>
    </row>
    <row r="60" spans="1:2" x14ac:dyDescent="0.45">
      <c r="A60">
        <v>1.2</v>
      </c>
      <c r="B60">
        <v>6541</v>
      </c>
    </row>
    <row r="61" spans="1:2" x14ac:dyDescent="0.45">
      <c r="A61">
        <v>1.1399999999999999</v>
      </c>
      <c r="B61">
        <v>5122</v>
      </c>
    </row>
    <row r="62" spans="1:2" x14ac:dyDescent="0.45">
      <c r="A62">
        <v>1.07</v>
      </c>
      <c r="B62">
        <v>4293</v>
      </c>
    </row>
    <row r="63" spans="1:2" x14ac:dyDescent="0.45">
      <c r="A63">
        <v>1.03</v>
      </c>
      <c r="B63">
        <v>4498</v>
      </c>
    </row>
    <row r="64" spans="1:2" x14ac:dyDescent="0.45">
      <c r="A64">
        <v>0.9</v>
      </c>
      <c r="B64">
        <v>3342</v>
      </c>
    </row>
    <row r="65" spans="1:2" x14ac:dyDescent="0.45">
      <c r="A65">
        <v>1.06</v>
      </c>
      <c r="B65">
        <v>4560</v>
      </c>
    </row>
    <row r="66" spans="1:2" x14ac:dyDescent="0.45">
      <c r="A66">
        <v>1.17</v>
      </c>
      <c r="B66">
        <v>5031</v>
      </c>
    </row>
    <row r="67" spans="1:2" x14ac:dyDescent="0.45">
      <c r="A67">
        <v>0.85</v>
      </c>
      <c r="B67">
        <v>2842</v>
      </c>
    </row>
    <row r="68" spans="1:2" x14ac:dyDescent="0.45">
      <c r="A68">
        <v>1.06</v>
      </c>
      <c r="B68">
        <v>4482</v>
      </c>
    </row>
    <row r="69" spans="1:2" x14ac:dyDescent="0.45">
      <c r="A69">
        <v>1.01</v>
      </c>
      <c r="B69">
        <v>4540</v>
      </c>
    </row>
    <row r="70" spans="1:2" x14ac:dyDescent="0.45">
      <c r="A70">
        <v>1.02</v>
      </c>
      <c r="B70">
        <v>4322</v>
      </c>
    </row>
    <row r="71" spans="1:2" x14ac:dyDescent="0.45">
      <c r="A71">
        <v>0.91</v>
      </c>
      <c r="B71">
        <v>3389</v>
      </c>
    </row>
    <row r="72" spans="1:2" x14ac:dyDescent="0.45">
      <c r="A72">
        <v>1.1000000000000001</v>
      </c>
      <c r="B72">
        <v>4802</v>
      </c>
    </row>
    <row r="73" spans="1:2" x14ac:dyDescent="0.45">
      <c r="A73">
        <v>1.1200000000000001</v>
      </c>
      <c r="B73">
        <v>4889</v>
      </c>
    </row>
    <row r="74" spans="1:2" x14ac:dyDescent="0.45">
      <c r="A74">
        <v>1.05</v>
      </c>
      <c r="B74">
        <v>4517</v>
      </c>
    </row>
    <row r="75" spans="1:2" x14ac:dyDescent="0.45">
      <c r="A75">
        <v>1.01</v>
      </c>
      <c r="B75">
        <v>4252</v>
      </c>
    </row>
    <row r="76" spans="1:2" x14ac:dyDescent="0.45">
      <c r="A76">
        <v>1.03</v>
      </c>
      <c r="B76">
        <v>4498</v>
      </c>
    </row>
    <row r="77" spans="1:2" x14ac:dyDescent="0.45">
      <c r="A77">
        <v>1.1599999999999999</v>
      </c>
      <c r="B77">
        <v>5416</v>
      </c>
    </row>
    <row r="78" spans="1:2" x14ac:dyDescent="0.45">
      <c r="A78">
        <v>1.05</v>
      </c>
      <c r="B78">
        <v>5054</v>
      </c>
    </row>
    <row r="79" spans="1:2" x14ac:dyDescent="0.45">
      <c r="A79">
        <v>1.01</v>
      </c>
      <c r="B79">
        <v>4362</v>
      </c>
    </row>
    <row r="80" spans="1:2" x14ac:dyDescent="0.45">
      <c r="A80">
        <v>0.9</v>
      </c>
      <c r="B80">
        <v>3389</v>
      </c>
    </row>
    <row r="81" spans="1:2" x14ac:dyDescent="0.45">
      <c r="A81">
        <v>1.18</v>
      </c>
      <c r="B81">
        <v>5150</v>
      </c>
    </row>
    <row r="82" spans="1:2" x14ac:dyDescent="0.45">
      <c r="A82">
        <v>1.1000000000000001</v>
      </c>
      <c r="B82">
        <v>4821</v>
      </c>
    </row>
    <row r="83" spans="1:2" x14ac:dyDescent="0.45">
      <c r="A83">
        <v>1.03</v>
      </c>
      <c r="B83">
        <v>4432</v>
      </c>
    </row>
    <row r="84" spans="1:2" x14ac:dyDescent="0.45">
      <c r="A84">
        <v>0.9</v>
      </c>
      <c r="B84">
        <v>3435</v>
      </c>
    </row>
    <row r="85" spans="1:2" x14ac:dyDescent="0.45">
      <c r="A85">
        <v>0.71</v>
      </c>
      <c r="B85">
        <v>2488</v>
      </c>
    </row>
    <row r="86" spans="1:2" x14ac:dyDescent="0.45">
      <c r="A86">
        <v>0.9</v>
      </c>
      <c r="B86">
        <v>3734</v>
      </c>
    </row>
    <row r="87" spans="1:2" x14ac:dyDescent="0.45">
      <c r="A87">
        <v>1.06</v>
      </c>
      <c r="B87">
        <v>4577</v>
      </c>
    </row>
    <row r="88" spans="1:2" x14ac:dyDescent="0.45">
      <c r="A88">
        <v>0.7</v>
      </c>
      <c r="B88">
        <v>2133</v>
      </c>
    </row>
    <row r="89" spans="1:2" x14ac:dyDescent="0.45">
      <c r="A89">
        <v>1.03</v>
      </c>
      <c r="B89">
        <v>4448</v>
      </c>
    </row>
    <row r="90" spans="1:2" x14ac:dyDescent="0.45">
      <c r="A90">
        <v>0.91</v>
      </c>
      <c r="B90">
        <v>3771</v>
      </c>
    </row>
    <row r="91" spans="1:2" x14ac:dyDescent="0.45">
      <c r="A91">
        <v>1.06</v>
      </c>
      <c r="B91">
        <v>4628</v>
      </c>
    </row>
    <row r="92" spans="1:2" x14ac:dyDescent="0.45">
      <c r="A92">
        <v>1.06</v>
      </c>
      <c r="B92">
        <v>4577</v>
      </c>
    </row>
    <row r="93" spans="1:2" x14ac:dyDescent="0.45">
      <c r="A93">
        <v>1.01</v>
      </c>
      <c r="B93">
        <v>4529</v>
      </c>
    </row>
    <row r="94" spans="1:2" x14ac:dyDescent="0.45">
      <c r="A94">
        <v>0.79</v>
      </c>
      <c r="B94">
        <v>2441</v>
      </c>
    </row>
    <row r="95" spans="1:2" x14ac:dyDescent="0.45">
      <c r="A95">
        <v>1.01</v>
      </c>
      <c r="B95">
        <v>4433</v>
      </c>
    </row>
    <row r="96" spans="1:2" x14ac:dyDescent="0.45">
      <c r="A96">
        <v>1.02</v>
      </c>
      <c r="B96">
        <v>4517</v>
      </c>
    </row>
    <row r="97" spans="1:2" x14ac:dyDescent="0.45">
      <c r="A97">
        <v>1</v>
      </c>
      <c r="B97">
        <v>4481</v>
      </c>
    </row>
    <row r="98" spans="1:2" x14ac:dyDescent="0.45">
      <c r="A98">
        <v>1.02</v>
      </c>
      <c r="B98">
        <v>4585</v>
      </c>
    </row>
    <row r="99" spans="1:2" x14ac:dyDescent="0.45">
      <c r="A99">
        <v>0.7</v>
      </c>
      <c r="B99">
        <v>2222</v>
      </c>
    </row>
    <row r="100" spans="1:2" x14ac:dyDescent="0.45">
      <c r="A100">
        <v>1.1399999999999999</v>
      </c>
      <c r="B100">
        <v>5122</v>
      </c>
    </row>
    <row r="101" spans="1:2" x14ac:dyDescent="0.45">
      <c r="A101">
        <v>1.1399999999999999</v>
      </c>
      <c r="B101">
        <v>5122</v>
      </c>
    </row>
    <row r="102" spans="1:2" x14ac:dyDescent="0.45">
      <c r="A102">
        <v>1</v>
      </c>
      <c r="B102">
        <v>4424</v>
      </c>
    </row>
    <row r="103" spans="1:2" x14ac:dyDescent="0.45">
      <c r="A103">
        <v>1.2</v>
      </c>
      <c r="B103">
        <v>5549</v>
      </c>
    </row>
    <row r="104" spans="1:2" x14ac:dyDescent="0.45">
      <c r="A104">
        <v>0.7</v>
      </c>
      <c r="B104">
        <v>2240</v>
      </c>
    </row>
    <row r="105" spans="1:2" x14ac:dyDescent="0.45">
      <c r="A105">
        <v>1</v>
      </c>
      <c r="B105">
        <v>4539</v>
      </c>
    </row>
    <row r="106" spans="1:2" x14ac:dyDescent="0.45">
      <c r="A106">
        <v>1.01</v>
      </c>
      <c r="B106">
        <v>4540</v>
      </c>
    </row>
    <row r="107" spans="1:2" x14ac:dyDescent="0.45">
      <c r="A107">
        <v>1.18</v>
      </c>
      <c r="B107">
        <v>5301</v>
      </c>
    </row>
    <row r="108" spans="1:2" x14ac:dyDescent="0.45">
      <c r="A108">
        <v>0.8</v>
      </c>
      <c r="B108">
        <v>3032</v>
      </c>
    </row>
    <row r="109" spans="1:2" x14ac:dyDescent="0.45">
      <c r="A109">
        <v>1.07</v>
      </c>
      <c r="B109">
        <v>4808</v>
      </c>
    </row>
    <row r="110" spans="1:2" x14ac:dyDescent="0.45">
      <c r="A110">
        <v>1.01</v>
      </c>
      <c r="B110">
        <v>4540</v>
      </c>
    </row>
    <row r="111" spans="1:2" x14ac:dyDescent="0.45">
      <c r="A111">
        <v>0.7</v>
      </c>
      <c r="B111">
        <v>2251</v>
      </c>
    </row>
    <row r="112" spans="1:2" x14ac:dyDescent="0.45">
      <c r="A112">
        <v>1.03</v>
      </c>
      <c r="B112">
        <v>4789</v>
      </c>
    </row>
    <row r="113" spans="1:2" x14ac:dyDescent="0.45">
      <c r="A113">
        <v>0.73</v>
      </c>
      <c r="B113">
        <v>2360</v>
      </c>
    </row>
    <row r="114" spans="1:2" x14ac:dyDescent="0.45">
      <c r="A114">
        <v>0.91</v>
      </c>
      <c r="B114">
        <v>3676</v>
      </c>
    </row>
    <row r="115" spans="1:2" x14ac:dyDescent="0.45">
      <c r="A115">
        <v>0.7</v>
      </c>
      <c r="B115">
        <v>2310</v>
      </c>
    </row>
    <row r="116" spans="1:2" x14ac:dyDescent="0.45">
      <c r="A116">
        <v>0.7</v>
      </c>
      <c r="B116">
        <v>2330</v>
      </c>
    </row>
    <row r="117" spans="1:2" x14ac:dyDescent="0.45">
      <c r="A117">
        <v>1</v>
      </c>
      <c r="B117">
        <v>4705</v>
      </c>
    </row>
    <row r="118" spans="1:2" x14ac:dyDescent="0.45">
      <c r="A118">
        <v>1.08</v>
      </c>
      <c r="B118">
        <v>5060</v>
      </c>
    </row>
    <row r="119" spans="1:2" x14ac:dyDescent="0.45">
      <c r="A119">
        <v>0.72</v>
      </c>
      <c r="B119">
        <v>2458</v>
      </c>
    </row>
    <row r="120" spans="1:2" x14ac:dyDescent="0.45">
      <c r="A120">
        <v>0.84</v>
      </c>
      <c r="B120">
        <v>3012</v>
      </c>
    </row>
    <row r="121" spans="1:2" x14ac:dyDescent="0.45">
      <c r="A121">
        <v>1.02</v>
      </c>
      <c r="B121">
        <v>4877</v>
      </c>
    </row>
    <row r="122" spans="1:2" x14ac:dyDescent="0.45">
      <c r="A122">
        <v>1.17</v>
      </c>
      <c r="B122">
        <v>5823</v>
      </c>
    </row>
    <row r="123" spans="1:2" x14ac:dyDescent="0.45">
      <c r="A123">
        <v>1.02</v>
      </c>
      <c r="B123">
        <v>4845</v>
      </c>
    </row>
    <row r="124" spans="1:2" x14ac:dyDescent="0.45">
      <c r="A124">
        <v>1.03</v>
      </c>
      <c r="B124">
        <v>4893</v>
      </c>
    </row>
    <row r="125" spans="1:2" x14ac:dyDescent="0.45">
      <c r="A125">
        <v>1.19</v>
      </c>
      <c r="B125">
        <v>5660</v>
      </c>
    </row>
    <row r="126" spans="1:2" x14ac:dyDescent="0.45">
      <c r="A126">
        <v>1.07</v>
      </c>
      <c r="B126">
        <v>5082</v>
      </c>
    </row>
    <row r="127" spans="1:2" x14ac:dyDescent="0.45">
      <c r="A127">
        <v>0.72</v>
      </c>
      <c r="B127">
        <v>2428</v>
      </c>
    </row>
    <row r="128" spans="1:2" x14ac:dyDescent="0.45">
      <c r="A128">
        <v>1.1000000000000001</v>
      </c>
      <c r="B128">
        <v>5189</v>
      </c>
    </row>
    <row r="129" spans="1:2" x14ac:dyDescent="0.45">
      <c r="A129">
        <v>1.01</v>
      </c>
      <c r="B129">
        <v>4807</v>
      </c>
    </row>
    <row r="130" spans="1:2" x14ac:dyDescent="0.45">
      <c r="A130">
        <v>0.84</v>
      </c>
      <c r="B130">
        <v>2977</v>
      </c>
    </row>
    <row r="131" spans="1:2" x14ac:dyDescent="0.45">
      <c r="A131">
        <v>1.08</v>
      </c>
      <c r="B131">
        <v>5109</v>
      </c>
    </row>
    <row r="132" spans="1:2" x14ac:dyDescent="0.45">
      <c r="A132">
        <v>1.03</v>
      </c>
      <c r="B132">
        <v>5068</v>
      </c>
    </row>
    <row r="133" spans="1:2" x14ac:dyDescent="0.45">
      <c r="A133">
        <v>0.9</v>
      </c>
      <c r="B133">
        <v>4112</v>
      </c>
    </row>
    <row r="134" spans="1:2" x14ac:dyDescent="0.45">
      <c r="A134">
        <v>0.91</v>
      </c>
      <c r="B134">
        <v>4154</v>
      </c>
    </row>
    <row r="135" spans="1:2" x14ac:dyDescent="0.45">
      <c r="A135">
        <v>0.71</v>
      </c>
      <c r="B135">
        <v>2518</v>
      </c>
    </row>
    <row r="136" spans="1:2" x14ac:dyDescent="0.45">
      <c r="A136">
        <v>1</v>
      </c>
      <c r="B136">
        <v>4842</v>
      </c>
    </row>
    <row r="137" spans="1:2" x14ac:dyDescent="0.45">
      <c r="A137">
        <v>1.2</v>
      </c>
      <c r="B137">
        <v>6080</v>
      </c>
    </row>
    <row r="138" spans="1:2" x14ac:dyDescent="0.45">
      <c r="A138">
        <v>1.08</v>
      </c>
      <c r="B138">
        <v>4234</v>
      </c>
    </row>
    <row r="139" spans="1:2" x14ac:dyDescent="0.45">
      <c r="A139">
        <v>1.05</v>
      </c>
      <c r="B139">
        <v>4418</v>
      </c>
    </row>
    <row r="140" spans="1:2" x14ac:dyDescent="0.45">
      <c r="A140">
        <v>1.01</v>
      </c>
      <c r="B140">
        <v>4262</v>
      </c>
    </row>
    <row r="141" spans="1:2" x14ac:dyDescent="0.45">
      <c r="A141">
        <v>1</v>
      </c>
      <c r="B141">
        <v>4223</v>
      </c>
    </row>
    <row r="142" spans="1:2" x14ac:dyDescent="0.45">
      <c r="A142">
        <v>1.07</v>
      </c>
      <c r="B142">
        <v>4478</v>
      </c>
    </row>
    <row r="143" spans="1:2" x14ac:dyDescent="0.45">
      <c r="A143">
        <v>1.02</v>
      </c>
      <c r="B143">
        <v>4301</v>
      </c>
    </row>
    <row r="144" spans="1:2" x14ac:dyDescent="0.45">
      <c r="A144">
        <v>0.92</v>
      </c>
      <c r="B144">
        <v>3381</v>
      </c>
    </row>
    <row r="145" spans="1:2" x14ac:dyDescent="0.45">
      <c r="A145">
        <v>1.1100000000000001</v>
      </c>
      <c r="B145">
        <v>4761</v>
      </c>
    </row>
    <row r="146" spans="1:2" x14ac:dyDescent="0.45">
      <c r="A146">
        <v>1.04</v>
      </c>
      <c r="B146">
        <v>4479</v>
      </c>
    </row>
    <row r="147" spans="1:2" x14ac:dyDescent="0.45">
      <c r="A147">
        <v>1.07</v>
      </c>
      <c r="B147">
        <v>4669</v>
      </c>
    </row>
    <row r="148" spans="1:2" x14ac:dyDescent="0.45">
      <c r="A148">
        <v>1.1200000000000001</v>
      </c>
      <c r="B148">
        <v>4886</v>
      </c>
    </row>
    <row r="149" spans="1:2" x14ac:dyDescent="0.45">
      <c r="A149">
        <v>1.08</v>
      </c>
      <c r="B149">
        <v>4713</v>
      </c>
    </row>
    <row r="150" spans="1:2" x14ac:dyDescent="0.45">
      <c r="A150">
        <v>1.18</v>
      </c>
      <c r="B150">
        <v>4572</v>
      </c>
    </row>
    <row r="151" spans="1:2" x14ac:dyDescent="0.45">
      <c r="A151">
        <v>0.91</v>
      </c>
      <c r="B151">
        <v>3434</v>
      </c>
    </row>
    <row r="152" spans="1:2" x14ac:dyDescent="0.45">
      <c r="A152">
        <v>0.91</v>
      </c>
      <c r="B152">
        <v>3434</v>
      </c>
    </row>
    <row r="153" spans="1:2" x14ac:dyDescent="0.45">
      <c r="A153">
        <v>1.01</v>
      </c>
      <c r="B153">
        <v>4484</v>
      </c>
    </row>
    <row r="154" spans="1:2" x14ac:dyDescent="0.45">
      <c r="A154">
        <v>1.21</v>
      </c>
      <c r="B154">
        <v>5637</v>
      </c>
    </row>
    <row r="155" spans="1:2" x14ac:dyDescent="0.45">
      <c r="A155">
        <v>1.2</v>
      </c>
      <c r="B155">
        <v>5877</v>
      </c>
    </row>
    <row r="156" spans="1:2" x14ac:dyDescent="0.45">
      <c r="A156">
        <v>0.76</v>
      </c>
      <c r="B156">
        <v>2349</v>
      </c>
    </row>
    <row r="157" spans="1:2" x14ac:dyDescent="0.45">
      <c r="A157">
        <v>1.29</v>
      </c>
      <c r="B157">
        <v>5992</v>
      </c>
    </row>
    <row r="158" spans="1:2" x14ac:dyDescent="0.45">
      <c r="A158">
        <v>1.28</v>
      </c>
      <c r="B158">
        <v>5505</v>
      </c>
    </row>
    <row r="159" spans="1:2" x14ac:dyDescent="0.45">
      <c r="A159">
        <v>1</v>
      </c>
      <c r="B159">
        <v>4440</v>
      </c>
    </row>
    <row r="160" spans="1:2" x14ac:dyDescent="0.45">
      <c r="A160">
        <v>0.73</v>
      </c>
      <c r="B160">
        <v>2277</v>
      </c>
    </row>
    <row r="161" spans="1:2" x14ac:dyDescent="0.45">
      <c r="A161">
        <v>1.08</v>
      </c>
      <c r="B161">
        <v>4162</v>
      </c>
    </row>
    <row r="162" spans="1:2" x14ac:dyDescent="0.45">
      <c r="A162">
        <v>1.2</v>
      </c>
      <c r="B162">
        <v>5734</v>
      </c>
    </row>
    <row r="163" spans="1:2" x14ac:dyDescent="0.45">
      <c r="A163">
        <v>0.72</v>
      </c>
      <c r="B163">
        <v>2388</v>
      </c>
    </row>
    <row r="164" spans="1:2" x14ac:dyDescent="0.45">
      <c r="A164">
        <v>0.71</v>
      </c>
      <c r="B164">
        <v>2224</v>
      </c>
    </row>
    <row r="165" spans="1:2" x14ac:dyDescent="0.45">
      <c r="A165">
        <v>1.29</v>
      </c>
      <c r="B165">
        <v>7698</v>
      </c>
    </row>
    <row r="166" spans="1:2" x14ac:dyDescent="0.45">
      <c r="A166">
        <v>1.21</v>
      </c>
      <c r="B166">
        <v>5942</v>
      </c>
    </row>
    <row r="167" spans="1:2" x14ac:dyDescent="0.45">
      <c r="A167">
        <v>0.86</v>
      </c>
      <c r="B167">
        <v>2668</v>
      </c>
    </row>
    <row r="168" spans="1:2" x14ac:dyDescent="0.45">
      <c r="A168">
        <v>1.17</v>
      </c>
      <c r="B168">
        <v>4547</v>
      </c>
    </row>
    <row r="169" spans="1:2" x14ac:dyDescent="0.45">
      <c r="A169">
        <v>0.7</v>
      </c>
      <c r="B169">
        <v>2464</v>
      </c>
    </row>
    <row r="170" spans="1:2" x14ac:dyDescent="0.45">
      <c r="A170">
        <v>1.2</v>
      </c>
      <c r="B170">
        <v>5377</v>
      </c>
    </row>
    <row r="171" spans="1:2" x14ac:dyDescent="0.45">
      <c r="A171">
        <v>0.7</v>
      </c>
      <c r="B171">
        <v>2117</v>
      </c>
    </row>
    <row r="172" spans="1:2" x14ac:dyDescent="0.45">
      <c r="A172">
        <v>1.27</v>
      </c>
      <c r="B172">
        <v>6218</v>
      </c>
    </row>
    <row r="173" spans="1:2" x14ac:dyDescent="0.45">
      <c r="A173">
        <v>1.01</v>
      </c>
      <c r="B173">
        <v>4829</v>
      </c>
    </row>
    <row r="174" spans="1:2" x14ac:dyDescent="0.45">
      <c r="A174">
        <v>1.2</v>
      </c>
      <c r="B174">
        <v>6091</v>
      </c>
    </row>
    <row r="175" spans="1:2" x14ac:dyDescent="0.45">
      <c r="A175">
        <v>1.1499999999999999</v>
      </c>
      <c r="B175">
        <v>4675</v>
      </c>
    </row>
    <row r="176" spans="1:2" x14ac:dyDescent="0.45">
      <c r="A176">
        <v>1.24</v>
      </c>
      <c r="B176">
        <v>5408</v>
      </c>
    </row>
    <row r="177" spans="1:2" x14ac:dyDescent="0.45">
      <c r="A177">
        <v>1.01</v>
      </c>
      <c r="B177">
        <v>3700</v>
      </c>
    </row>
    <row r="178" spans="1:2" x14ac:dyDescent="0.45">
      <c r="A178">
        <v>1</v>
      </c>
      <c r="B178">
        <v>4001</v>
      </c>
    </row>
    <row r="179" spans="1:2" x14ac:dyDescent="0.45">
      <c r="A179">
        <v>1.01</v>
      </c>
      <c r="B179">
        <v>4150</v>
      </c>
    </row>
    <row r="180" spans="1:2" x14ac:dyDescent="0.45">
      <c r="A180">
        <v>1.03</v>
      </c>
      <c r="B180">
        <v>4111</v>
      </c>
    </row>
    <row r="181" spans="1:2" x14ac:dyDescent="0.45">
      <c r="A181">
        <v>1.28</v>
      </c>
      <c r="B181">
        <v>5962</v>
      </c>
    </row>
    <row r="182" spans="1:2" x14ac:dyDescent="0.45">
      <c r="A182">
        <v>1.01</v>
      </c>
      <c r="B182">
        <v>4150</v>
      </c>
    </row>
    <row r="183" spans="1:2" x14ac:dyDescent="0.45">
      <c r="A183">
        <v>0.81</v>
      </c>
      <c r="B183">
        <v>2676</v>
      </c>
    </row>
    <row r="184" spans="1:2" x14ac:dyDescent="0.45">
      <c r="A184">
        <v>1.21</v>
      </c>
      <c r="B184">
        <v>5637</v>
      </c>
    </row>
    <row r="185" spans="1:2" x14ac:dyDescent="0.45">
      <c r="A185">
        <v>1.23</v>
      </c>
      <c r="B185">
        <v>5730</v>
      </c>
    </row>
    <row r="186" spans="1:2" x14ac:dyDescent="0.45">
      <c r="A186">
        <v>1.01</v>
      </c>
      <c r="B186">
        <v>4075</v>
      </c>
    </row>
    <row r="187" spans="1:2" x14ac:dyDescent="0.45">
      <c r="A187">
        <v>1.06</v>
      </c>
      <c r="B187">
        <v>4260</v>
      </c>
    </row>
    <row r="188" spans="1:2" x14ac:dyDescent="0.45">
      <c r="A188">
        <v>1.01</v>
      </c>
      <c r="B188">
        <v>4075</v>
      </c>
    </row>
    <row r="189" spans="1:2" x14ac:dyDescent="0.45">
      <c r="A189">
        <v>0.83</v>
      </c>
      <c r="B189">
        <v>2734</v>
      </c>
    </row>
    <row r="190" spans="1:2" x14ac:dyDescent="0.45">
      <c r="A190">
        <v>0.9</v>
      </c>
      <c r="B190">
        <v>3111</v>
      </c>
    </row>
    <row r="191" spans="1:2" x14ac:dyDescent="0.45">
      <c r="A191">
        <v>1.29</v>
      </c>
      <c r="B191">
        <v>5299</v>
      </c>
    </row>
    <row r="192" spans="1:2" x14ac:dyDescent="0.45">
      <c r="A192">
        <v>1.05</v>
      </c>
      <c r="B192">
        <v>4250</v>
      </c>
    </row>
    <row r="193" spans="1:2" x14ac:dyDescent="0.45">
      <c r="A193">
        <v>1.07</v>
      </c>
      <c r="B193">
        <v>4297</v>
      </c>
    </row>
    <row r="194" spans="1:2" x14ac:dyDescent="0.45">
      <c r="A194">
        <v>0.9</v>
      </c>
      <c r="B194">
        <v>3111</v>
      </c>
    </row>
    <row r="195" spans="1:2" x14ac:dyDescent="0.45">
      <c r="A195">
        <v>1.1000000000000001</v>
      </c>
      <c r="B195">
        <v>4506</v>
      </c>
    </row>
    <row r="196" spans="1:2" x14ac:dyDescent="0.45">
      <c r="A196">
        <v>1.1299999999999999</v>
      </c>
      <c r="B196">
        <v>4594</v>
      </c>
    </row>
    <row r="197" spans="1:2" x14ac:dyDescent="0.45">
      <c r="A197">
        <v>1.01</v>
      </c>
      <c r="B197">
        <v>4150</v>
      </c>
    </row>
    <row r="198" spans="1:2" x14ac:dyDescent="0.45">
      <c r="A198">
        <v>1</v>
      </c>
      <c r="B198">
        <v>4112</v>
      </c>
    </row>
    <row r="199" spans="1:2" x14ac:dyDescent="0.45">
      <c r="A199">
        <v>1</v>
      </c>
      <c r="B199">
        <v>4141</v>
      </c>
    </row>
    <row r="200" spans="1:2" x14ac:dyDescent="0.45">
      <c r="A200">
        <v>1.18</v>
      </c>
      <c r="B200">
        <v>4936</v>
      </c>
    </row>
    <row r="201" spans="1:2" x14ac:dyDescent="0.45">
      <c r="A201">
        <v>1.0900000000000001</v>
      </c>
      <c r="B201">
        <v>4585</v>
      </c>
    </row>
    <row r="202" spans="1:2" x14ac:dyDescent="0.45">
      <c r="A202">
        <v>1.0900000000000001</v>
      </c>
      <c r="B202">
        <v>4561</v>
      </c>
    </row>
    <row r="203" spans="1:2" x14ac:dyDescent="0.45">
      <c r="A203">
        <v>1.05</v>
      </c>
      <c r="B203">
        <v>4418</v>
      </c>
    </row>
    <row r="204" spans="1:2" x14ac:dyDescent="0.45">
      <c r="A204">
        <v>1.01</v>
      </c>
      <c r="B204">
        <v>4262</v>
      </c>
    </row>
    <row r="205" spans="1:2" x14ac:dyDescent="0.45">
      <c r="A205">
        <v>1.03</v>
      </c>
      <c r="B205">
        <v>4340</v>
      </c>
    </row>
    <row r="206" spans="1:2" x14ac:dyDescent="0.45">
      <c r="A206">
        <v>1.1299999999999999</v>
      </c>
      <c r="B206">
        <v>5064</v>
      </c>
    </row>
    <row r="207" spans="1:2" x14ac:dyDescent="0.45">
      <c r="A207">
        <v>1.03</v>
      </c>
      <c r="B207">
        <v>4334</v>
      </c>
    </row>
    <row r="208" spans="1:2" x14ac:dyDescent="0.45">
      <c r="A208">
        <v>0.76</v>
      </c>
      <c r="B208">
        <v>2271</v>
      </c>
    </row>
    <row r="209" spans="1:2" x14ac:dyDescent="0.45">
      <c r="A209">
        <v>1.02</v>
      </c>
      <c r="B209">
        <v>4301</v>
      </c>
    </row>
    <row r="210" spans="1:2" x14ac:dyDescent="0.45">
      <c r="A210">
        <v>1.01</v>
      </c>
      <c r="B210">
        <v>4262</v>
      </c>
    </row>
    <row r="211" spans="1:2" x14ac:dyDescent="0.45">
      <c r="A211">
        <v>1.01</v>
      </c>
      <c r="B211">
        <v>4283</v>
      </c>
    </row>
    <row r="212" spans="1:2" x14ac:dyDescent="0.45">
      <c r="A212">
        <v>1</v>
      </c>
      <c r="B212">
        <v>4244</v>
      </c>
    </row>
    <row r="213" spans="1:2" x14ac:dyDescent="0.45">
      <c r="A213">
        <v>1.0900000000000001</v>
      </c>
      <c r="B213">
        <v>4659</v>
      </c>
    </row>
    <row r="214" spans="1:2" x14ac:dyDescent="0.45">
      <c r="A214">
        <v>0.72</v>
      </c>
      <c r="B214">
        <v>2109</v>
      </c>
    </row>
    <row r="215" spans="1:2" x14ac:dyDescent="0.45">
      <c r="A215">
        <v>1</v>
      </c>
      <c r="B215">
        <v>4279</v>
      </c>
    </row>
    <row r="216" spans="1:2" x14ac:dyDescent="0.45">
      <c r="A216">
        <v>1.18</v>
      </c>
      <c r="B216">
        <v>5092</v>
      </c>
    </row>
    <row r="217" spans="1:2" x14ac:dyDescent="0.45">
      <c r="A217">
        <v>0.9</v>
      </c>
      <c r="B217">
        <v>3296</v>
      </c>
    </row>
    <row r="218" spans="1:2" x14ac:dyDescent="0.45">
      <c r="A218">
        <v>0.91</v>
      </c>
      <c r="B218">
        <v>3329</v>
      </c>
    </row>
    <row r="219" spans="1:2" x14ac:dyDescent="0.45">
      <c r="A219">
        <v>0.76</v>
      </c>
      <c r="B219">
        <v>2434</v>
      </c>
    </row>
    <row r="220" spans="1:2" x14ac:dyDescent="0.45">
      <c r="A220">
        <v>1.1499999999999999</v>
      </c>
      <c r="B220">
        <v>5051</v>
      </c>
    </row>
    <row r="221" spans="1:2" x14ac:dyDescent="0.45">
      <c r="A221">
        <v>1.22</v>
      </c>
      <c r="B221">
        <v>5938</v>
      </c>
    </row>
    <row r="222" spans="1:2" x14ac:dyDescent="0.45">
      <c r="A222">
        <v>0.72</v>
      </c>
      <c r="B222">
        <v>2432</v>
      </c>
    </row>
    <row r="223" spans="1:2" x14ac:dyDescent="0.45">
      <c r="A223">
        <v>1.1100000000000001</v>
      </c>
      <c r="B223">
        <v>4883</v>
      </c>
    </row>
    <row r="224" spans="1:2" x14ac:dyDescent="0.45">
      <c r="A224">
        <v>1.1299999999999999</v>
      </c>
      <c r="B224">
        <v>4971</v>
      </c>
    </row>
    <row r="225" spans="1:2" x14ac:dyDescent="0.45">
      <c r="A225">
        <v>1</v>
      </c>
      <c r="B225">
        <v>4429</v>
      </c>
    </row>
    <row r="226" spans="1:2" x14ac:dyDescent="0.45">
      <c r="A226">
        <v>0.82</v>
      </c>
      <c r="B226">
        <v>2986</v>
      </c>
    </row>
    <row r="227" spans="1:2" x14ac:dyDescent="0.45">
      <c r="A227">
        <v>1.06</v>
      </c>
      <c r="B227">
        <v>5067</v>
      </c>
    </row>
    <row r="228" spans="1:2" x14ac:dyDescent="0.45">
      <c r="A228">
        <v>1.1399999999999999</v>
      </c>
      <c r="B228">
        <v>5109</v>
      </c>
    </row>
    <row r="229" spans="1:2" x14ac:dyDescent="0.45">
      <c r="A229">
        <v>1.1399999999999999</v>
      </c>
      <c r="B229">
        <v>5109</v>
      </c>
    </row>
    <row r="230" spans="1:2" x14ac:dyDescent="0.45">
      <c r="A230">
        <v>0.8</v>
      </c>
      <c r="B230">
        <v>2769</v>
      </c>
    </row>
    <row r="231" spans="1:2" x14ac:dyDescent="0.45">
      <c r="A231">
        <v>1.01</v>
      </c>
      <c r="B231">
        <v>4712</v>
      </c>
    </row>
    <row r="232" spans="1:2" x14ac:dyDescent="0.45">
      <c r="A232">
        <v>1.2</v>
      </c>
      <c r="B232">
        <v>5377</v>
      </c>
    </row>
    <row r="233" spans="1:2" x14ac:dyDescent="0.45">
      <c r="A233">
        <v>1.07</v>
      </c>
      <c r="B233">
        <v>4833</v>
      </c>
    </row>
    <row r="234" spans="1:2" x14ac:dyDescent="0.45">
      <c r="A234">
        <v>1.22</v>
      </c>
      <c r="B234">
        <v>6071</v>
      </c>
    </row>
    <row r="235" spans="1:2" x14ac:dyDescent="0.45">
      <c r="A235">
        <v>1.28</v>
      </c>
      <c r="B235">
        <v>6002</v>
      </c>
    </row>
    <row r="236" spans="1:2" x14ac:dyDescent="0.45">
      <c r="A236">
        <v>1.28</v>
      </c>
      <c r="B236">
        <v>6115</v>
      </c>
    </row>
    <row r="237" spans="1:2" x14ac:dyDescent="0.45">
      <c r="A237">
        <v>1.05</v>
      </c>
      <c r="B237">
        <v>3634</v>
      </c>
    </row>
    <row r="238" spans="1:2" x14ac:dyDescent="0.45">
      <c r="A238">
        <v>1.06</v>
      </c>
      <c r="B238">
        <v>3665</v>
      </c>
    </row>
    <row r="239" spans="1:2" x14ac:dyDescent="0.45">
      <c r="A239">
        <v>1.03</v>
      </c>
      <c r="B239">
        <v>3670</v>
      </c>
    </row>
    <row r="240" spans="1:2" x14ac:dyDescent="0.45">
      <c r="A240">
        <v>1.06</v>
      </c>
      <c r="B240">
        <v>3802</v>
      </c>
    </row>
    <row r="241" spans="1:2" x14ac:dyDescent="0.45">
      <c r="A241">
        <v>1.04</v>
      </c>
      <c r="B241">
        <v>3703</v>
      </c>
    </row>
    <row r="242" spans="1:2" x14ac:dyDescent="0.45">
      <c r="A242">
        <v>0.91</v>
      </c>
      <c r="B242">
        <v>2904</v>
      </c>
    </row>
    <row r="243" spans="1:2" x14ac:dyDescent="0.45">
      <c r="A243">
        <v>1.05</v>
      </c>
      <c r="B243">
        <v>3786</v>
      </c>
    </row>
    <row r="244" spans="1:2" x14ac:dyDescent="0.45">
      <c r="A244">
        <v>1.05</v>
      </c>
      <c r="B244">
        <v>3735</v>
      </c>
    </row>
    <row r="245" spans="1:2" x14ac:dyDescent="0.45">
      <c r="A245">
        <v>1.1599999999999999</v>
      </c>
      <c r="B245">
        <v>4260</v>
      </c>
    </row>
    <row r="246" spans="1:2" x14ac:dyDescent="0.45">
      <c r="A246">
        <v>1.02</v>
      </c>
      <c r="B246">
        <v>3786</v>
      </c>
    </row>
    <row r="247" spans="1:2" x14ac:dyDescent="0.45">
      <c r="A247">
        <v>1.06</v>
      </c>
      <c r="B247">
        <v>3922</v>
      </c>
    </row>
    <row r="248" spans="1:2" x14ac:dyDescent="0.45">
      <c r="A248">
        <v>1.02</v>
      </c>
      <c r="B248">
        <v>3786</v>
      </c>
    </row>
    <row r="249" spans="1:2" x14ac:dyDescent="0.45">
      <c r="A249">
        <v>0.7</v>
      </c>
      <c r="B249">
        <v>2006</v>
      </c>
    </row>
    <row r="250" spans="1:2" x14ac:dyDescent="0.45">
      <c r="A250">
        <v>0.9</v>
      </c>
      <c r="B250">
        <v>2990</v>
      </c>
    </row>
    <row r="251" spans="1:2" x14ac:dyDescent="0.45">
      <c r="A251">
        <v>0.9</v>
      </c>
      <c r="B251">
        <v>2990</v>
      </c>
    </row>
    <row r="252" spans="1:2" x14ac:dyDescent="0.45">
      <c r="A252">
        <v>1</v>
      </c>
      <c r="B252">
        <v>3718</v>
      </c>
    </row>
    <row r="253" spans="1:2" x14ac:dyDescent="0.45">
      <c r="A253">
        <v>1.01</v>
      </c>
      <c r="B253">
        <v>3752</v>
      </c>
    </row>
    <row r="254" spans="1:2" x14ac:dyDescent="0.45">
      <c r="A254">
        <v>1.05</v>
      </c>
      <c r="B254">
        <v>3989</v>
      </c>
    </row>
    <row r="255" spans="1:2" x14ac:dyDescent="0.45">
      <c r="A255">
        <v>1.02</v>
      </c>
      <c r="B255">
        <v>4280</v>
      </c>
    </row>
    <row r="256" spans="1:2" x14ac:dyDescent="0.45">
      <c r="A256">
        <v>1.06</v>
      </c>
      <c r="B256">
        <v>4076</v>
      </c>
    </row>
    <row r="257" spans="1:2" x14ac:dyDescent="0.45">
      <c r="A257">
        <v>0.92</v>
      </c>
      <c r="B257">
        <v>3172</v>
      </c>
    </row>
    <row r="258" spans="1:2" x14ac:dyDescent="0.45">
      <c r="A258">
        <v>1.27</v>
      </c>
      <c r="B258">
        <v>4954</v>
      </c>
    </row>
    <row r="259" spans="1:2" x14ac:dyDescent="0.45">
      <c r="A259">
        <v>1.23</v>
      </c>
      <c r="B259">
        <v>5118</v>
      </c>
    </row>
    <row r="260" spans="1:2" x14ac:dyDescent="0.45">
      <c r="A260">
        <v>1.21</v>
      </c>
      <c r="B260">
        <v>4909</v>
      </c>
    </row>
    <row r="261" spans="1:2" x14ac:dyDescent="0.45">
      <c r="A261">
        <v>1.22</v>
      </c>
      <c r="B261">
        <v>4760</v>
      </c>
    </row>
    <row r="262" spans="1:2" x14ac:dyDescent="0.45">
      <c r="A262">
        <v>1.23</v>
      </c>
      <c r="B262">
        <v>5118</v>
      </c>
    </row>
    <row r="263" spans="1:2" x14ac:dyDescent="0.45">
      <c r="A263">
        <v>1.27</v>
      </c>
      <c r="B263">
        <v>5612</v>
      </c>
    </row>
    <row r="264" spans="1:2" x14ac:dyDescent="0.45">
      <c r="A264">
        <v>1.03</v>
      </c>
      <c r="B264">
        <v>4069</v>
      </c>
    </row>
    <row r="265" spans="1:2" x14ac:dyDescent="0.45">
      <c r="A265">
        <v>1.21</v>
      </c>
      <c r="B265">
        <v>5160</v>
      </c>
    </row>
    <row r="266" spans="1:2" x14ac:dyDescent="0.45">
      <c r="A266">
        <v>1.22</v>
      </c>
      <c r="B266">
        <v>4760</v>
      </c>
    </row>
    <row r="267" spans="1:2" x14ac:dyDescent="0.45">
      <c r="A267">
        <v>0.7</v>
      </c>
      <c r="B267">
        <v>1995</v>
      </c>
    </row>
    <row r="268" spans="1:2" x14ac:dyDescent="0.45">
      <c r="A268">
        <v>0.9</v>
      </c>
      <c r="B268">
        <v>2756</v>
      </c>
    </row>
    <row r="269" spans="1:2" x14ac:dyDescent="0.45">
      <c r="A269">
        <v>0.83</v>
      </c>
      <c r="B269">
        <v>2304</v>
      </c>
    </row>
    <row r="270" spans="1:2" x14ac:dyDescent="0.45">
      <c r="A270">
        <v>1.01</v>
      </c>
      <c r="B270">
        <v>3654</v>
      </c>
    </row>
    <row r="271" spans="1:2" x14ac:dyDescent="0.45">
      <c r="A271">
        <v>1.02</v>
      </c>
      <c r="B271">
        <v>3687</v>
      </c>
    </row>
    <row r="272" spans="1:2" x14ac:dyDescent="0.45">
      <c r="A272">
        <v>1.1599999999999999</v>
      </c>
      <c r="B272">
        <v>4092</v>
      </c>
    </row>
    <row r="273" spans="1:2" x14ac:dyDescent="0.45">
      <c r="A273">
        <v>1.1200000000000001</v>
      </c>
      <c r="B273">
        <v>3962</v>
      </c>
    </row>
    <row r="274" spans="1:2" x14ac:dyDescent="0.45">
      <c r="A274">
        <v>1.07</v>
      </c>
      <c r="B274">
        <v>3852</v>
      </c>
    </row>
    <row r="275" spans="1:2" x14ac:dyDescent="0.45">
      <c r="A275">
        <v>1</v>
      </c>
      <c r="B275">
        <v>3621</v>
      </c>
    </row>
    <row r="276" spans="1:2" x14ac:dyDescent="0.45">
      <c r="A276">
        <v>1.1299999999999999</v>
      </c>
      <c r="B276">
        <v>4378</v>
      </c>
    </row>
    <row r="277" spans="1:2" x14ac:dyDescent="0.45">
      <c r="A277">
        <v>1.27</v>
      </c>
      <c r="B277">
        <v>5152</v>
      </c>
    </row>
    <row r="278" spans="1:2" x14ac:dyDescent="0.45">
      <c r="A278">
        <v>1.03</v>
      </c>
      <c r="B278">
        <v>3720</v>
      </c>
    </row>
    <row r="279" spans="1:2" x14ac:dyDescent="0.45">
      <c r="A279">
        <v>1.06</v>
      </c>
      <c r="B279">
        <v>4127</v>
      </c>
    </row>
    <row r="280" spans="1:2" x14ac:dyDescent="0.45">
      <c r="A280">
        <v>1.0900000000000001</v>
      </c>
      <c r="B280">
        <v>3759</v>
      </c>
    </row>
    <row r="281" spans="1:2" x14ac:dyDescent="0.45">
      <c r="A281">
        <v>1.1100000000000001</v>
      </c>
      <c r="B281">
        <v>3874</v>
      </c>
    </row>
    <row r="282" spans="1:2" x14ac:dyDescent="0.45">
      <c r="A282">
        <v>1.1100000000000001</v>
      </c>
      <c r="B282">
        <v>3853</v>
      </c>
    </row>
    <row r="283" spans="1:2" x14ac:dyDescent="0.45">
      <c r="A283">
        <v>1.21</v>
      </c>
      <c r="B283">
        <v>4305</v>
      </c>
    </row>
    <row r="284" spans="1:2" x14ac:dyDescent="0.45">
      <c r="A284">
        <v>1.01</v>
      </c>
      <c r="B284">
        <v>3508</v>
      </c>
    </row>
    <row r="285" spans="1:2" x14ac:dyDescent="0.45">
      <c r="A285">
        <v>1.03</v>
      </c>
      <c r="B285">
        <v>3674</v>
      </c>
    </row>
    <row r="286" spans="1:2" x14ac:dyDescent="0.45">
      <c r="A286">
        <v>0.9</v>
      </c>
      <c r="B286">
        <v>3370</v>
      </c>
    </row>
    <row r="287" spans="1:2" x14ac:dyDescent="0.45">
      <c r="A287">
        <v>1.1399999999999999</v>
      </c>
      <c r="B287">
        <v>4111</v>
      </c>
    </row>
    <row r="288" spans="1:2" x14ac:dyDescent="0.45">
      <c r="A288">
        <v>1.1100000000000001</v>
      </c>
      <c r="B288">
        <v>3984</v>
      </c>
    </row>
    <row r="289" spans="1:2" x14ac:dyDescent="0.45">
      <c r="A289">
        <v>1.1100000000000001</v>
      </c>
      <c r="B289">
        <v>3984</v>
      </c>
    </row>
    <row r="290" spans="1:2" x14ac:dyDescent="0.45">
      <c r="A290">
        <v>1.04</v>
      </c>
      <c r="B290">
        <v>3779</v>
      </c>
    </row>
    <row r="291" spans="1:2" x14ac:dyDescent="0.45">
      <c r="A291">
        <v>1</v>
      </c>
      <c r="B291">
        <v>3621</v>
      </c>
    </row>
    <row r="292" spans="1:2" x14ac:dyDescent="0.45">
      <c r="A292">
        <v>1.1399999999999999</v>
      </c>
      <c r="B292">
        <v>4193</v>
      </c>
    </row>
    <row r="293" spans="1:2" x14ac:dyDescent="0.45">
      <c r="A293">
        <v>1.0900000000000001</v>
      </c>
      <c r="B293">
        <v>4023</v>
      </c>
    </row>
    <row r="294" spans="1:2" x14ac:dyDescent="0.45">
      <c r="A294">
        <v>1.1399999999999999</v>
      </c>
      <c r="B294">
        <v>4193</v>
      </c>
    </row>
    <row r="295" spans="1:2" x14ac:dyDescent="0.45">
      <c r="A295">
        <v>1.05</v>
      </c>
      <c r="B295">
        <v>3931</v>
      </c>
    </row>
    <row r="296" spans="1:2" x14ac:dyDescent="0.45">
      <c r="A296">
        <v>1.28</v>
      </c>
      <c r="B296">
        <v>4693</v>
      </c>
    </row>
    <row r="297" spans="1:2" x14ac:dyDescent="0.45">
      <c r="A297">
        <v>1.06</v>
      </c>
      <c r="B297">
        <v>3965</v>
      </c>
    </row>
    <row r="298" spans="1:2" x14ac:dyDescent="0.45">
      <c r="A298">
        <v>0.9</v>
      </c>
      <c r="B298">
        <v>2972</v>
      </c>
    </row>
    <row r="299" spans="1:2" x14ac:dyDescent="0.45">
      <c r="A299">
        <v>1.08</v>
      </c>
      <c r="B299">
        <v>3989</v>
      </c>
    </row>
    <row r="300" spans="1:2" x14ac:dyDescent="0.45">
      <c r="A300">
        <v>1.05</v>
      </c>
      <c r="B300">
        <v>3817</v>
      </c>
    </row>
    <row r="301" spans="1:2" x14ac:dyDescent="0.45">
      <c r="A301">
        <v>0.91</v>
      </c>
      <c r="B301">
        <v>3020</v>
      </c>
    </row>
    <row r="302" spans="1:2" x14ac:dyDescent="0.45">
      <c r="A302">
        <v>1.01</v>
      </c>
      <c r="B302">
        <v>3752</v>
      </c>
    </row>
    <row r="303" spans="1:2" x14ac:dyDescent="0.45">
      <c r="A303">
        <v>0.76</v>
      </c>
      <c r="B303">
        <v>2138</v>
      </c>
    </row>
    <row r="304" spans="1:2" x14ac:dyDescent="0.45">
      <c r="A304">
        <v>1.1200000000000001</v>
      </c>
      <c r="B304">
        <v>4233</v>
      </c>
    </row>
    <row r="305" spans="1:2" x14ac:dyDescent="0.45">
      <c r="A305">
        <v>0.74</v>
      </c>
      <c r="B305">
        <v>2006</v>
      </c>
    </row>
    <row r="306" spans="1:2" x14ac:dyDescent="0.45">
      <c r="A306">
        <v>0.79</v>
      </c>
      <c r="B306">
        <v>2453</v>
      </c>
    </row>
    <row r="307" spans="1:2" x14ac:dyDescent="0.45">
      <c r="A307">
        <v>1.3</v>
      </c>
      <c r="B307">
        <v>5501</v>
      </c>
    </row>
    <row r="308" spans="1:2" x14ac:dyDescent="0.45">
      <c r="A308">
        <v>1.21</v>
      </c>
      <c r="B308">
        <v>5288</v>
      </c>
    </row>
    <row r="309" spans="1:2" x14ac:dyDescent="0.45">
      <c r="A309">
        <v>0.7</v>
      </c>
      <c r="B309">
        <v>2139</v>
      </c>
    </row>
    <row r="310" spans="1:2" x14ac:dyDescent="0.45">
      <c r="A310">
        <v>1.04</v>
      </c>
      <c r="B310">
        <v>4186</v>
      </c>
    </row>
    <row r="311" spans="1:2" x14ac:dyDescent="0.45">
      <c r="A311">
        <v>1.02</v>
      </c>
      <c r="B311">
        <v>3129</v>
      </c>
    </row>
    <row r="312" spans="1:2" x14ac:dyDescent="0.45">
      <c r="A312">
        <v>1.01</v>
      </c>
      <c r="B312">
        <v>3230</v>
      </c>
    </row>
    <row r="313" spans="1:2" x14ac:dyDescent="0.45">
      <c r="A313">
        <v>0.9</v>
      </c>
      <c r="B313">
        <v>2499</v>
      </c>
    </row>
    <row r="314" spans="1:2" x14ac:dyDescent="0.45">
      <c r="A314">
        <v>0.72</v>
      </c>
      <c r="B314">
        <v>1575</v>
      </c>
    </row>
    <row r="315" spans="1:2" x14ac:dyDescent="0.45">
      <c r="A315">
        <v>1.24</v>
      </c>
      <c r="B315">
        <v>3995</v>
      </c>
    </row>
    <row r="316" spans="1:2" x14ac:dyDescent="0.45">
      <c r="A316">
        <v>1.0900000000000001</v>
      </c>
      <c r="B316">
        <v>3552</v>
      </c>
    </row>
    <row r="317" spans="1:2" x14ac:dyDescent="0.45">
      <c r="A317">
        <v>1.08</v>
      </c>
      <c r="B317">
        <v>3522</v>
      </c>
    </row>
    <row r="318" spans="1:2" x14ac:dyDescent="0.45">
      <c r="A318">
        <v>1.2</v>
      </c>
      <c r="B318">
        <v>3978</v>
      </c>
    </row>
    <row r="319" spans="1:2" x14ac:dyDescent="0.45">
      <c r="A319">
        <v>0.95</v>
      </c>
      <c r="B319">
        <v>2795</v>
      </c>
    </row>
    <row r="320" spans="1:2" x14ac:dyDescent="0.45">
      <c r="A320">
        <v>1</v>
      </c>
      <c r="B320">
        <v>3708</v>
      </c>
    </row>
    <row r="321" spans="1:2" x14ac:dyDescent="0.45">
      <c r="A321">
        <v>1.23</v>
      </c>
      <c r="B321">
        <v>4225</v>
      </c>
    </row>
    <row r="322" spans="1:2" x14ac:dyDescent="0.45">
      <c r="A322">
        <v>1.24</v>
      </c>
      <c r="B322">
        <v>4783</v>
      </c>
    </row>
    <row r="323" spans="1:2" x14ac:dyDescent="0.45">
      <c r="A323">
        <v>0.85</v>
      </c>
      <c r="B323">
        <v>2098</v>
      </c>
    </row>
    <row r="324" spans="1:2" x14ac:dyDescent="0.45">
      <c r="A324">
        <v>1.2</v>
      </c>
      <c r="B324">
        <v>4232</v>
      </c>
    </row>
    <row r="325" spans="1:2" x14ac:dyDescent="0.45">
      <c r="A325">
        <v>1.26</v>
      </c>
      <c r="B325">
        <v>4575</v>
      </c>
    </row>
    <row r="326" spans="1:2" x14ac:dyDescent="0.45">
      <c r="A326">
        <v>1.23</v>
      </c>
      <c r="B326">
        <v>4225</v>
      </c>
    </row>
    <row r="327" spans="1:2" x14ac:dyDescent="0.45">
      <c r="A327">
        <v>1.22</v>
      </c>
      <c r="B327">
        <v>4706</v>
      </c>
    </row>
    <row r="328" spans="1:2" x14ac:dyDescent="0.45">
      <c r="A328">
        <v>1.23</v>
      </c>
      <c r="B328">
        <v>4225</v>
      </c>
    </row>
    <row r="329" spans="1:2" x14ac:dyDescent="0.45">
      <c r="A329">
        <v>1.18</v>
      </c>
      <c r="B329">
        <v>4316</v>
      </c>
    </row>
    <row r="330" spans="1:2" x14ac:dyDescent="0.45">
      <c r="A330">
        <v>1.05</v>
      </c>
      <c r="B330">
        <v>3877</v>
      </c>
    </row>
    <row r="331" spans="1:2" x14ac:dyDescent="0.45">
      <c r="A331">
        <v>1.1200000000000001</v>
      </c>
      <c r="B331">
        <v>3398</v>
      </c>
    </row>
    <row r="332" spans="1:2" x14ac:dyDescent="0.45">
      <c r="A332">
        <v>0.7</v>
      </c>
      <c r="B332">
        <v>1743</v>
      </c>
    </row>
    <row r="333" spans="1:2" x14ac:dyDescent="0.45">
      <c r="A333">
        <v>1.3</v>
      </c>
      <c r="B333">
        <v>4720</v>
      </c>
    </row>
    <row r="334" spans="1:2" x14ac:dyDescent="0.45">
      <c r="A334">
        <v>1.01</v>
      </c>
      <c r="B334">
        <v>3529</v>
      </c>
    </row>
    <row r="335" spans="1:2" x14ac:dyDescent="0.45">
      <c r="A335">
        <v>1.23</v>
      </c>
      <c r="B335">
        <v>3967</v>
      </c>
    </row>
    <row r="336" spans="1:2" x14ac:dyDescent="0.45">
      <c r="A336">
        <v>1.1299999999999999</v>
      </c>
      <c r="B336">
        <v>3670</v>
      </c>
    </row>
    <row r="337" spans="1:2" x14ac:dyDescent="0.45">
      <c r="A337">
        <v>1.1000000000000001</v>
      </c>
      <c r="B337">
        <v>3581</v>
      </c>
    </row>
    <row r="338" spans="1:2" x14ac:dyDescent="0.45">
      <c r="A338">
        <v>1.1000000000000001</v>
      </c>
      <c r="B338">
        <v>3581</v>
      </c>
    </row>
    <row r="339" spans="1:2" x14ac:dyDescent="0.45">
      <c r="A339">
        <v>1.18</v>
      </c>
      <c r="B339">
        <v>3818</v>
      </c>
    </row>
    <row r="340" spans="1:2" x14ac:dyDescent="0.45">
      <c r="A340">
        <v>1.0900000000000001</v>
      </c>
      <c r="B340">
        <v>3552</v>
      </c>
    </row>
    <row r="341" spans="1:2" x14ac:dyDescent="0.45">
      <c r="A341">
        <v>1.1599999999999999</v>
      </c>
      <c r="B341">
        <v>3735</v>
      </c>
    </row>
    <row r="342" spans="1:2" x14ac:dyDescent="0.45">
      <c r="A342">
        <v>1.1599999999999999</v>
      </c>
      <c r="B342">
        <v>3827</v>
      </c>
    </row>
    <row r="343" spans="1:2" x14ac:dyDescent="0.45">
      <c r="A343">
        <v>1.1499999999999999</v>
      </c>
      <c r="B343">
        <v>3853</v>
      </c>
    </row>
    <row r="344" spans="1:2" x14ac:dyDescent="0.45">
      <c r="A344">
        <v>1.1000000000000001</v>
      </c>
      <c r="B344">
        <v>3646</v>
      </c>
    </row>
    <row r="345" spans="1:2" x14ac:dyDescent="0.45">
      <c r="A345">
        <v>0.87</v>
      </c>
      <c r="B345">
        <v>2265</v>
      </c>
    </row>
    <row r="346" spans="1:2" x14ac:dyDescent="0.45">
      <c r="A346">
        <v>1.19</v>
      </c>
      <c r="B346">
        <v>3970</v>
      </c>
    </row>
    <row r="347" spans="1:2" x14ac:dyDescent="0.45">
      <c r="A347">
        <v>1.1499999999999999</v>
      </c>
      <c r="B347">
        <v>3900</v>
      </c>
    </row>
    <row r="348" spans="1:2" x14ac:dyDescent="0.45">
      <c r="A348">
        <v>1.08</v>
      </c>
      <c r="B348">
        <v>3613</v>
      </c>
    </row>
    <row r="349" spans="1:2" x14ac:dyDescent="0.45">
      <c r="A349">
        <v>1.21</v>
      </c>
      <c r="B349">
        <v>4417</v>
      </c>
    </row>
    <row r="350" spans="1:2" x14ac:dyDescent="0.45">
      <c r="A350">
        <v>1.21</v>
      </c>
      <c r="B350">
        <v>4417</v>
      </c>
    </row>
    <row r="351" spans="1:2" x14ac:dyDescent="0.45">
      <c r="A351">
        <v>1.05</v>
      </c>
      <c r="B351">
        <v>3877</v>
      </c>
    </row>
    <row r="352" spans="1:2" x14ac:dyDescent="0.45">
      <c r="A352">
        <v>1.1299999999999999</v>
      </c>
      <c r="B352">
        <v>4004</v>
      </c>
    </row>
    <row r="353" spans="1:2" x14ac:dyDescent="0.45">
      <c r="A353">
        <v>1.1299999999999999</v>
      </c>
      <c r="B353">
        <v>4004</v>
      </c>
    </row>
    <row r="354" spans="1:2" x14ac:dyDescent="0.45">
      <c r="A354">
        <v>1.03</v>
      </c>
      <c r="B354">
        <v>3677</v>
      </c>
    </row>
    <row r="355" spans="1:2" x14ac:dyDescent="0.45">
      <c r="A355">
        <v>1.23</v>
      </c>
      <c r="B355">
        <v>4467</v>
      </c>
    </row>
    <row r="356" spans="1:2" x14ac:dyDescent="0.45">
      <c r="A356">
        <v>1.01</v>
      </c>
      <c r="B356">
        <v>3570</v>
      </c>
    </row>
    <row r="357" spans="1:2" x14ac:dyDescent="0.45">
      <c r="A357">
        <v>0.91</v>
      </c>
      <c r="B357">
        <v>2926</v>
      </c>
    </row>
    <row r="358" spans="1:2" x14ac:dyDescent="0.45">
      <c r="A358">
        <v>1.18</v>
      </c>
      <c r="B358">
        <v>3563</v>
      </c>
    </row>
    <row r="359" spans="1:2" x14ac:dyDescent="0.45">
      <c r="A359">
        <v>1.03</v>
      </c>
      <c r="B359">
        <v>3152</v>
      </c>
    </row>
    <row r="360" spans="1:2" x14ac:dyDescent="0.45">
      <c r="A360">
        <v>1.03</v>
      </c>
      <c r="B360">
        <v>3385</v>
      </c>
    </row>
    <row r="361" spans="1:2" x14ac:dyDescent="0.45">
      <c r="A361">
        <v>1.1000000000000001</v>
      </c>
      <c r="B361">
        <v>3542</v>
      </c>
    </row>
    <row r="362" spans="1:2" x14ac:dyDescent="0.45">
      <c r="A362">
        <v>1.21</v>
      </c>
      <c r="B362">
        <v>3882</v>
      </c>
    </row>
    <row r="363" spans="1:2" x14ac:dyDescent="0.45">
      <c r="A363">
        <v>1.19</v>
      </c>
      <c r="B363">
        <v>3860</v>
      </c>
    </row>
    <row r="364" spans="1:2" x14ac:dyDescent="0.45">
      <c r="A364">
        <v>1</v>
      </c>
      <c r="B364">
        <v>3234</v>
      </c>
    </row>
    <row r="365" spans="1:2" x14ac:dyDescent="0.45">
      <c r="A365">
        <v>1.02</v>
      </c>
      <c r="B365">
        <v>2851</v>
      </c>
    </row>
    <row r="366" spans="1:2" x14ac:dyDescent="0.45">
      <c r="A366">
        <v>1.1399999999999999</v>
      </c>
      <c r="B366">
        <v>3230</v>
      </c>
    </row>
    <row r="367" spans="1:2" x14ac:dyDescent="0.45">
      <c r="A367">
        <v>1.01</v>
      </c>
      <c r="B367">
        <v>2860</v>
      </c>
    </row>
    <row r="368" spans="1:2" x14ac:dyDescent="0.45">
      <c r="A368">
        <v>1.01</v>
      </c>
      <c r="B368">
        <v>2860</v>
      </c>
    </row>
    <row r="369" spans="1:2" x14ac:dyDescent="0.45">
      <c r="A369">
        <v>1.02</v>
      </c>
      <c r="B369">
        <v>2925</v>
      </c>
    </row>
    <row r="370" spans="1:2" x14ac:dyDescent="0.45">
      <c r="A370">
        <v>1.01</v>
      </c>
      <c r="B370">
        <v>3018</v>
      </c>
    </row>
    <row r="371" spans="1:2" x14ac:dyDescent="0.45">
      <c r="A371">
        <v>1.03</v>
      </c>
      <c r="B371">
        <v>3111</v>
      </c>
    </row>
    <row r="372" spans="1:2" x14ac:dyDescent="0.45">
      <c r="A372">
        <v>1.04</v>
      </c>
      <c r="B372">
        <v>3179</v>
      </c>
    </row>
    <row r="373" spans="1:2" x14ac:dyDescent="0.45">
      <c r="A373">
        <v>1</v>
      </c>
      <c r="B373">
        <v>3111</v>
      </c>
    </row>
    <row r="374" spans="1:2" x14ac:dyDescent="0.45">
      <c r="A374">
        <v>1.1399999999999999</v>
      </c>
      <c r="B374">
        <v>3676</v>
      </c>
    </row>
    <row r="375" spans="1:2" x14ac:dyDescent="0.45">
      <c r="A375">
        <v>1.1599999999999999</v>
      </c>
      <c r="B375">
        <v>3048</v>
      </c>
    </row>
    <row r="376" spans="1:2" x14ac:dyDescent="0.45">
      <c r="A376">
        <v>1</v>
      </c>
      <c r="B376">
        <v>2745</v>
      </c>
    </row>
    <row r="377" spans="1:2" x14ac:dyDescent="0.45">
      <c r="A377">
        <v>1</v>
      </c>
      <c r="B377">
        <v>2781</v>
      </c>
    </row>
    <row r="378" spans="1:2" x14ac:dyDescent="0.45">
      <c r="A378">
        <v>1.1200000000000001</v>
      </c>
      <c r="B378">
        <v>3156</v>
      </c>
    </row>
    <row r="379" spans="1:2" x14ac:dyDescent="0.45">
      <c r="A379">
        <v>1</v>
      </c>
      <c r="B379">
        <v>2925</v>
      </c>
    </row>
    <row r="380" spans="1:2" x14ac:dyDescent="0.45">
      <c r="A380">
        <v>1.1599999999999999</v>
      </c>
      <c r="B380">
        <v>3048</v>
      </c>
    </row>
    <row r="381" spans="1:2" x14ac:dyDescent="0.45">
      <c r="A381">
        <v>1.0900000000000001</v>
      </c>
      <c r="B381">
        <v>2923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0691-0914-4571-99D2-E6273EBFCC5D}">
  <dimension ref="A1:B14"/>
  <sheetViews>
    <sheetView workbookViewId="0"/>
  </sheetViews>
  <sheetFormatPr defaultRowHeight="14.25" x14ac:dyDescent="0.45"/>
  <cols>
    <col min="1" max="1" width="10.59765625" bestFit="1" customWidth="1"/>
    <col min="2" max="2" width="8.73046875" bestFit="1" customWidth="1"/>
  </cols>
  <sheetData>
    <row r="1" spans="1:2" x14ac:dyDescent="0.45">
      <c r="A1" s="1" t="s">
        <v>26</v>
      </c>
      <c r="B1" s="1" t="s">
        <v>27</v>
      </c>
    </row>
    <row r="2" spans="1:2" x14ac:dyDescent="0.45">
      <c r="A2" t="s">
        <v>28</v>
      </c>
      <c r="B2">
        <v>3</v>
      </c>
    </row>
    <row r="3" spans="1:2" x14ac:dyDescent="0.45">
      <c r="A3" t="s">
        <v>29</v>
      </c>
      <c r="B3">
        <v>38</v>
      </c>
    </row>
    <row r="4" spans="1:2" x14ac:dyDescent="0.45">
      <c r="A4" t="s">
        <v>30</v>
      </c>
      <c r="B4">
        <v>32</v>
      </c>
    </row>
    <row r="5" spans="1:2" x14ac:dyDescent="0.45">
      <c r="A5" t="s">
        <v>31</v>
      </c>
      <c r="B5">
        <v>32</v>
      </c>
    </row>
    <row r="6" spans="1:2" x14ac:dyDescent="0.45">
      <c r="A6" t="s">
        <v>32</v>
      </c>
      <c r="B6">
        <v>71</v>
      </c>
    </row>
    <row r="7" spans="1:2" x14ac:dyDescent="0.45">
      <c r="A7" t="s">
        <v>33</v>
      </c>
      <c r="B7">
        <v>80</v>
      </c>
    </row>
    <row r="8" spans="1:2" x14ac:dyDescent="0.45">
      <c r="A8" t="s">
        <v>34</v>
      </c>
      <c r="B8">
        <v>63</v>
      </c>
    </row>
    <row r="9" spans="1:2" x14ac:dyDescent="0.45">
      <c r="A9" t="s">
        <v>35</v>
      </c>
      <c r="B9">
        <v>30</v>
      </c>
    </row>
    <row r="10" spans="1:2" x14ac:dyDescent="0.45">
      <c r="A10" t="s">
        <v>36</v>
      </c>
      <c r="B10">
        <v>16</v>
      </c>
    </row>
    <row r="11" spans="1:2" x14ac:dyDescent="0.45">
      <c r="A11" t="s">
        <v>37</v>
      </c>
      <c r="B11">
        <v>9</v>
      </c>
    </row>
    <row r="12" spans="1:2" x14ac:dyDescent="0.45">
      <c r="A12" t="s">
        <v>38</v>
      </c>
      <c r="B12">
        <v>5</v>
      </c>
    </row>
    <row r="13" spans="1:2" x14ac:dyDescent="0.45">
      <c r="A13" t="s">
        <v>39</v>
      </c>
      <c r="B13">
        <v>0</v>
      </c>
    </row>
    <row r="14" spans="1:2" x14ac:dyDescent="0.45">
      <c r="A14" t="s">
        <v>40</v>
      </c>
      <c r="B14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12A2-4523-403A-859F-5250C4014234}">
  <dimension ref="A1:C9"/>
  <sheetViews>
    <sheetView showGridLines="0" zoomScale="170" zoomScaleNormal="170" workbookViewId="0"/>
  </sheetViews>
  <sheetFormatPr defaultRowHeight="14.25" x14ac:dyDescent="0.45"/>
  <cols>
    <col min="1" max="1" width="20.9296875" bestFit="1" customWidth="1"/>
    <col min="2" max="2" width="29.3984375" bestFit="1" customWidth="1"/>
    <col min="3" max="3" width="17.33203125" bestFit="1" customWidth="1"/>
  </cols>
  <sheetData>
    <row r="1" spans="1:3" x14ac:dyDescent="0.45">
      <c r="A1" s="1" t="s">
        <v>3</v>
      </c>
      <c r="B1" s="1" t="s">
        <v>1</v>
      </c>
      <c r="C1" s="1" t="s">
        <v>2</v>
      </c>
    </row>
    <row r="2" spans="1:3" x14ac:dyDescent="0.45">
      <c r="A2" t="s">
        <v>4</v>
      </c>
      <c r="B2" s="5" t="s">
        <v>12</v>
      </c>
      <c r="C2" s="5" t="s">
        <v>13</v>
      </c>
    </row>
    <row r="3" spans="1:3" x14ac:dyDescent="0.45">
      <c r="A3" t="s">
        <v>5</v>
      </c>
      <c r="B3" s="5" t="s">
        <v>14</v>
      </c>
      <c r="C3" s="5" t="s">
        <v>15</v>
      </c>
    </row>
    <row r="4" spans="1:3" x14ac:dyDescent="0.45">
      <c r="A4" t="s">
        <v>6</v>
      </c>
      <c r="B4" s="5" t="s">
        <v>16</v>
      </c>
      <c r="C4" s="5" t="s">
        <v>17</v>
      </c>
    </row>
    <row r="5" spans="1:3" x14ac:dyDescent="0.45">
      <c r="A5" t="s">
        <v>7</v>
      </c>
      <c r="B5" s="5" t="s">
        <v>18</v>
      </c>
      <c r="C5" s="5" t="s">
        <v>19</v>
      </c>
    </row>
    <row r="6" spans="1:3" x14ac:dyDescent="0.45">
      <c r="A6" t="s">
        <v>8</v>
      </c>
      <c r="B6" s="5" t="s">
        <v>20</v>
      </c>
      <c r="C6" s="5" t="s">
        <v>21</v>
      </c>
    </row>
    <row r="7" spans="1:3" x14ac:dyDescent="0.45">
      <c r="A7" t="s">
        <v>9</v>
      </c>
      <c r="B7" s="5" t="s">
        <v>22</v>
      </c>
      <c r="C7" s="5" t="s">
        <v>23</v>
      </c>
    </row>
    <row r="8" spans="1:3" x14ac:dyDescent="0.45">
      <c r="A8" t="s">
        <v>10</v>
      </c>
      <c r="B8" s="5" t="s">
        <v>24</v>
      </c>
    </row>
    <row r="9" spans="1:3" x14ac:dyDescent="0.45">
      <c r="A9" t="s">
        <v>11</v>
      </c>
      <c r="B9" s="5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C1EF-E743-4906-8DB0-F92DD42B05E0}">
  <dimension ref="A1:G381"/>
  <sheetViews>
    <sheetView showGridLines="0" zoomScale="170" zoomScaleNormal="170" workbookViewId="0"/>
  </sheetViews>
  <sheetFormatPr defaultRowHeight="14.25" x14ac:dyDescent="0.45"/>
  <cols>
    <col min="1" max="1" width="4.73046875" bestFit="1" customWidth="1"/>
    <col min="2" max="2" width="5.59765625" bestFit="1" customWidth="1"/>
    <col min="3" max="3" width="4.73046875" bestFit="1" customWidth="1"/>
    <col min="5" max="5" width="20.9296875" bestFit="1" customWidth="1"/>
    <col min="6" max="6" width="8.265625" bestFit="1" customWidth="1"/>
    <col min="7" max="7" width="6.7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G1" s="1" t="s">
        <v>2</v>
      </c>
    </row>
    <row r="2" spans="1:7" x14ac:dyDescent="0.45">
      <c r="A2">
        <v>1</v>
      </c>
      <c r="B2">
        <v>0.75</v>
      </c>
      <c r="C2">
        <v>2050</v>
      </c>
      <c r="E2" t="s">
        <v>4</v>
      </c>
      <c r="F2">
        <f>COUNT(B2:B381)</f>
        <v>380</v>
      </c>
      <c r="G2">
        <f>COUNT(C2:C381)</f>
        <v>380</v>
      </c>
    </row>
    <row r="3" spans="1:7" x14ac:dyDescent="0.45">
      <c r="A3">
        <v>1</v>
      </c>
      <c r="B3">
        <v>1</v>
      </c>
      <c r="C3">
        <v>4263</v>
      </c>
      <c r="E3" t="s">
        <v>5</v>
      </c>
      <c r="F3" s="2">
        <f>AVERAGE(B2:B381)</f>
        <v>1.0254736842105256</v>
      </c>
      <c r="G3" s="3">
        <f>AVERAGE(C2:C381)</f>
        <v>4036.0763157894735</v>
      </c>
    </row>
    <row r="4" spans="1:7" x14ac:dyDescent="0.45">
      <c r="A4">
        <v>1</v>
      </c>
      <c r="B4">
        <v>1</v>
      </c>
      <c r="C4">
        <v>4272</v>
      </c>
      <c r="E4" t="s">
        <v>6</v>
      </c>
      <c r="F4" s="2">
        <f>MEDIAN(B2:B381)</f>
        <v>1.03</v>
      </c>
      <c r="G4" s="3">
        <f>MEDIAN(C2:C381)</f>
        <v>4119.5</v>
      </c>
    </row>
    <row r="5" spans="1:7" x14ac:dyDescent="0.45">
      <c r="A5">
        <v>1</v>
      </c>
      <c r="B5">
        <v>1.01</v>
      </c>
      <c r="C5">
        <v>4372</v>
      </c>
      <c r="E5" t="s">
        <v>7</v>
      </c>
      <c r="F5" s="2">
        <f>_xlfn.STDEV.S(B2:B381)</f>
        <v>0.15204685030687079</v>
      </c>
      <c r="G5" s="3">
        <f>_xlfn.STDEV.S(C2:C381)</f>
        <v>1052.9214399965144</v>
      </c>
    </row>
    <row r="6" spans="1:7" x14ac:dyDescent="0.45">
      <c r="A6">
        <v>1</v>
      </c>
      <c r="B6">
        <v>1.01</v>
      </c>
      <c r="C6">
        <v>4372</v>
      </c>
      <c r="E6" t="s">
        <v>8</v>
      </c>
      <c r="F6" s="2">
        <f>MIN(B2:B381)</f>
        <v>0.7</v>
      </c>
      <c r="G6" s="3">
        <f>MIN(C2:C381)</f>
        <v>1575</v>
      </c>
    </row>
    <row r="7" spans="1:7" x14ac:dyDescent="0.45">
      <c r="A7">
        <v>1</v>
      </c>
      <c r="B7">
        <v>1.1100000000000001</v>
      </c>
      <c r="C7">
        <v>4889</v>
      </c>
      <c r="E7" t="s">
        <v>9</v>
      </c>
      <c r="F7" s="2">
        <f>MAX(B2:B381)</f>
        <v>1.3</v>
      </c>
      <c r="G7" s="3">
        <f>MAX(C2:C381)</f>
        <v>7698</v>
      </c>
    </row>
    <row r="8" spans="1:7" x14ac:dyDescent="0.45">
      <c r="A8">
        <v>1</v>
      </c>
      <c r="B8">
        <v>0.9</v>
      </c>
      <c r="C8">
        <v>3444</v>
      </c>
      <c r="E8" t="s">
        <v>10</v>
      </c>
      <c r="F8" s="2">
        <f>CORREL(B2:B381,C2:C381)</f>
        <v>0.80481720558454728</v>
      </c>
    </row>
    <row r="9" spans="1:7" x14ac:dyDescent="0.45">
      <c r="A9">
        <v>1</v>
      </c>
      <c r="B9">
        <v>1.01</v>
      </c>
      <c r="C9">
        <v>4433</v>
      </c>
      <c r="E9" t="s">
        <v>11</v>
      </c>
      <c r="F9" s="4">
        <f>_xlfn.COVARIANCE.S(B2:B381,C2:C381)</f>
        <v>128.84591362310803</v>
      </c>
    </row>
    <row r="10" spans="1:7" x14ac:dyDescent="0.45">
      <c r="A10">
        <v>1</v>
      </c>
      <c r="B10">
        <v>0.9</v>
      </c>
      <c r="C10">
        <v>3403</v>
      </c>
    </row>
    <row r="11" spans="1:7" x14ac:dyDescent="0.45">
      <c r="A11">
        <v>1</v>
      </c>
      <c r="B11">
        <v>1</v>
      </c>
      <c r="C11">
        <v>4392</v>
      </c>
    </row>
    <row r="12" spans="1:7" x14ac:dyDescent="0.45">
      <c r="A12">
        <v>1</v>
      </c>
      <c r="B12">
        <v>1.0900000000000001</v>
      </c>
      <c r="C12">
        <v>4689</v>
      </c>
    </row>
    <row r="13" spans="1:7" x14ac:dyDescent="0.45">
      <c r="A13">
        <v>1</v>
      </c>
      <c r="B13">
        <v>0.7</v>
      </c>
      <c r="C13">
        <v>2192</v>
      </c>
    </row>
    <row r="14" spans="1:7" x14ac:dyDescent="0.45">
      <c r="A14">
        <v>1</v>
      </c>
      <c r="B14">
        <v>0.91</v>
      </c>
      <c r="C14">
        <v>3532</v>
      </c>
    </row>
    <row r="15" spans="1:7" x14ac:dyDescent="0.45">
      <c r="A15">
        <v>1</v>
      </c>
      <c r="B15">
        <v>1.01</v>
      </c>
      <c r="C15">
        <v>4540</v>
      </c>
    </row>
    <row r="16" spans="1:7" x14ac:dyDescent="0.45">
      <c r="A16">
        <v>1</v>
      </c>
      <c r="B16">
        <v>1.1000000000000001</v>
      </c>
      <c r="C16">
        <v>4943</v>
      </c>
    </row>
    <row r="17" spans="1:3" x14ac:dyDescent="0.45">
      <c r="A17">
        <v>1</v>
      </c>
      <c r="B17">
        <v>1.02</v>
      </c>
      <c r="C17">
        <v>4585</v>
      </c>
    </row>
    <row r="18" spans="1:3" x14ac:dyDescent="0.45">
      <c r="A18">
        <v>1</v>
      </c>
      <c r="B18">
        <v>1.01</v>
      </c>
      <c r="C18">
        <v>4540</v>
      </c>
    </row>
    <row r="19" spans="1:3" x14ac:dyDescent="0.45">
      <c r="A19">
        <v>1</v>
      </c>
      <c r="B19">
        <v>0.82</v>
      </c>
      <c r="C19">
        <v>2618</v>
      </c>
    </row>
    <row r="20" spans="1:3" x14ac:dyDescent="0.45">
      <c r="A20">
        <v>1</v>
      </c>
      <c r="B20">
        <v>1.05</v>
      </c>
      <c r="C20">
        <v>4719</v>
      </c>
    </row>
    <row r="21" spans="1:3" x14ac:dyDescent="0.45">
      <c r="A21">
        <v>1</v>
      </c>
      <c r="B21">
        <v>0.9</v>
      </c>
      <c r="C21">
        <v>3639</v>
      </c>
    </row>
    <row r="22" spans="1:3" x14ac:dyDescent="0.45">
      <c r="A22">
        <v>1</v>
      </c>
      <c r="B22">
        <v>0.9</v>
      </c>
      <c r="C22">
        <v>3639</v>
      </c>
    </row>
    <row r="23" spans="1:3" x14ac:dyDescent="0.45">
      <c r="A23">
        <v>1</v>
      </c>
      <c r="B23">
        <v>0.92</v>
      </c>
      <c r="C23">
        <v>3713</v>
      </c>
    </row>
    <row r="24" spans="1:3" x14ac:dyDescent="0.45">
      <c r="A24">
        <v>1</v>
      </c>
      <c r="B24">
        <v>1.05</v>
      </c>
      <c r="C24">
        <v>4853</v>
      </c>
    </row>
    <row r="25" spans="1:3" x14ac:dyDescent="0.45">
      <c r="A25">
        <v>1</v>
      </c>
      <c r="B25">
        <v>1.02</v>
      </c>
      <c r="C25">
        <v>4715</v>
      </c>
    </row>
    <row r="26" spans="1:3" x14ac:dyDescent="0.45">
      <c r="A26">
        <v>1</v>
      </c>
      <c r="B26">
        <v>1.22</v>
      </c>
      <c r="C26">
        <v>5789</v>
      </c>
    </row>
    <row r="27" spans="1:3" x14ac:dyDescent="0.45">
      <c r="A27">
        <v>1</v>
      </c>
      <c r="B27">
        <v>1.05</v>
      </c>
      <c r="C27">
        <v>5448</v>
      </c>
    </row>
    <row r="28" spans="1:3" x14ac:dyDescent="0.45">
      <c r="A28">
        <v>1</v>
      </c>
      <c r="B28">
        <v>0.71</v>
      </c>
      <c r="C28">
        <v>2368</v>
      </c>
    </row>
    <row r="29" spans="1:3" x14ac:dyDescent="0.45">
      <c r="A29">
        <v>1</v>
      </c>
      <c r="B29">
        <v>0.7</v>
      </c>
      <c r="C29">
        <v>2340</v>
      </c>
    </row>
    <row r="30" spans="1:3" x14ac:dyDescent="0.45">
      <c r="A30">
        <v>1</v>
      </c>
      <c r="B30">
        <v>0.71</v>
      </c>
      <c r="C30">
        <v>2368</v>
      </c>
    </row>
    <row r="31" spans="1:3" x14ac:dyDescent="0.45">
      <c r="A31">
        <v>1</v>
      </c>
      <c r="B31">
        <v>0.9</v>
      </c>
      <c r="C31">
        <v>3866</v>
      </c>
    </row>
    <row r="32" spans="1:3" x14ac:dyDescent="0.45">
      <c r="A32">
        <v>1</v>
      </c>
      <c r="B32">
        <v>1</v>
      </c>
      <c r="C32">
        <v>4093</v>
      </c>
    </row>
    <row r="33" spans="1:3" x14ac:dyDescent="0.45">
      <c r="A33">
        <v>1</v>
      </c>
      <c r="B33">
        <v>1</v>
      </c>
      <c r="C33">
        <v>4782</v>
      </c>
    </row>
    <row r="34" spans="1:3" x14ac:dyDescent="0.45">
      <c r="A34">
        <v>1</v>
      </c>
      <c r="B34">
        <v>0.72</v>
      </c>
      <c r="C34">
        <v>2549</v>
      </c>
    </row>
    <row r="35" spans="1:3" x14ac:dyDescent="0.45">
      <c r="A35">
        <v>1</v>
      </c>
      <c r="B35">
        <v>1.03</v>
      </c>
      <c r="C35">
        <v>4260</v>
      </c>
    </row>
    <row r="36" spans="1:3" x14ac:dyDescent="0.45">
      <c r="A36">
        <v>1</v>
      </c>
      <c r="B36">
        <v>0.75</v>
      </c>
      <c r="C36">
        <v>2608</v>
      </c>
    </row>
    <row r="37" spans="1:3" x14ac:dyDescent="0.45">
      <c r="A37">
        <v>1</v>
      </c>
      <c r="B37">
        <v>0.79</v>
      </c>
      <c r="C37">
        <v>2820</v>
      </c>
    </row>
    <row r="38" spans="1:3" x14ac:dyDescent="0.45">
      <c r="A38">
        <v>1</v>
      </c>
      <c r="B38">
        <v>0.72</v>
      </c>
      <c r="C38">
        <v>2458</v>
      </c>
    </row>
    <row r="39" spans="1:3" x14ac:dyDescent="0.45">
      <c r="A39">
        <v>1</v>
      </c>
      <c r="B39">
        <v>1.03</v>
      </c>
      <c r="C39">
        <v>6605</v>
      </c>
    </row>
    <row r="40" spans="1:3" x14ac:dyDescent="0.45">
      <c r="A40">
        <v>1</v>
      </c>
      <c r="B40">
        <v>1.24</v>
      </c>
      <c r="C40">
        <v>6744</v>
      </c>
    </row>
    <row r="41" spans="1:3" x14ac:dyDescent="0.45">
      <c r="A41">
        <v>1</v>
      </c>
      <c r="B41">
        <v>1.06</v>
      </c>
      <c r="C41">
        <v>5208</v>
      </c>
    </row>
    <row r="42" spans="1:3" x14ac:dyDescent="0.45">
      <c r="A42">
        <v>1</v>
      </c>
      <c r="B42">
        <v>1.1200000000000001</v>
      </c>
      <c r="C42">
        <v>4674</v>
      </c>
    </row>
    <row r="43" spans="1:3" x14ac:dyDescent="0.45">
      <c r="A43">
        <v>1</v>
      </c>
      <c r="B43">
        <v>0.71</v>
      </c>
      <c r="C43">
        <v>2578</v>
      </c>
    </row>
    <row r="44" spans="1:3" x14ac:dyDescent="0.45">
      <c r="A44">
        <v>1</v>
      </c>
      <c r="B44">
        <v>1.22</v>
      </c>
      <c r="C44">
        <v>6461</v>
      </c>
    </row>
    <row r="45" spans="1:3" x14ac:dyDescent="0.45">
      <c r="A45">
        <v>1</v>
      </c>
      <c r="B45">
        <v>1.03</v>
      </c>
      <c r="C45">
        <v>6605</v>
      </c>
    </row>
    <row r="46" spans="1:3" x14ac:dyDescent="0.45">
      <c r="A46">
        <v>1</v>
      </c>
      <c r="B46">
        <v>0.7</v>
      </c>
      <c r="C46">
        <v>2399</v>
      </c>
    </row>
    <row r="47" spans="1:3" x14ac:dyDescent="0.45">
      <c r="A47">
        <v>1</v>
      </c>
      <c r="B47">
        <v>0.71</v>
      </c>
      <c r="C47">
        <v>2578</v>
      </c>
    </row>
    <row r="48" spans="1:3" x14ac:dyDescent="0.45">
      <c r="A48">
        <v>1</v>
      </c>
      <c r="B48">
        <v>0.8</v>
      </c>
      <c r="C48">
        <v>2802</v>
      </c>
    </row>
    <row r="49" spans="1:3" x14ac:dyDescent="0.45">
      <c r="A49">
        <v>1</v>
      </c>
      <c r="B49">
        <v>0.7</v>
      </c>
      <c r="C49">
        <v>2399</v>
      </c>
    </row>
    <row r="50" spans="1:3" x14ac:dyDescent="0.45">
      <c r="A50">
        <v>1</v>
      </c>
      <c r="B50">
        <v>0.72</v>
      </c>
      <c r="C50">
        <v>2610</v>
      </c>
    </row>
    <row r="51" spans="1:3" x14ac:dyDescent="0.45">
      <c r="A51">
        <v>1</v>
      </c>
      <c r="B51">
        <v>0.76</v>
      </c>
      <c r="C51">
        <v>2643</v>
      </c>
    </row>
    <row r="52" spans="1:3" x14ac:dyDescent="0.45">
      <c r="A52">
        <v>1</v>
      </c>
      <c r="B52">
        <v>1.27</v>
      </c>
      <c r="C52">
        <v>6353</v>
      </c>
    </row>
    <row r="53" spans="1:3" x14ac:dyDescent="0.45">
      <c r="A53">
        <v>1</v>
      </c>
      <c r="B53">
        <v>1.2</v>
      </c>
      <c r="C53">
        <v>6541</v>
      </c>
    </row>
    <row r="54" spans="1:3" x14ac:dyDescent="0.45">
      <c r="A54">
        <v>1</v>
      </c>
      <c r="B54">
        <v>0.91</v>
      </c>
      <c r="C54">
        <v>3915</v>
      </c>
    </row>
    <row r="55" spans="1:3" x14ac:dyDescent="0.45">
      <c r="A55">
        <v>1</v>
      </c>
      <c r="B55">
        <v>1.0900000000000001</v>
      </c>
      <c r="C55">
        <v>4555</v>
      </c>
    </row>
    <row r="56" spans="1:3" x14ac:dyDescent="0.45">
      <c r="A56">
        <v>1</v>
      </c>
      <c r="B56">
        <v>1.02</v>
      </c>
      <c r="C56">
        <v>4296</v>
      </c>
    </row>
    <row r="57" spans="1:3" x14ac:dyDescent="0.45">
      <c r="A57">
        <v>1</v>
      </c>
      <c r="B57">
        <v>1.07</v>
      </c>
      <c r="C57">
        <v>4293</v>
      </c>
    </row>
    <row r="58" spans="1:3" x14ac:dyDescent="0.45">
      <c r="A58">
        <v>1</v>
      </c>
      <c r="B58">
        <v>1.0900000000000001</v>
      </c>
      <c r="C58">
        <v>4679</v>
      </c>
    </row>
    <row r="59" spans="1:3" x14ac:dyDescent="0.45">
      <c r="A59">
        <v>1</v>
      </c>
      <c r="B59">
        <v>1.2</v>
      </c>
      <c r="C59">
        <v>6210</v>
      </c>
    </row>
    <row r="60" spans="1:3" x14ac:dyDescent="0.45">
      <c r="A60">
        <v>1</v>
      </c>
      <c r="B60">
        <v>1.2</v>
      </c>
      <c r="C60">
        <v>6541</v>
      </c>
    </row>
    <row r="61" spans="1:3" x14ac:dyDescent="0.45">
      <c r="A61">
        <v>1</v>
      </c>
      <c r="B61">
        <v>1.1399999999999999</v>
      </c>
      <c r="C61">
        <v>5122</v>
      </c>
    </row>
    <row r="62" spans="1:3" x14ac:dyDescent="0.45">
      <c r="A62">
        <v>1</v>
      </c>
      <c r="B62">
        <v>1.07</v>
      </c>
      <c r="C62">
        <v>4293</v>
      </c>
    </row>
    <row r="63" spans="1:3" x14ac:dyDescent="0.45">
      <c r="A63">
        <v>1</v>
      </c>
      <c r="B63">
        <v>1.03</v>
      </c>
      <c r="C63">
        <v>4498</v>
      </c>
    </row>
    <row r="64" spans="1:3" x14ac:dyDescent="0.45">
      <c r="A64">
        <v>1</v>
      </c>
      <c r="B64">
        <v>0.9</v>
      </c>
      <c r="C64">
        <v>3342</v>
      </c>
    </row>
    <row r="65" spans="1:3" x14ac:dyDescent="0.45">
      <c r="A65">
        <v>1</v>
      </c>
      <c r="B65">
        <v>1.06</v>
      </c>
      <c r="C65">
        <v>4560</v>
      </c>
    </row>
    <row r="66" spans="1:3" x14ac:dyDescent="0.45">
      <c r="A66">
        <v>1</v>
      </c>
      <c r="B66">
        <v>1.17</v>
      </c>
      <c r="C66">
        <v>5031</v>
      </c>
    </row>
    <row r="67" spans="1:3" x14ac:dyDescent="0.45">
      <c r="A67">
        <v>1</v>
      </c>
      <c r="B67">
        <v>0.85</v>
      </c>
      <c r="C67">
        <v>2842</v>
      </c>
    </row>
    <row r="68" spans="1:3" x14ac:dyDescent="0.45">
      <c r="A68">
        <v>1</v>
      </c>
      <c r="B68">
        <v>1.06</v>
      </c>
      <c r="C68">
        <v>4482</v>
      </c>
    </row>
    <row r="69" spans="1:3" x14ac:dyDescent="0.45">
      <c r="A69">
        <v>1</v>
      </c>
      <c r="B69">
        <v>1.01</v>
      </c>
      <c r="C69">
        <v>4540</v>
      </c>
    </row>
    <row r="70" spans="1:3" x14ac:dyDescent="0.45">
      <c r="A70">
        <v>1</v>
      </c>
      <c r="B70">
        <v>1.02</v>
      </c>
      <c r="C70">
        <v>4322</v>
      </c>
    </row>
    <row r="71" spans="1:3" x14ac:dyDescent="0.45">
      <c r="A71">
        <v>1</v>
      </c>
      <c r="B71">
        <v>0.91</v>
      </c>
      <c r="C71">
        <v>3389</v>
      </c>
    </row>
    <row r="72" spans="1:3" x14ac:dyDescent="0.45">
      <c r="A72">
        <v>1</v>
      </c>
      <c r="B72">
        <v>1.1000000000000001</v>
      </c>
      <c r="C72">
        <v>4802</v>
      </c>
    </row>
    <row r="73" spans="1:3" x14ac:dyDescent="0.45">
      <c r="A73">
        <v>1</v>
      </c>
      <c r="B73">
        <v>1.1200000000000001</v>
      </c>
      <c r="C73">
        <v>4889</v>
      </c>
    </row>
    <row r="74" spans="1:3" x14ac:dyDescent="0.45">
      <c r="A74">
        <v>1</v>
      </c>
      <c r="B74">
        <v>1.05</v>
      </c>
      <c r="C74">
        <v>4517</v>
      </c>
    </row>
    <row r="75" spans="1:3" x14ac:dyDescent="0.45">
      <c r="A75">
        <v>1</v>
      </c>
      <c r="B75">
        <v>1.01</v>
      </c>
      <c r="C75">
        <v>4252</v>
      </c>
    </row>
    <row r="76" spans="1:3" x14ac:dyDescent="0.45">
      <c r="A76">
        <v>1</v>
      </c>
      <c r="B76">
        <v>1.03</v>
      </c>
      <c r="C76">
        <v>4498</v>
      </c>
    </row>
    <row r="77" spans="1:3" x14ac:dyDescent="0.45">
      <c r="A77">
        <v>1</v>
      </c>
      <c r="B77">
        <v>1.1599999999999999</v>
      </c>
      <c r="C77">
        <v>5416</v>
      </c>
    </row>
    <row r="78" spans="1:3" x14ac:dyDescent="0.45">
      <c r="A78">
        <v>1</v>
      </c>
      <c r="B78">
        <v>1.05</v>
      </c>
      <c r="C78">
        <v>5054</v>
      </c>
    </row>
    <row r="79" spans="1:3" x14ac:dyDescent="0.45">
      <c r="A79">
        <v>1</v>
      </c>
      <c r="B79">
        <v>1.01</v>
      </c>
      <c r="C79">
        <v>4362</v>
      </c>
    </row>
    <row r="80" spans="1:3" x14ac:dyDescent="0.45">
      <c r="A80">
        <v>1</v>
      </c>
      <c r="B80">
        <v>0.9</v>
      </c>
      <c r="C80">
        <v>3389</v>
      </c>
    </row>
    <row r="81" spans="1:3" x14ac:dyDescent="0.45">
      <c r="A81">
        <v>1</v>
      </c>
      <c r="B81">
        <v>1.18</v>
      </c>
      <c r="C81">
        <v>5150</v>
      </c>
    </row>
    <row r="82" spans="1:3" x14ac:dyDescent="0.45">
      <c r="A82">
        <v>1</v>
      </c>
      <c r="B82">
        <v>1.1000000000000001</v>
      </c>
      <c r="C82">
        <v>4821</v>
      </c>
    </row>
    <row r="83" spans="1:3" x14ac:dyDescent="0.45">
      <c r="A83">
        <v>1</v>
      </c>
      <c r="B83">
        <v>1.03</v>
      </c>
      <c r="C83">
        <v>4432</v>
      </c>
    </row>
    <row r="84" spans="1:3" x14ac:dyDescent="0.45">
      <c r="A84">
        <v>1</v>
      </c>
      <c r="B84">
        <v>0.9</v>
      </c>
      <c r="C84">
        <v>3435</v>
      </c>
    </row>
    <row r="85" spans="1:3" x14ac:dyDescent="0.45">
      <c r="A85">
        <v>1</v>
      </c>
      <c r="B85">
        <v>0.71</v>
      </c>
      <c r="C85">
        <v>2488</v>
      </c>
    </row>
    <row r="86" spans="1:3" x14ac:dyDescent="0.45">
      <c r="A86">
        <v>1</v>
      </c>
      <c r="B86">
        <v>0.9</v>
      </c>
      <c r="C86">
        <v>3734</v>
      </c>
    </row>
    <row r="87" spans="1:3" x14ac:dyDescent="0.45">
      <c r="A87">
        <v>1</v>
      </c>
      <c r="B87">
        <v>1.06</v>
      </c>
      <c r="C87">
        <v>4577</v>
      </c>
    </row>
    <row r="88" spans="1:3" x14ac:dyDescent="0.45">
      <c r="A88">
        <v>1</v>
      </c>
      <c r="B88">
        <v>0.7</v>
      </c>
      <c r="C88">
        <v>2133</v>
      </c>
    </row>
    <row r="89" spans="1:3" x14ac:dyDescent="0.45">
      <c r="A89">
        <v>1</v>
      </c>
      <c r="B89">
        <v>1.03</v>
      </c>
      <c r="C89">
        <v>4448</v>
      </c>
    </row>
    <row r="90" spans="1:3" x14ac:dyDescent="0.45">
      <c r="A90">
        <v>1</v>
      </c>
      <c r="B90">
        <v>0.91</v>
      </c>
      <c r="C90">
        <v>3771</v>
      </c>
    </row>
    <row r="91" spans="1:3" x14ac:dyDescent="0.45">
      <c r="A91">
        <v>1</v>
      </c>
      <c r="B91">
        <v>1.06</v>
      </c>
      <c r="C91">
        <v>4628</v>
      </c>
    </row>
    <row r="92" spans="1:3" x14ac:dyDescent="0.45">
      <c r="A92">
        <v>1</v>
      </c>
      <c r="B92">
        <v>1.06</v>
      </c>
      <c r="C92">
        <v>4577</v>
      </c>
    </row>
    <row r="93" spans="1:3" x14ac:dyDescent="0.45">
      <c r="A93">
        <v>1</v>
      </c>
      <c r="B93">
        <v>1.01</v>
      </c>
      <c r="C93">
        <v>4529</v>
      </c>
    </row>
    <row r="94" spans="1:3" x14ac:dyDescent="0.45">
      <c r="A94">
        <v>1</v>
      </c>
      <c r="B94">
        <v>0.79</v>
      </c>
      <c r="C94">
        <v>2441</v>
      </c>
    </row>
    <row r="95" spans="1:3" x14ac:dyDescent="0.45">
      <c r="A95">
        <v>1</v>
      </c>
      <c r="B95">
        <v>1.01</v>
      </c>
      <c r="C95">
        <v>4433</v>
      </c>
    </row>
    <row r="96" spans="1:3" x14ac:dyDescent="0.45">
      <c r="A96">
        <v>1</v>
      </c>
      <c r="B96">
        <v>1.02</v>
      </c>
      <c r="C96">
        <v>4517</v>
      </c>
    </row>
    <row r="97" spans="1:3" x14ac:dyDescent="0.45">
      <c r="A97">
        <v>1</v>
      </c>
      <c r="B97">
        <v>1</v>
      </c>
      <c r="C97">
        <v>4481</v>
      </c>
    </row>
    <row r="98" spans="1:3" x14ac:dyDescent="0.45">
      <c r="A98">
        <v>1</v>
      </c>
      <c r="B98">
        <v>1.02</v>
      </c>
      <c r="C98">
        <v>4585</v>
      </c>
    </row>
    <row r="99" spans="1:3" x14ac:dyDescent="0.45">
      <c r="A99">
        <v>1</v>
      </c>
      <c r="B99">
        <v>0.7</v>
      </c>
      <c r="C99">
        <v>2222</v>
      </c>
    </row>
    <row r="100" spans="1:3" x14ac:dyDescent="0.45">
      <c r="A100">
        <v>1</v>
      </c>
      <c r="B100">
        <v>1.1399999999999999</v>
      </c>
      <c r="C100">
        <v>5122</v>
      </c>
    </row>
    <row r="101" spans="1:3" x14ac:dyDescent="0.45">
      <c r="A101">
        <v>1</v>
      </c>
      <c r="B101">
        <v>1.1399999999999999</v>
      </c>
      <c r="C101">
        <v>5122</v>
      </c>
    </row>
    <row r="102" spans="1:3" x14ac:dyDescent="0.45">
      <c r="A102">
        <v>1</v>
      </c>
      <c r="B102">
        <v>1</v>
      </c>
      <c r="C102">
        <v>4424</v>
      </c>
    </row>
    <row r="103" spans="1:3" x14ac:dyDescent="0.45">
      <c r="A103">
        <v>1</v>
      </c>
      <c r="B103">
        <v>1.2</v>
      </c>
      <c r="C103">
        <v>5549</v>
      </c>
    </row>
    <row r="104" spans="1:3" x14ac:dyDescent="0.45">
      <c r="A104">
        <v>1</v>
      </c>
      <c r="B104">
        <v>0.7</v>
      </c>
      <c r="C104">
        <v>2240</v>
      </c>
    </row>
    <row r="105" spans="1:3" x14ac:dyDescent="0.45">
      <c r="A105">
        <v>1</v>
      </c>
      <c r="B105">
        <v>1</v>
      </c>
      <c r="C105">
        <v>4539</v>
      </c>
    </row>
    <row r="106" spans="1:3" x14ac:dyDescent="0.45">
      <c r="A106">
        <v>1</v>
      </c>
      <c r="B106">
        <v>1.01</v>
      </c>
      <c r="C106">
        <v>4540</v>
      </c>
    </row>
    <row r="107" spans="1:3" x14ac:dyDescent="0.45">
      <c r="A107">
        <v>1</v>
      </c>
      <c r="B107">
        <v>1.18</v>
      </c>
      <c r="C107">
        <v>5301</v>
      </c>
    </row>
    <row r="108" spans="1:3" x14ac:dyDescent="0.45">
      <c r="A108">
        <v>1</v>
      </c>
      <c r="B108">
        <v>0.8</v>
      </c>
      <c r="C108">
        <v>3032</v>
      </c>
    </row>
    <row r="109" spans="1:3" x14ac:dyDescent="0.45">
      <c r="A109">
        <v>1</v>
      </c>
      <c r="B109">
        <v>1.07</v>
      </c>
      <c r="C109">
        <v>4808</v>
      </c>
    </row>
    <row r="110" spans="1:3" x14ac:dyDescent="0.45">
      <c r="A110">
        <v>1</v>
      </c>
      <c r="B110">
        <v>1.01</v>
      </c>
      <c r="C110">
        <v>4540</v>
      </c>
    </row>
    <row r="111" spans="1:3" x14ac:dyDescent="0.45">
      <c r="A111">
        <v>1</v>
      </c>
      <c r="B111">
        <v>0.7</v>
      </c>
      <c r="C111">
        <v>2251</v>
      </c>
    </row>
    <row r="112" spans="1:3" x14ac:dyDescent="0.45">
      <c r="A112">
        <v>1</v>
      </c>
      <c r="B112">
        <v>1.03</v>
      </c>
      <c r="C112">
        <v>4789</v>
      </c>
    </row>
    <row r="113" spans="1:3" x14ac:dyDescent="0.45">
      <c r="A113">
        <v>1</v>
      </c>
      <c r="B113">
        <v>0.73</v>
      </c>
      <c r="C113">
        <v>2360</v>
      </c>
    </row>
    <row r="114" spans="1:3" x14ac:dyDescent="0.45">
      <c r="A114">
        <v>1</v>
      </c>
      <c r="B114">
        <v>0.91</v>
      </c>
      <c r="C114">
        <v>3676</v>
      </c>
    </row>
    <row r="115" spans="1:3" x14ac:dyDescent="0.45">
      <c r="A115">
        <v>1</v>
      </c>
      <c r="B115">
        <v>0.7</v>
      </c>
      <c r="C115">
        <v>2310</v>
      </c>
    </row>
    <row r="116" spans="1:3" x14ac:dyDescent="0.45">
      <c r="A116">
        <v>1</v>
      </c>
      <c r="B116">
        <v>0.7</v>
      </c>
      <c r="C116">
        <v>2330</v>
      </c>
    </row>
    <row r="117" spans="1:3" x14ac:dyDescent="0.45">
      <c r="A117">
        <v>1</v>
      </c>
      <c r="B117">
        <v>1</v>
      </c>
      <c r="C117">
        <v>4705</v>
      </c>
    </row>
    <row r="118" spans="1:3" x14ac:dyDescent="0.45">
      <c r="A118">
        <v>1</v>
      </c>
      <c r="B118">
        <v>1.08</v>
      </c>
      <c r="C118">
        <v>5060</v>
      </c>
    </row>
    <row r="119" spans="1:3" x14ac:dyDescent="0.45">
      <c r="A119">
        <v>1</v>
      </c>
      <c r="B119">
        <v>0.72</v>
      </c>
      <c r="C119">
        <v>2458</v>
      </c>
    </row>
    <row r="120" spans="1:3" x14ac:dyDescent="0.45">
      <c r="A120">
        <v>1</v>
      </c>
      <c r="B120">
        <v>0.84</v>
      </c>
      <c r="C120">
        <v>3012</v>
      </c>
    </row>
    <row r="121" spans="1:3" x14ac:dyDescent="0.45">
      <c r="A121">
        <v>1</v>
      </c>
      <c r="B121">
        <v>1.02</v>
      </c>
      <c r="C121">
        <v>4877</v>
      </c>
    </row>
    <row r="122" spans="1:3" x14ac:dyDescent="0.45">
      <c r="A122">
        <v>1</v>
      </c>
      <c r="B122">
        <v>1.17</v>
      </c>
      <c r="C122">
        <v>5823</v>
      </c>
    </row>
    <row r="123" spans="1:3" x14ac:dyDescent="0.45">
      <c r="A123">
        <v>1</v>
      </c>
      <c r="B123">
        <v>1.02</v>
      </c>
      <c r="C123">
        <v>4845</v>
      </c>
    </row>
    <row r="124" spans="1:3" x14ac:dyDescent="0.45">
      <c r="A124">
        <v>1</v>
      </c>
      <c r="B124">
        <v>1.03</v>
      </c>
      <c r="C124">
        <v>4893</v>
      </c>
    </row>
    <row r="125" spans="1:3" x14ac:dyDescent="0.45">
      <c r="A125">
        <v>1</v>
      </c>
      <c r="B125">
        <v>1.19</v>
      </c>
      <c r="C125">
        <v>5660</v>
      </c>
    </row>
    <row r="126" spans="1:3" x14ac:dyDescent="0.45">
      <c r="A126">
        <v>1</v>
      </c>
      <c r="B126">
        <v>1.07</v>
      </c>
      <c r="C126">
        <v>5082</v>
      </c>
    </row>
    <row r="127" spans="1:3" x14ac:dyDescent="0.45">
      <c r="A127">
        <v>1</v>
      </c>
      <c r="B127">
        <v>0.72</v>
      </c>
      <c r="C127">
        <v>2428</v>
      </c>
    </row>
    <row r="128" spans="1:3" x14ac:dyDescent="0.45">
      <c r="A128">
        <v>1</v>
      </c>
      <c r="B128">
        <v>1.1000000000000001</v>
      </c>
      <c r="C128">
        <v>5189</v>
      </c>
    </row>
    <row r="129" spans="1:3" x14ac:dyDescent="0.45">
      <c r="A129">
        <v>1</v>
      </c>
      <c r="B129">
        <v>1.01</v>
      </c>
      <c r="C129">
        <v>4807</v>
      </c>
    </row>
    <row r="130" spans="1:3" x14ac:dyDescent="0.45">
      <c r="A130">
        <v>1</v>
      </c>
      <c r="B130">
        <v>0.84</v>
      </c>
      <c r="C130">
        <v>2977</v>
      </c>
    </row>
    <row r="131" spans="1:3" x14ac:dyDescent="0.45">
      <c r="A131">
        <v>1</v>
      </c>
      <c r="B131">
        <v>1.08</v>
      </c>
      <c r="C131">
        <v>5109</v>
      </c>
    </row>
    <row r="132" spans="1:3" x14ac:dyDescent="0.45">
      <c r="A132">
        <v>1</v>
      </c>
      <c r="B132">
        <v>1.03</v>
      </c>
      <c r="C132">
        <v>5068</v>
      </c>
    </row>
    <row r="133" spans="1:3" x14ac:dyDescent="0.45">
      <c r="A133">
        <v>1</v>
      </c>
      <c r="B133">
        <v>0.9</v>
      </c>
      <c r="C133">
        <v>4112</v>
      </c>
    </row>
    <row r="134" spans="1:3" x14ac:dyDescent="0.45">
      <c r="A134">
        <v>1</v>
      </c>
      <c r="B134">
        <v>0.91</v>
      </c>
      <c r="C134">
        <v>4154</v>
      </c>
    </row>
    <row r="135" spans="1:3" x14ac:dyDescent="0.45">
      <c r="A135">
        <v>1</v>
      </c>
      <c r="B135">
        <v>0.71</v>
      </c>
      <c r="C135">
        <v>2518</v>
      </c>
    </row>
    <row r="136" spans="1:3" x14ac:dyDescent="0.45">
      <c r="A136">
        <v>1</v>
      </c>
      <c r="B136">
        <v>1</v>
      </c>
      <c r="C136">
        <v>4842</v>
      </c>
    </row>
    <row r="137" spans="1:3" x14ac:dyDescent="0.45">
      <c r="A137">
        <v>1</v>
      </c>
      <c r="B137">
        <v>1.2</v>
      </c>
      <c r="C137">
        <v>6080</v>
      </c>
    </row>
    <row r="138" spans="1:3" x14ac:dyDescent="0.45">
      <c r="A138">
        <v>1</v>
      </c>
      <c r="B138">
        <v>1.08</v>
      </c>
      <c r="C138">
        <v>4234</v>
      </c>
    </row>
    <row r="139" spans="1:3" x14ac:dyDescent="0.45">
      <c r="A139">
        <v>1</v>
      </c>
      <c r="B139">
        <v>1.05</v>
      </c>
      <c r="C139">
        <v>4418</v>
      </c>
    </row>
    <row r="140" spans="1:3" x14ac:dyDescent="0.45">
      <c r="A140">
        <v>1</v>
      </c>
      <c r="B140">
        <v>1.01</v>
      </c>
      <c r="C140">
        <v>4262</v>
      </c>
    </row>
    <row r="141" spans="1:3" x14ac:dyDescent="0.45">
      <c r="A141">
        <v>1</v>
      </c>
      <c r="B141">
        <v>1</v>
      </c>
      <c r="C141">
        <v>4223</v>
      </c>
    </row>
    <row r="142" spans="1:3" x14ac:dyDescent="0.45">
      <c r="A142">
        <v>1</v>
      </c>
      <c r="B142">
        <v>1.07</v>
      </c>
      <c r="C142">
        <v>4478</v>
      </c>
    </row>
    <row r="143" spans="1:3" x14ac:dyDescent="0.45">
      <c r="A143">
        <v>1</v>
      </c>
      <c r="B143">
        <v>1.02</v>
      </c>
      <c r="C143">
        <v>4301</v>
      </c>
    </row>
    <row r="144" spans="1:3" x14ac:dyDescent="0.45">
      <c r="A144">
        <v>1</v>
      </c>
      <c r="B144">
        <v>0.92</v>
      </c>
      <c r="C144">
        <v>3381</v>
      </c>
    </row>
    <row r="145" spans="1:3" x14ac:dyDescent="0.45">
      <c r="A145">
        <v>1</v>
      </c>
      <c r="B145">
        <v>1.1100000000000001</v>
      </c>
      <c r="C145">
        <v>4761</v>
      </c>
    </row>
    <row r="146" spans="1:3" x14ac:dyDescent="0.45">
      <c r="A146">
        <v>1</v>
      </c>
      <c r="B146">
        <v>1.04</v>
      </c>
      <c r="C146">
        <v>4479</v>
      </c>
    </row>
    <row r="147" spans="1:3" x14ac:dyDescent="0.45">
      <c r="A147">
        <v>1</v>
      </c>
      <c r="B147">
        <v>1.07</v>
      </c>
      <c r="C147">
        <v>4669</v>
      </c>
    </row>
    <row r="148" spans="1:3" x14ac:dyDescent="0.45">
      <c r="A148">
        <v>1</v>
      </c>
      <c r="B148">
        <v>1.1200000000000001</v>
      </c>
      <c r="C148">
        <v>4886</v>
      </c>
    </row>
    <row r="149" spans="1:3" x14ac:dyDescent="0.45">
      <c r="A149">
        <v>1</v>
      </c>
      <c r="B149">
        <v>1.08</v>
      </c>
      <c r="C149">
        <v>4713</v>
      </c>
    </row>
    <row r="150" spans="1:3" x14ac:dyDescent="0.45">
      <c r="A150">
        <v>1</v>
      </c>
      <c r="B150">
        <v>1.18</v>
      </c>
      <c r="C150">
        <v>4572</v>
      </c>
    </row>
    <row r="151" spans="1:3" x14ac:dyDescent="0.45">
      <c r="A151">
        <v>1</v>
      </c>
      <c r="B151">
        <v>0.91</v>
      </c>
      <c r="C151">
        <v>3434</v>
      </c>
    </row>
    <row r="152" spans="1:3" x14ac:dyDescent="0.45">
      <c r="A152">
        <v>1</v>
      </c>
      <c r="B152">
        <v>0.91</v>
      </c>
      <c r="C152">
        <v>3434</v>
      </c>
    </row>
    <row r="153" spans="1:3" x14ac:dyDescent="0.45">
      <c r="A153">
        <v>1</v>
      </c>
      <c r="B153">
        <v>1.01</v>
      </c>
      <c r="C153">
        <v>4484</v>
      </c>
    </row>
    <row r="154" spans="1:3" x14ac:dyDescent="0.45">
      <c r="A154">
        <v>1</v>
      </c>
      <c r="B154">
        <v>1.21</v>
      </c>
      <c r="C154">
        <v>5637</v>
      </c>
    </row>
    <row r="155" spans="1:3" x14ac:dyDescent="0.45">
      <c r="A155">
        <v>1</v>
      </c>
      <c r="B155">
        <v>1.2</v>
      </c>
      <c r="C155">
        <v>5877</v>
      </c>
    </row>
    <row r="156" spans="1:3" x14ac:dyDescent="0.45">
      <c r="A156">
        <v>1</v>
      </c>
      <c r="B156">
        <v>0.76</v>
      </c>
      <c r="C156">
        <v>2349</v>
      </c>
    </row>
    <row r="157" spans="1:3" x14ac:dyDescent="0.45">
      <c r="A157">
        <v>1</v>
      </c>
      <c r="B157">
        <v>1.29</v>
      </c>
      <c r="C157">
        <v>5992</v>
      </c>
    </row>
    <row r="158" spans="1:3" x14ac:dyDescent="0.45">
      <c r="A158">
        <v>1</v>
      </c>
      <c r="B158">
        <v>1.28</v>
      </c>
      <c r="C158">
        <v>5505</v>
      </c>
    </row>
    <row r="159" spans="1:3" x14ac:dyDescent="0.45">
      <c r="A159">
        <v>1</v>
      </c>
      <c r="B159">
        <v>1</v>
      </c>
      <c r="C159">
        <v>4440</v>
      </c>
    </row>
    <row r="160" spans="1:3" x14ac:dyDescent="0.45">
      <c r="A160">
        <v>1</v>
      </c>
      <c r="B160">
        <v>0.73</v>
      </c>
      <c r="C160">
        <v>2277</v>
      </c>
    </row>
    <row r="161" spans="1:3" x14ac:dyDescent="0.45">
      <c r="A161">
        <v>1</v>
      </c>
      <c r="B161">
        <v>1.08</v>
      </c>
      <c r="C161">
        <v>4162</v>
      </c>
    </row>
    <row r="162" spans="1:3" x14ac:dyDescent="0.45">
      <c r="A162">
        <v>1</v>
      </c>
      <c r="B162">
        <v>1.2</v>
      </c>
      <c r="C162">
        <v>5734</v>
      </c>
    </row>
    <row r="163" spans="1:3" x14ac:dyDescent="0.45">
      <c r="A163">
        <v>1</v>
      </c>
      <c r="B163">
        <v>0.72</v>
      </c>
      <c r="C163">
        <v>2388</v>
      </c>
    </row>
    <row r="164" spans="1:3" x14ac:dyDescent="0.45">
      <c r="A164">
        <v>1</v>
      </c>
      <c r="B164">
        <v>0.71</v>
      </c>
      <c r="C164">
        <v>2224</v>
      </c>
    </row>
    <row r="165" spans="1:3" x14ac:dyDescent="0.45">
      <c r="A165">
        <v>1</v>
      </c>
      <c r="B165">
        <v>1.29</v>
      </c>
      <c r="C165">
        <v>7698</v>
      </c>
    </row>
    <row r="166" spans="1:3" x14ac:dyDescent="0.45">
      <c r="A166">
        <v>1</v>
      </c>
      <c r="B166">
        <v>1.21</v>
      </c>
      <c r="C166">
        <v>5942</v>
      </c>
    </row>
    <row r="167" spans="1:3" x14ac:dyDescent="0.45">
      <c r="A167">
        <v>1</v>
      </c>
      <c r="B167">
        <v>0.86</v>
      </c>
      <c r="C167">
        <v>2668</v>
      </c>
    </row>
    <row r="168" spans="1:3" x14ac:dyDescent="0.45">
      <c r="A168">
        <v>1</v>
      </c>
      <c r="B168">
        <v>1.17</v>
      </c>
      <c r="C168">
        <v>4547</v>
      </c>
    </row>
    <row r="169" spans="1:3" x14ac:dyDescent="0.45">
      <c r="A169">
        <v>1</v>
      </c>
      <c r="B169">
        <v>0.7</v>
      </c>
      <c r="C169">
        <v>2464</v>
      </c>
    </row>
    <row r="170" spans="1:3" x14ac:dyDescent="0.45">
      <c r="A170">
        <v>1</v>
      </c>
      <c r="B170">
        <v>1.2</v>
      </c>
      <c r="C170">
        <v>5377</v>
      </c>
    </row>
    <row r="171" spans="1:3" x14ac:dyDescent="0.45">
      <c r="A171">
        <v>1</v>
      </c>
      <c r="B171">
        <v>0.7</v>
      </c>
      <c r="C171">
        <v>2117</v>
      </c>
    </row>
    <row r="172" spans="1:3" x14ac:dyDescent="0.45">
      <c r="A172">
        <v>1</v>
      </c>
      <c r="B172">
        <v>1.27</v>
      </c>
      <c r="C172">
        <v>6218</v>
      </c>
    </row>
    <row r="173" spans="1:3" x14ac:dyDescent="0.45">
      <c r="A173">
        <v>1</v>
      </c>
      <c r="B173">
        <v>1.01</v>
      </c>
      <c r="C173">
        <v>4829</v>
      </c>
    </row>
    <row r="174" spans="1:3" x14ac:dyDescent="0.45">
      <c r="A174">
        <v>1</v>
      </c>
      <c r="B174">
        <v>1.2</v>
      </c>
      <c r="C174">
        <v>6091</v>
      </c>
    </row>
    <row r="175" spans="1:3" x14ac:dyDescent="0.45">
      <c r="A175">
        <v>1</v>
      </c>
      <c r="B175">
        <v>1.1499999999999999</v>
      </c>
      <c r="C175">
        <v>4675</v>
      </c>
    </row>
    <row r="176" spans="1:3" x14ac:dyDescent="0.45">
      <c r="A176">
        <v>1</v>
      </c>
      <c r="B176">
        <v>1.24</v>
      </c>
      <c r="C176">
        <v>5408</v>
      </c>
    </row>
    <row r="177" spans="1:3" x14ac:dyDescent="0.45">
      <c r="A177">
        <v>1</v>
      </c>
      <c r="B177">
        <v>1.01</v>
      </c>
      <c r="C177">
        <v>3700</v>
      </c>
    </row>
    <row r="178" spans="1:3" x14ac:dyDescent="0.45">
      <c r="A178">
        <v>1</v>
      </c>
      <c r="B178">
        <v>1</v>
      </c>
      <c r="C178">
        <v>4001</v>
      </c>
    </row>
    <row r="179" spans="1:3" x14ac:dyDescent="0.45">
      <c r="A179">
        <v>1</v>
      </c>
      <c r="B179">
        <v>1.01</v>
      </c>
      <c r="C179">
        <v>4150</v>
      </c>
    </row>
    <row r="180" spans="1:3" x14ac:dyDescent="0.45">
      <c r="A180">
        <v>1</v>
      </c>
      <c r="B180">
        <v>1.03</v>
      </c>
      <c r="C180">
        <v>4111</v>
      </c>
    </row>
    <row r="181" spans="1:3" x14ac:dyDescent="0.45">
      <c r="A181">
        <v>1</v>
      </c>
      <c r="B181">
        <v>1.28</v>
      </c>
      <c r="C181">
        <v>5962</v>
      </c>
    </row>
    <row r="182" spans="1:3" x14ac:dyDescent="0.45">
      <c r="A182">
        <v>1</v>
      </c>
      <c r="B182">
        <v>1.01</v>
      </c>
      <c r="C182">
        <v>4150</v>
      </c>
    </row>
    <row r="183" spans="1:3" x14ac:dyDescent="0.45">
      <c r="A183">
        <v>1</v>
      </c>
      <c r="B183">
        <v>0.81</v>
      </c>
      <c r="C183">
        <v>2676</v>
      </c>
    </row>
    <row r="184" spans="1:3" x14ac:dyDescent="0.45">
      <c r="A184">
        <v>1</v>
      </c>
      <c r="B184">
        <v>1.21</v>
      </c>
      <c r="C184">
        <v>5637</v>
      </c>
    </row>
    <row r="185" spans="1:3" x14ac:dyDescent="0.45">
      <c r="A185">
        <v>1</v>
      </c>
      <c r="B185">
        <v>1.23</v>
      </c>
      <c r="C185">
        <v>5730</v>
      </c>
    </row>
    <row r="186" spans="1:3" x14ac:dyDescent="0.45">
      <c r="A186">
        <v>1</v>
      </c>
      <c r="B186">
        <v>1.01</v>
      </c>
      <c r="C186">
        <v>4075</v>
      </c>
    </row>
    <row r="187" spans="1:3" x14ac:dyDescent="0.45">
      <c r="A187">
        <v>1</v>
      </c>
      <c r="B187">
        <v>1.06</v>
      </c>
      <c r="C187">
        <v>4260</v>
      </c>
    </row>
    <row r="188" spans="1:3" x14ac:dyDescent="0.45">
      <c r="A188">
        <v>1</v>
      </c>
      <c r="B188">
        <v>1.01</v>
      </c>
      <c r="C188">
        <v>4075</v>
      </c>
    </row>
    <row r="189" spans="1:3" x14ac:dyDescent="0.45">
      <c r="A189">
        <v>1</v>
      </c>
      <c r="B189">
        <v>0.83</v>
      </c>
      <c r="C189">
        <v>2734</v>
      </c>
    </row>
    <row r="190" spans="1:3" x14ac:dyDescent="0.45">
      <c r="A190">
        <v>1</v>
      </c>
      <c r="B190">
        <v>0.9</v>
      </c>
      <c r="C190">
        <v>3111</v>
      </c>
    </row>
    <row r="191" spans="1:3" x14ac:dyDescent="0.45">
      <c r="A191">
        <v>1</v>
      </c>
      <c r="B191">
        <v>1.29</v>
      </c>
      <c r="C191">
        <v>5299</v>
      </c>
    </row>
    <row r="192" spans="1:3" x14ac:dyDescent="0.45">
      <c r="A192">
        <v>1</v>
      </c>
      <c r="B192">
        <v>1.05</v>
      </c>
      <c r="C192">
        <v>4250</v>
      </c>
    </row>
    <row r="193" spans="1:3" x14ac:dyDescent="0.45">
      <c r="A193">
        <v>1</v>
      </c>
      <c r="B193">
        <v>1.07</v>
      </c>
      <c r="C193">
        <v>4297</v>
      </c>
    </row>
    <row r="194" spans="1:3" x14ac:dyDescent="0.45">
      <c r="A194">
        <v>1</v>
      </c>
      <c r="B194">
        <v>0.9</v>
      </c>
      <c r="C194">
        <v>3111</v>
      </c>
    </row>
    <row r="195" spans="1:3" x14ac:dyDescent="0.45">
      <c r="A195">
        <v>1</v>
      </c>
      <c r="B195">
        <v>1.1000000000000001</v>
      </c>
      <c r="C195">
        <v>4506</v>
      </c>
    </row>
    <row r="196" spans="1:3" x14ac:dyDescent="0.45">
      <c r="A196">
        <v>1</v>
      </c>
      <c r="B196">
        <v>1.1299999999999999</v>
      </c>
      <c r="C196">
        <v>4594</v>
      </c>
    </row>
    <row r="197" spans="1:3" x14ac:dyDescent="0.45">
      <c r="A197">
        <v>1</v>
      </c>
      <c r="B197">
        <v>1.01</v>
      </c>
      <c r="C197">
        <v>4150</v>
      </c>
    </row>
    <row r="198" spans="1:3" x14ac:dyDescent="0.45">
      <c r="A198">
        <v>1</v>
      </c>
      <c r="B198">
        <v>1</v>
      </c>
      <c r="C198">
        <v>4112</v>
      </c>
    </row>
    <row r="199" spans="1:3" x14ac:dyDescent="0.45">
      <c r="A199">
        <v>1</v>
      </c>
      <c r="B199">
        <v>1</v>
      </c>
      <c r="C199">
        <v>4141</v>
      </c>
    </row>
    <row r="200" spans="1:3" x14ac:dyDescent="0.45">
      <c r="A200">
        <v>1</v>
      </c>
      <c r="B200">
        <v>1.18</v>
      </c>
      <c r="C200">
        <v>4936</v>
      </c>
    </row>
    <row r="201" spans="1:3" x14ac:dyDescent="0.45">
      <c r="A201">
        <v>1</v>
      </c>
      <c r="B201">
        <v>1.0900000000000001</v>
      </c>
      <c r="C201">
        <v>4585</v>
      </c>
    </row>
    <row r="202" spans="1:3" x14ac:dyDescent="0.45">
      <c r="A202">
        <v>1</v>
      </c>
      <c r="B202">
        <v>1.0900000000000001</v>
      </c>
      <c r="C202">
        <v>4561</v>
      </c>
    </row>
    <row r="203" spans="1:3" x14ac:dyDescent="0.45">
      <c r="A203">
        <v>1</v>
      </c>
      <c r="B203">
        <v>1.05</v>
      </c>
      <c r="C203">
        <v>4418</v>
      </c>
    </row>
    <row r="204" spans="1:3" x14ac:dyDescent="0.45">
      <c r="A204">
        <v>1</v>
      </c>
      <c r="B204">
        <v>1.01</v>
      </c>
      <c r="C204">
        <v>4262</v>
      </c>
    </row>
    <row r="205" spans="1:3" x14ac:dyDescent="0.45">
      <c r="A205">
        <v>1</v>
      </c>
      <c r="B205">
        <v>1.03</v>
      </c>
      <c r="C205">
        <v>4340</v>
      </c>
    </row>
    <row r="206" spans="1:3" x14ac:dyDescent="0.45">
      <c r="A206">
        <v>1</v>
      </c>
      <c r="B206">
        <v>1.1299999999999999</v>
      </c>
      <c r="C206">
        <v>5064</v>
      </c>
    </row>
    <row r="207" spans="1:3" x14ac:dyDescent="0.45">
      <c r="A207">
        <v>1</v>
      </c>
      <c r="B207">
        <v>1.03</v>
      </c>
      <c r="C207">
        <v>4334</v>
      </c>
    </row>
    <row r="208" spans="1:3" x14ac:dyDescent="0.45">
      <c r="A208">
        <v>1</v>
      </c>
      <c r="B208">
        <v>0.76</v>
      </c>
      <c r="C208">
        <v>2271</v>
      </c>
    </row>
    <row r="209" spans="1:3" x14ac:dyDescent="0.45">
      <c r="A209">
        <v>1</v>
      </c>
      <c r="B209">
        <v>1.02</v>
      </c>
      <c r="C209">
        <v>4301</v>
      </c>
    </row>
    <row r="210" spans="1:3" x14ac:dyDescent="0.45">
      <c r="A210">
        <v>1</v>
      </c>
      <c r="B210">
        <v>1.01</v>
      </c>
      <c r="C210">
        <v>4262</v>
      </c>
    </row>
    <row r="211" spans="1:3" x14ac:dyDescent="0.45">
      <c r="A211">
        <v>1</v>
      </c>
      <c r="B211">
        <v>1.01</v>
      </c>
      <c r="C211">
        <v>4283</v>
      </c>
    </row>
    <row r="212" spans="1:3" x14ac:dyDescent="0.45">
      <c r="A212">
        <v>1</v>
      </c>
      <c r="B212">
        <v>1</v>
      </c>
      <c r="C212">
        <v>4244</v>
      </c>
    </row>
    <row r="213" spans="1:3" x14ac:dyDescent="0.45">
      <c r="A213">
        <v>1</v>
      </c>
      <c r="B213">
        <v>1.0900000000000001</v>
      </c>
      <c r="C213">
        <v>4659</v>
      </c>
    </row>
    <row r="214" spans="1:3" x14ac:dyDescent="0.45">
      <c r="A214">
        <v>1</v>
      </c>
      <c r="B214">
        <v>0.72</v>
      </c>
      <c r="C214">
        <v>2109</v>
      </c>
    </row>
    <row r="215" spans="1:3" x14ac:dyDescent="0.45">
      <c r="A215">
        <v>1</v>
      </c>
      <c r="B215">
        <v>1</v>
      </c>
      <c r="C215">
        <v>4279</v>
      </c>
    </row>
    <row r="216" spans="1:3" x14ac:dyDescent="0.45">
      <c r="A216">
        <v>1</v>
      </c>
      <c r="B216">
        <v>1.18</v>
      </c>
      <c r="C216">
        <v>5092</v>
      </c>
    </row>
    <row r="217" spans="1:3" x14ac:dyDescent="0.45">
      <c r="A217">
        <v>1</v>
      </c>
      <c r="B217">
        <v>0.9</v>
      </c>
      <c r="C217">
        <v>3296</v>
      </c>
    </row>
    <row r="218" spans="1:3" x14ac:dyDescent="0.45">
      <c r="A218">
        <v>1</v>
      </c>
      <c r="B218">
        <v>0.91</v>
      </c>
      <c r="C218">
        <v>3329</v>
      </c>
    </row>
    <row r="219" spans="1:3" x14ac:dyDescent="0.45">
      <c r="A219">
        <v>1</v>
      </c>
      <c r="B219">
        <v>0.76</v>
      </c>
      <c r="C219">
        <v>2434</v>
      </c>
    </row>
    <row r="220" spans="1:3" x14ac:dyDescent="0.45">
      <c r="A220">
        <v>1</v>
      </c>
      <c r="B220">
        <v>1.1499999999999999</v>
      </c>
      <c r="C220">
        <v>5051</v>
      </c>
    </row>
    <row r="221" spans="1:3" x14ac:dyDescent="0.45">
      <c r="A221">
        <v>1</v>
      </c>
      <c r="B221">
        <v>1.22</v>
      </c>
      <c r="C221">
        <v>5938</v>
      </c>
    </row>
    <row r="222" spans="1:3" x14ac:dyDescent="0.45">
      <c r="A222">
        <v>1</v>
      </c>
      <c r="B222">
        <v>0.72</v>
      </c>
      <c r="C222">
        <v>2432</v>
      </c>
    </row>
    <row r="223" spans="1:3" x14ac:dyDescent="0.45">
      <c r="A223">
        <v>1</v>
      </c>
      <c r="B223">
        <v>1.1100000000000001</v>
      </c>
      <c r="C223">
        <v>4883</v>
      </c>
    </row>
    <row r="224" spans="1:3" x14ac:dyDescent="0.45">
      <c r="A224">
        <v>1</v>
      </c>
      <c r="B224">
        <v>1.1299999999999999</v>
      </c>
      <c r="C224">
        <v>4971</v>
      </c>
    </row>
    <row r="225" spans="1:3" x14ac:dyDescent="0.45">
      <c r="A225">
        <v>1</v>
      </c>
      <c r="B225">
        <v>1</v>
      </c>
      <c r="C225">
        <v>4429</v>
      </c>
    </row>
    <row r="226" spans="1:3" x14ac:dyDescent="0.45">
      <c r="A226">
        <v>1</v>
      </c>
      <c r="B226">
        <v>0.82</v>
      </c>
      <c r="C226">
        <v>2986</v>
      </c>
    </row>
    <row r="227" spans="1:3" x14ac:dyDescent="0.45">
      <c r="A227">
        <v>1</v>
      </c>
      <c r="B227">
        <v>1.06</v>
      </c>
      <c r="C227">
        <v>5067</v>
      </c>
    </row>
    <row r="228" spans="1:3" x14ac:dyDescent="0.45">
      <c r="A228">
        <v>1</v>
      </c>
      <c r="B228">
        <v>1.1399999999999999</v>
      </c>
      <c r="C228">
        <v>5109</v>
      </c>
    </row>
    <row r="229" spans="1:3" x14ac:dyDescent="0.45">
      <c r="A229">
        <v>1</v>
      </c>
      <c r="B229">
        <v>1.1399999999999999</v>
      </c>
      <c r="C229">
        <v>5109</v>
      </c>
    </row>
    <row r="230" spans="1:3" x14ac:dyDescent="0.45">
      <c r="A230">
        <v>1</v>
      </c>
      <c r="B230">
        <v>0.8</v>
      </c>
      <c r="C230">
        <v>2769</v>
      </c>
    </row>
    <row r="231" spans="1:3" x14ac:dyDescent="0.45">
      <c r="A231">
        <v>1</v>
      </c>
      <c r="B231">
        <v>1.01</v>
      </c>
      <c r="C231">
        <v>4712</v>
      </c>
    </row>
    <row r="232" spans="1:3" x14ac:dyDescent="0.45">
      <c r="A232">
        <v>1</v>
      </c>
      <c r="B232">
        <v>1.2</v>
      </c>
      <c r="C232">
        <v>5377</v>
      </c>
    </row>
    <row r="233" spans="1:3" x14ac:dyDescent="0.45">
      <c r="A233">
        <v>1</v>
      </c>
      <c r="B233">
        <v>1.07</v>
      </c>
      <c r="C233">
        <v>4833</v>
      </c>
    </row>
    <row r="234" spans="1:3" x14ac:dyDescent="0.45">
      <c r="A234">
        <v>1</v>
      </c>
      <c r="B234">
        <v>1.22</v>
      </c>
      <c r="C234">
        <v>6071</v>
      </c>
    </row>
    <row r="235" spans="1:3" x14ac:dyDescent="0.45">
      <c r="A235">
        <v>1</v>
      </c>
      <c r="B235">
        <v>1.28</v>
      </c>
      <c r="C235">
        <v>6002</v>
      </c>
    </row>
    <row r="236" spans="1:3" x14ac:dyDescent="0.45">
      <c r="A236">
        <v>1</v>
      </c>
      <c r="B236">
        <v>1.28</v>
      </c>
      <c r="C236">
        <v>6115</v>
      </c>
    </row>
    <row r="237" spans="1:3" x14ac:dyDescent="0.45">
      <c r="A237">
        <v>1</v>
      </c>
      <c r="B237">
        <v>1.05</v>
      </c>
      <c r="C237">
        <v>3634</v>
      </c>
    </row>
    <row r="238" spans="1:3" x14ac:dyDescent="0.45">
      <c r="A238">
        <v>1</v>
      </c>
      <c r="B238">
        <v>1.06</v>
      </c>
      <c r="C238">
        <v>3665</v>
      </c>
    </row>
    <row r="239" spans="1:3" x14ac:dyDescent="0.45">
      <c r="A239">
        <v>1</v>
      </c>
      <c r="B239">
        <v>1.03</v>
      </c>
      <c r="C239">
        <v>3670</v>
      </c>
    </row>
    <row r="240" spans="1:3" x14ac:dyDescent="0.45">
      <c r="A240">
        <v>1</v>
      </c>
      <c r="B240">
        <v>1.06</v>
      </c>
      <c r="C240">
        <v>3802</v>
      </c>
    </row>
    <row r="241" spans="1:3" x14ac:dyDescent="0.45">
      <c r="A241">
        <v>1</v>
      </c>
      <c r="B241">
        <v>1.04</v>
      </c>
      <c r="C241">
        <v>3703</v>
      </c>
    </row>
    <row r="242" spans="1:3" x14ac:dyDescent="0.45">
      <c r="A242">
        <v>1</v>
      </c>
      <c r="B242">
        <v>0.91</v>
      </c>
      <c r="C242">
        <v>2904</v>
      </c>
    </row>
    <row r="243" spans="1:3" x14ac:dyDescent="0.45">
      <c r="A243">
        <v>1</v>
      </c>
      <c r="B243">
        <v>1.05</v>
      </c>
      <c r="C243">
        <v>3786</v>
      </c>
    </row>
    <row r="244" spans="1:3" x14ac:dyDescent="0.45">
      <c r="A244">
        <v>1</v>
      </c>
      <c r="B244">
        <v>1.05</v>
      </c>
      <c r="C244">
        <v>3735</v>
      </c>
    </row>
    <row r="245" spans="1:3" x14ac:dyDescent="0.45">
      <c r="A245">
        <v>1</v>
      </c>
      <c r="B245">
        <v>1.1599999999999999</v>
      </c>
      <c r="C245">
        <v>4260</v>
      </c>
    </row>
    <row r="246" spans="1:3" x14ac:dyDescent="0.45">
      <c r="A246">
        <v>1</v>
      </c>
      <c r="B246">
        <v>1.02</v>
      </c>
      <c r="C246">
        <v>3786</v>
      </c>
    </row>
    <row r="247" spans="1:3" x14ac:dyDescent="0.45">
      <c r="A247">
        <v>1</v>
      </c>
      <c r="B247">
        <v>1.06</v>
      </c>
      <c r="C247">
        <v>3922</v>
      </c>
    </row>
    <row r="248" spans="1:3" x14ac:dyDescent="0.45">
      <c r="A248">
        <v>1</v>
      </c>
      <c r="B248">
        <v>1.02</v>
      </c>
      <c r="C248">
        <v>3786</v>
      </c>
    </row>
    <row r="249" spans="1:3" x14ac:dyDescent="0.45">
      <c r="A249">
        <v>1</v>
      </c>
      <c r="B249">
        <v>0.7</v>
      </c>
      <c r="C249">
        <v>2006</v>
      </c>
    </row>
    <row r="250" spans="1:3" x14ac:dyDescent="0.45">
      <c r="A250">
        <v>1</v>
      </c>
      <c r="B250">
        <v>0.9</v>
      </c>
      <c r="C250">
        <v>2990</v>
      </c>
    </row>
    <row r="251" spans="1:3" x14ac:dyDescent="0.45">
      <c r="A251">
        <v>1</v>
      </c>
      <c r="B251">
        <v>0.9</v>
      </c>
      <c r="C251">
        <v>2990</v>
      </c>
    </row>
    <row r="252" spans="1:3" x14ac:dyDescent="0.45">
      <c r="A252">
        <v>1</v>
      </c>
      <c r="B252">
        <v>1</v>
      </c>
      <c r="C252">
        <v>3718</v>
      </c>
    </row>
    <row r="253" spans="1:3" x14ac:dyDescent="0.45">
      <c r="A253">
        <v>1</v>
      </c>
      <c r="B253">
        <v>1.01</v>
      </c>
      <c r="C253">
        <v>3752</v>
      </c>
    </row>
    <row r="254" spans="1:3" x14ac:dyDescent="0.45">
      <c r="A254">
        <v>1</v>
      </c>
      <c r="B254">
        <v>1.05</v>
      </c>
      <c r="C254">
        <v>3989</v>
      </c>
    </row>
    <row r="255" spans="1:3" x14ac:dyDescent="0.45">
      <c r="A255">
        <v>1</v>
      </c>
      <c r="B255">
        <v>1.02</v>
      </c>
      <c r="C255">
        <v>4280</v>
      </c>
    </row>
    <row r="256" spans="1:3" x14ac:dyDescent="0.45">
      <c r="A256">
        <v>1</v>
      </c>
      <c r="B256">
        <v>1.06</v>
      </c>
      <c r="C256">
        <v>4076</v>
      </c>
    </row>
    <row r="257" spans="1:3" x14ac:dyDescent="0.45">
      <c r="A257">
        <v>1</v>
      </c>
      <c r="B257">
        <v>0.92</v>
      </c>
      <c r="C257">
        <v>3172</v>
      </c>
    </row>
    <row r="258" spans="1:3" x14ac:dyDescent="0.45">
      <c r="A258">
        <v>1</v>
      </c>
      <c r="B258">
        <v>1.27</v>
      </c>
      <c r="C258">
        <v>4954</v>
      </c>
    </row>
    <row r="259" spans="1:3" x14ac:dyDescent="0.45">
      <c r="A259">
        <v>1</v>
      </c>
      <c r="B259">
        <v>1.23</v>
      </c>
      <c r="C259">
        <v>5118</v>
      </c>
    </row>
    <row r="260" spans="1:3" x14ac:dyDescent="0.45">
      <c r="A260">
        <v>1</v>
      </c>
      <c r="B260">
        <v>1.21</v>
      </c>
      <c r="C260">
        <v>4909</v>
      </c>
    </row>
    <row r="261" spans="1:3" x14ac:dyDescent="0.45">
      <c r="A261">
        <v>1</v>
      </c>
      <c r="B261">
        <v>1.22</v>
      </c>
      <c r="C261">
        <v>4760</v>
      </c>
    </row>
    <row r="262" spans="1:3" x14ac:dyDescent="0.45">
      <c r="A262">
        <v>1</v>
      </c>
      <c r="B262">
        <v>1.23</v>
      </c>
      <c r="C262">
        <v>5118</v>
      </c>
    </row>
    <row r="263" spans="1:3" x14ac:dyDescent="0.45">
      <c r="A263">
        <v>1</v>
      </c>
      <c r="B263">
        <v>1.27</v>
      </c>
      <c r="C263">
        <v>5612</v>
      </c>
    </row>
    <row r="264" spans="1:3" x14ac:dyDescent="0.45">
      <c r="A264">
        <v>1</v>
      </c>
      <c r="B264">
        <v>1.03</v>
      </c>
      <c r="C264">
        <v>4069</v>
      </c>
    </row>
    <row r="265" spans="1:3" x14ac:dyDescent="0.45">
      <c r="A265">
        <v>1</v>
      </c>
      <c r="B265">
        <v>1.21</v>
      </c>
      <c r="C265">
        <v>5160</v>
      </c>
    </row>
    <row r="266" spans="1:3" x14ac:dyDescent="0.45">
      <c r="A266">
        <v>1</v>
      </c>
      <c r="B266">
        <v>1.22</v>
      </c>
      <c r="C266">
        <v>4760</v>
      </c>
    </row>
    <row r="267" spans="1:3" x14ac:dyDescent="0.45">
      <c r="A267">
        <v>1</v>
      </c>
      <c r="B267">
        <v>0.7</v>
      </c>
      <c r="C267">
        <v>1995</v>
      </c>
    </row>
    <row r="268" spans="1:3" x14ac:dyDescent="0.45">
      <c r="A268">
        <v>1</v>
      </c>
      <c r="B268">
        <v>0.9</v>
      </c>
      <c r="C268">
        <v>2756</v>
      </c>
    </row>
    <row r="269" spans="1:3" x14ac:dyDescent="0.45">
      <c r="A269">
        <v>1</v>
      </c>
      <c r="B269">
        <v>0.83</v>
      </c>
      <c r="C269">
        <v>2304</v>
      </c>
    </row>
    <row r="270" spans="1:3" x14ac:dyDescent="0.45">
      <c r="A270">
        <v>1</v>
      </c>
      <c r="B270">
        <v>1.01</v>
      </c>
      <c r="C270">
        <v>3654</v>
      </c>
    </row>
    <row r="271" spans="1:3" x14ac:dyDescent="0.45">
      <c r="A271">
        <v>1</v>
      </c>
      <c r="B271">
        <v>1.02</v>
      </c>
      <c r="C271">
        <v>3687</v>
      </c>
    </row>
    <row r="272" spans="1:3" x14ac:dyDescent="0.45">
      <c r="A272">
        <v>1</v>
      </c>
      <c r="B272">
        <v>1.1599999999999999</v>
      </c>
      <c r="C272">
        <v>4092</v>
      </c>
    </row>
    <row r="273" spans="1:3" x14ac:dyDescent="0.45">
      <c r="A273">
        <v>1</v>
      </c>
      <c r="B273">
        <v>1.1200000000000001</v>
      </c>
      <c r="C273">
        <v>3962</v>
      </c>
    </row>
    <row r="274" spans="1:3" x14ac:dyDescent="0.45">
      <c r="A274">
        <v>1</v>
      </c>
      <c r="B274">
        <v>1.07</v>
      </c>
      <c r="C274">
        <v>3852</v>
      </c>
    </row>
    <row r="275" spans="1:3" x14ac:dyDescent="0.45">
      <c r="A275">
        <v>1</v>
      </c>
      <c r="B275">
        <v>1</v>
      </c>
      <c r="C275">
        <v>3621</v>
      </c>
    </row>
    <row r="276" spans="1:3" x14ac:dyDescent="0.45">
      <c r="A276">
        <v>1</v>
      </c>
      <c r="B276">
        <v>1.1299999999999999</v>
      </c>
      <c r="C276">
        <v>4378</v>
      </c>
    </row>
    <row r="277" spans="1:3" x14ac:dyDescent="0.45">
      <c r="A277">
        <v>1</v>
      </c>
      <c r="B277">
        <v>1.27</v>
      </c>
      <c r="C277">
        <v>5152</v>
      </c>
    </row>
    <row r="278" spans="1:3" x14ac:dyDescent="0.45">
      <c r="A278">
        <v>1</v>
      </c>
      <c r="B278">
        <v>1.03</v>
      </c>
      <c r="C278">
        <v>3720</v>
      </c>
    </row>
    <row r="279" spans="1:3" x14ac:dyDescent="0.45">
      <c r="A279">
        <v>1</v>
      </c>
      <c r="B279">
        <v>1.06</v>
      </c>
      <c r="C279">
        <v>4127</v>
      </c>
    </row>
    <row r="280" spans="1:3" x14ac:dyDescent="0.45">
      <c r="A280">
        <v>1</v>
      </c>
      <c r="B280">
        <v>1.0900000000000001</v>
      </c>
      <c r="C280">
        <v>3759</v>
      </c>
    </row>
    <row r="281" spans="1:3" x14ac:dyDescent="0.45">
      <c r="A281">
        <v>1</v>
      </c>
      <c r="B281">
        <v>1.1100000000000001</v>
      </c>
      <c r="C281">
        <v>3874</v>
      </c>
    </row>
    <row r="282" spans="1:3" x14ac:dyDescent="0.45">
      <c r="A282">
        <v>1</v>
      </c>
      <c r="B282">
        <v>1.1100000000000001</v>
      </c>
      <c r="C282">
        <v>3853</v>
      </c>
    </row>
    <row r="283" spans="1:3" x14ac:dyDescent="0.45">
      <c r="A283">
        <v>1</v>
      </c>
      <c r="B283">
        <v>1.21</v>
      </c>
      <c r="C283">
        <v>4305</v>
      </c>
    </row>
    <row r="284" spans="1:3" x14ac:dyDescent="0.45">
      <c r="A284">
        <v>1</v>
      </c>
      <c r="B284">
        <v>1.01</v>
      </c>
      <c r="C284">
        <v>3508</v>
      </c>
    </row>
    <row r="285" spans="1:3" x14ac:dyDescent="0.45">
      <c r="A285">
        <v>1</v>
      </c>
      <c r="B285">
        <v>1.03</v>
      </c>
      <c r="C285">
        <v>3674</v>
      </c>
    </row>
    <row r="286" spans="1:3" x14ac:dyDescent="0.45">
      <c r="A286">
        <v>1</v>
      </c>
      <c r="B286">
        <v>0.9</v>
      </c>
      <c r="C286">
        <v>3370</v>
      </c>
    </row>
    <row r="287" spans="1:3" x14ac:dyDescent="0.45">
      <c r="A287">
        <v>1</v>
      </c>
      <c r="B287">
        <v>1.1399999999999999</v>
      </c>
      <c r="C287">
        <v>4111</v>
      </c>
    </row>
    <row r="288" spans="1:3" x14ac:dyDescent="0.45">
      <c r="A288">
        <v>1</v>
      </c>
      <c r="B288">
        <v>1.1100000000000001</v>
      </c>
      <c r="C288">
        <v>3984</v>
      </c>
    </row>
    <row r="289" spans="1:3" x14ac:dyDescent="0.45">
      <c r="A289">
        <v>1</v>
      </c>
      <c r="B289">
        <v>1.1100000000000001</v>
      </c>
      <c r="C289">
        <v>3984</v>
      </c>
    </row>
    <row r="290" spans="1:3" x14ac:dyDescent="0.45">
      <c r="A290">
        <v>1</v>
      </c>
      <c r="B290">
        <v>1.04</v>
      </c>
      <c r="C290">
        <v>3779</v>
      </c>
    </row>
    <row r="291" spans="1:3" x14ac:dyDescent="0.45">
      <c r="A291">
        <v>1</v>
      </c>
      <c r="B291">
        <v>1</v>
      </c>
      <c r="C291">
        <v>3621</v>
      </c>
    </row>
    <row r="292" spans="1:3" x14ac:dyDescent="0.45">
      <c r="A292">
        <v>1</v>
      </c>
      <c r="B292">
        <v>1.1399999999999999</v>
      </c>
      <c r="C292">
        <v>4193</v>
      </c>
    </row>
    <row r="293" spans="1:3" x14ac:dyDescent="0.45">
      <c r="A293">
        <v>1</v>
      </c>
      <c r="B293">
        <v>1.0900000000000001</v>
      </c>
      <c r="C293">
        <v>4023</v>
      </c>
    </row>
    <row r="294" spans="1:3" x14ac:dyDescent="0.45">
      <c r="A294">
        <v>1</v>
      </c>
      <c r="B294">
        <v>1.1399999999999999</v>
      </c>
      <c r="C294">
        <v>4193</v>
      </c>
    </row>
    <row r="295" spans="1:3" x14ac:dyDescent="0.45">
      <c r="A295">
        <v>1</v>
      </c>
      <c r="B295">
        <v>1.05</v>
      </c>
      <c r="C295">
        <v>3931</v>
      </c>
    </row>
    <row r="296" spans="1:3" x14ac:dyDescent="0.45">
      <c r="A296">
        <v>1</v>
      </c>
      <c r="B296">
        <v>1.28</v>
      </c>
      <c r="C296">
        <v>4693</v>
      </c>
    </row>
    <row r="297" spans="1:3" x14ac:dyDescent="0.45">
      <c r="A297">
        <v>1</v>
      </c>
      <c r="B297">
        <v>1.06</v>
      </c>
      <c r="C297">
        <v>3965</v>
      </c>
    </row>
    <row r="298" spans="1:3" x14ac:dyDescent="0.45">
      <c r="A298">
        <v>1</v>
      </c>
      <c r="B298">
        <v>0.9</v>
      </c>
      <c r="C298">
        <v>2972</v>
      </c>
    </row>
    <row r="299" spans="1:3" x14ac:dyDescent="0.45">
      <c r="A299">
        <v>1</v>
      </c>
      <c r="B299">
        <v>1.08</v>
      </c>
      <c r="C299">
        <v>3989</v>
      </c>
    </row>
    <row r="300" spans="1:3" x14ac:dyDescent="0.45">
      <c r="A300">
        <v>1</v>
      </c>
      <c r="B300">
        <v>1.05</v>
      </c>
      <c r="C300">
        <v>3817</v>
      </c>
    </row>
    <row r="301" spans="1:3" x14ac:dyDescent="0.45">
      <c r="A301">
        <v>1</v>
      </c>
      <c r="B301">
        <v>0.91</v>
      </c>
      <c r="C301">
        <v>3020</v>
      </c>
    </row>
    <row r="302" spans="1:3" x14ac:dyDescent="0.45">
      <c r="A302">
        <v>1</v>
      </c>
      <c r="B302">
        <v>1.01</v>
      </c>
      <c r="C302">
        <v>3752</v>
      </c>
    </row>
    <row r="303" spans="1:3" x14ac:dyDescent="0.45">
      <c r="A303">
        <v>1</v>
      </c>
      <c r="B303">
        <v>0.76</v>
      </c>
      <c r="C303">
        <v>2138</v>
      </c>
    </row>
    <row r="304" spans="1:3" x14ac:dyDescent="0.45">
      <c r="A304">
        <v>1</v>
      </c>
      <c r="B304">
        <v>1.1200000000000001</v>
      </c>
      <c r="C304">
        <v>4233</v>
      </c>
    </row>
    <row r="305" spans="1:3" x14ac:dyDescent="0.45">
      <c r="A305">
        <v>1</v>
      </c>
      <c r="B305">
        <v>0.74</v>
      </c>
      <c r="C305">
        <v>2006</v>
      </c>
    </row>
    <row r="306" spans="1:3" x14ac:dyDescent="0.45">
      <c r="A306">
        <v>1</v>
      </c>
      <c r="B306">
        <v>0.79</v>
      </c>
      <c r="C306">
        <v>2453</v>
      </c>
    </row>
    <row r="307" spans="1:3" x14ac:dyDescent="0.45">
      <c r="A307">
        <v>1</v>
      </c>
      <c r="B307">
        <v>1.3</v>
      </c>
      <c r="C307">
        <v>5501</v>
      </c>
    </row>
    <row r="308" spans="1:3" x14ac:dyDescent="0.45">
      <c r="A308">
        <v>1</v>
      </c>
      <c r="B308">
        <v>1.21</v>
      </c>
      <c r="C308">
        <v>5288</v>
      </c>
    </row>
    <row r="309" spans="1:3" x14ac:dyDescent="0.45">
      <c r="A309">
        <v>1</v>
      </c>
      <c r="B309">
        <v>0.7</v>
      </c>
      <c r="C309">
        <v>2139</v>
      </c>
    </row>
    <row r="310" spans="1:3" x14ac:dyDescent="0.45">
      <c r="A310">
        <v>1</v>
      </c>
      <c r="B310">
        <v>1.04</v>
      </c>
      <c r="C310">
        <v>4186</v>
      </c>
    </row>
    <row r="311" spans="1:3" x14ac:dyDescent="0.45">
      <c r="A311">
        <v>0</v>
      </c>
      <c r="B311">
        <v>1.02</v>
      </c>
      <c r="C311">
        <v>3129</v>
      </c>
    </row>
    <row r="312" spans="1:3" x14ac:dyDescent="0.45">
      <c r="A312">
        <v>0</v>
      </c>
      <c r="B312">
        <v>1.01</v>
      </c>
      <c r="C312">
        <v>3230</v>
      </c>
    </row>
    <row r="313" spans="1:3" x14ac:dyDescent="0.45">
      <c r="A313">
        <v>0</v>
      </c>
      <c r="B313">
        <v>0.9</v>
      </c>
      <c r="C313">
        <v>2499</v>
      </c>
    </row>
    <row r="314" spans="1:3" x14ac:dyDescent="0.45">
      <c r="A314">
        <v>0</v>
      </c>
      <c r="B314">
        <v>0.72</v>
      </c>
      <c r="C314">
        <v>1575</v>
      </c>
    </row>
    <row r="315" spans="1:3" x14ac:dyDescent="0.45">
      <c r="A315">
        <v>0</v>
      </c>
      <c r="B315">
        <v>1.24</v>
      </c>
      <c r="C315">
        <v>3995</v>
      </c>
    </row>
    <row r="316" spans="1:3" x14ac:dyDescent="0.45">
      <c r="A316">
        <v>0</v>
      </c>
      <c r="B316">
        <v>1.0900000000000001</v>
      </c>
      <c r="C316">
        <v>3552</v>
      </c>
    </row>
    <row r="317" spans="1:3" x14ac:dyDescent="0.45">
      <c r="A317">
        <v>0</v>
      </c>
      <c r="B317">
        <v>1.08</v>
      </c>
      <c r="C317">
        <v>3522</v>
      </c>
    </row>
    <row r="318" spans="1:3" x14ac:dyDescent="0.45">
      <c r="A318">
        <v>0</v>
      </c>
      <c r="B318">
        <v>1.2</v>
      </c>
      <c r="C318">
        <v>3978</v>
      </c>
    </row>
    <row r="319" spans="1:3" x14ac:dyDescent="0.45">
      <c r="A319">
        <v>0</v>
      </c>
      <c r="B319">
        <v>0.95</v>
      </c>
      <c r="C319">
        <v>2795</v>
      </c>
    </row>
    <row r="320" spans="1:3" x14ac:dyDescent="0.45">
      <c r="A320">
        <v>0</v>
      </c>
      <c r="B320">
        <v>1</v>
      </c>
      <c r="C320">
        <v>3708</v>
      </c>
    </row>
    <row r="321" spans="1:3" x14ac:dyDescent="0.45">
      <c r="A321">
        <v>0</v>
      </c>
      <c r="B321">
        <v>1.23</v>
      </c>
      <c r="C321">
        <v>4225</v>
      </c>
    </row>
    <row r="322" spans="1:3" x14ac:dyDescent="0.45">
      <c r="A322">
        <v>0</v>
      </c>
      <c r="B322">
        <v>1.24</v>
      </c>
      <c r="C322">
        <v>4783</v>
      </c>
    </row>
    <row r="323" spans="1:3" x14ac:dyDescent="0.45">
      <c r="A323">
        <v>0</v>
      </c>
      <c r="B323">
        <v>0.85</v>
      </c>
      <c r="C323">
        <v>2098</v>
      </c>
    </row>
    <row r="324" spans="1:3" x14ac:dyDescent="0.45">
      <c r="A324">
        <v>0</v>
      </c>
      <c r="B324">
        <v>1.2</v>
      </c>
      <c r="C324">
        <v>4232</v>
      </c>
    </row>
    <row r="325" spans="1:3" x14ac:dyDescent="0.45">
      <c r="A325">
        <v>0</v>
      </c>
      <c r="B325">
        <v>1.26</v>
      </c>
      <c r="C325">
        <v>4575</v>
      </c>
    </row>
    <row r="326" spans="1:3" x14ac:dyDescent="0.45">
      <c r="A326">
        <v>0</v>
      </c>
      <c r="B326">
        <v>1.23</v>
      </c>
      <c r="C326">
        <v>4225</v>
      </c>
    </row>
    <row r="327" spans="1:3" x14ac:dyDescent="0.45">
      <c r="A327">
        <v>0</v>
      </c>
      <c r="B327">
        <v>1.22</v>
      </c>
      <c r="C327">
        <v>4706</v>
      </c>
    </row>
    <row r="328" spans="1:3" x14ac:dyDescent="0.45">
      <c r="A328">
        <v>0</v>
      </c>
      <c r="B328">
        <v>1.23</v>
      </c>
      <c r="C328">
        <v>4225</v>
      </c>
    </row>
    <row r="329" spans="1:3" x14ac:dyDescent="0.45">
      <c r="A329">
        <v>0</v>
      </c>
      <c r="B329">
        <v>1.18</v>
      </c>
      <c r="C329">
        <v>4316</v>
      </c>
    </row>
    <row r="330" spans="1:3" x14ac:dyDescent="0.45">
      <c r="A330">
        <v>0</v>
      </c>
      <c r="B330">
        <v>1.05</v>
      </c>
      <c r="C330">
        <v>3877</v>
      </c>
    </row>
    <row r="331" spans="1:3" x14ac:dyDescent="0.45">
      <c r="A331">
        <v>0</v>
      </c>
      <c r="B331">
        <v>1.1200000000000001</v>
      </c>
      <c r="C331">
        <v>3398</v>
      </c>
    </row>
    <row r="332" spans="1:3" x14ac:dyDescent="0.45">
      <c r="A332">
        <v>0</v>
      </c>
      <c r="B332">
        <v>0.7</v>
      </c>
      <c r="C332">
        <v>1743</v>
      </c>
    </row>
    <row r="333" spans="1:3" x14ac:dyDescent="0.45">
      <c r="A333">
        <v>0</v>
      </c>
      <c r="B333">
        <v>1.3</v>
      </c>
      <c r="C333">
        <v>4720</v>
      </c>
    </row>
    <row r="334" spans="1:3" x14ac:dyDescent="0.45">
      <c r="A334">
        <v>0</v>
      </c>
      <c r="B334">
        <v>1.01</v>
      </c>
      <c r="C334">
        <v>3529</v>
      </c>
    </row>
    <row r="335" spans="1:3" x14ac:dyDescent="0.45">
      <c r="A335">
        <v>0</v>
      </c>
      <c r="B335">
        <v>1.23</v>
      </c>
      <c r="C335">
        <v>3967</v>
      </c>
    </row>
    <row r="336" spans="1:3" x14ac:dyDescent="0.45">
      <c r="A336">
        <v>0</v>
      </c>
      <c r="B336">
        <v>1.1299999999999999</v>
      </c>
      <c r="C336">
        <v>3670</v>
      </c>
    </row>
    <row r="337" spans="1:3" x14ac:dyDescent="0.45">
      <c r="A337">
        <v>0</v>
      </c>
      <c r="B337">
        <v>1.1000000000000001</v>
      </c>
      <c r="C337">
        <v>3581</v>
      </c>
    </row>
    <row r="338" spans="1:3" x14ac:dyDescent="0.45">
      <c r="A338">
        <v>0</v>
      </c>
      <c r="B338">
        <v>1.1000000000000001</v>
      </c>
      <c r="C338">
        <v>3581</v>
      </c>
    </row>
    <row r="339" spans="1:3" x14ac:dyDescent="0.45">
      <c r="A339">
        <v>0</v>
      </c>
      <c r="B339">
        <v>1.18</v>
      </c>
      <c r="C339">
        <v>3818</v>
      </c>
    </row>
    <row r="340" spans="1:3" x14ac:dyDescent="0.45">
      <c r="A340">
        <v>0</v>
      </c>
      <c r="B340">
        <v>1.0900000000000001</v>
      </c>
      <c r="C340">
        <v>3552</v>
      </c>
    </row>
    <row r="341" spans="1:3" x14ac:dyDescent="0.45">
      <c r="A341">
        <v>0</v>
      </c>
      <c r="B341">
        <v>1.1599999999999999</v>
      </c>
      <c r="C341">
        <v>3735</v>
      </c>
    </row>
    <row r="342" spans="1:3" x14ac:dyDescent="0.45">
      <c r="A342">
        <v>0</v>
      </c>
      <c r="B342">
        <v>1.1599999999999999</v>
      </c>
      <c r="C342">
        <v>3827</v>
      </c>
    </row>
    <row r="343" spans="1:3" x14ac:dyDescent="0.45">
      <c r="A343">
        <v>0</v>
      </c>
      <c r="B343">
        <v>1.1499999999999999</v>
      </c>
      <c r="C343">
        <v>3853</v>
      </c>
    </row>
    <row r="344" spans="1:3" x14ac:dyDescent="0.45">
      <c r="A344">
        <v>0</v>
      </c>
      <c r="B344">
        <v>1.1000000000000001</v>
      </c>
      <c r="C344">
        <v>3646</v>
      </c>
    </row>
    <row r="345" spans="1:3" x14ac:dyDescent="0.45">
      <c r="A345">
        <v>0</v>
      </c>
      <c r="B345">
        <v>0.87</v>
      </c>
      <c r="C345">
        <v>2265</v>
      </c>
    </row>
    <row r="346" spans="1:3" x14ac:dyDescent="0.45">
      <c r="A346">
        <v>0</v>
      </c>
      <c r="B346">
        <v>1.19</v>
      </c>
      <c r="C346">
        <v>3970</v>
      </c>
    </row>
    <row r="347" spans="1:3" x14ac:dyDescent="0.45">
      <c r="A347">
        <v>0</v>
      </c>
      <c r="B347">
        <v>1.1499999999999999</v>
      </c>
      <c r="C347">
        <v>3900</v>
      </c>
    </row>
    <row r="348" spans="1:3" x14ac:dyDescent="0.45">
      <c r="A348">
        <v>0</v>
      </c>
      <c r="B348">
        <v>1.08</v>
      </c>
      <c r="C348">
        <v>3613</v>
      </c>
    </row>
    <row r="349" spans="1:3" x14ac:dyDescent="0.45">
      <c r="A349">
        <v>0</v>
      </c>
      <c r="B349">
        <v>1.21</v>
      </c>
      <c r="C349">
        <v>4417</v>
      </c>
    </row>
    <row r="350" spans="1:3" x14ac:dyDescent="0.45">
      <c r="A350">
        <v>0</v>
      </c>
      <c r="B350">
        <v>1.21</v>
      </c>
      <c r="C350">
        <v>4417</v>
      </c>
    </row>
    <row r="351" spans="1:3" x14ac:dyDescent="0.45">
      <c r="A351">
        <v>0</v>
      </c>
      <c r="B351">
        <v>1.05</v>
      </c>
      <c r="C351">
        <v>3877</v>
      </c>
    </row>
    <row r="352" spans="1:3" x14ac:dyDescent="0.45">
      <c r="A352">
        <v>0</v>
      </c>
      <c r="B352">
        <v>1.1299999999999999</v>
      </c>
      <c r="C352">
        <v>4004</v>
      </c>
    </row>
    <row r="353" spans="1:3" x14ac:dyDescent="0.45">
      <c r="A353">
        <v>0</v>
      </c>
      <c r="B353">
        <v>1.1299999999999999</v>
      </c>
      <c r="C353">
        <v>4004</v>
      </c>
    </row>
    <row r="354" spans="1:3" x14ac:dyDescent="0.45">
      <c r="A354">
        <v>0</v>
      </c>
      <c r="B354">
        <v>1.03</v>
      </c>
      <c r="C354">
        <v>3677</v>
      </c>
    </row>
    <row r="355" spans="1:3" x14ac:dyDescent="0.45">
      <c r="A355">
        <v>0</v>
      </c>
      <c r="B355">
        <v>1.23</v>
      </c>
      <c r="C355">
        <v>4467</v>
      </c>
    </row>
    <row r="356" spans="1:3" x14ac:dyDescent="0.45">
      <c r="A356">
        <v>0</v>
      </c>
      <c r="B356">
        <v>1.01</v>
      </c>
      <c r="C356">
        <v>3570</v>
      </c>
    </row>
    <row r="357" spans="1:3" x14ac:dyDescent="0.45">
      <c r="A357">
        <v>0</v>
      </c>
      <c r="B357">
        <v>0.91</v>
      </c>
      <c r="C357">
        <v>2926</v>
      </c>
    </row>
    <row r="358" spans="1:3" x14ac:dyDescent="0.45">
      <c r="A358">
        <v>0</v>
      </c>
      <c r="B358">
        <v>1.18</v>
      </c>
      <c r="C358">
        <v>3563</v>
      </c>
    </row>
    <row r="359" spans="1:3" x14ac:dyDescent="0.45">
      <c r="A359">
        <v>0</v>
      </c>
      <c r="B359">
        <v>1.03</v>
      </c>
      <c r="C359">
        <v>3152</v>
      </c>
    </row>
    <row r="360" spans="1:3" x14ac:dyDescent="0.45">
      <c r="A360">
        <v>0</v>
      </c>
      <c r="B360">
        <v>1.03</v>
      </c>
      <c r="C360">
        <v>3385</v>
      </c>
    </row>
    <row r="361" spans="1:3" x14ac:dyDescent="0.45">
      <c r="A361">
        <v>0</v>
      </c>
      <c r="B361">
        <v>1.1000000000000001</v>
      </c>
      <c r="C361">
        <v>3542</v>
      </c>
    </row>
    <row r="362" spans="1:3" x14ac:dyDescent="0.45">
      <c r="A362">
        <v>0</v>
      </c>
      <c r="B362">
        <v>1.21</v>
      </c>
      <c r="C362">
        <v>3882</v>
      </c>
    </row>
    <row r="363" spans="1:3" x14ac:dyDescent="0.45">
      <c r="A363">
        <v>0</v>
      </c>
      <c r="B363">
        <v>1.19</v>
      </c>
      <c r="C363">
        <v>3860</v>
      </c>
    </row>
    <row r="364" spans="1:3" x14ac:dyDescent="0.45">
      <c r="A364">
        <v>0</v>
      </c>
      <c r="B364">
        <v>1</v>
      </c>
      <c r="C364">
        <v>3234</v>
      </c>
    </row>
    <row r="365" spans="1:3" x14ac:dyDescent="0.45">
      <c r="A365">
        <v>0</v>
      </c>
      <c r="B365">
        <v>1.02</v>
      </c>
      <c r="C365">
        <v>2851</v>
      </c>
    </row>
    <row r="366" spans="1:3" x14ac:dyDescent="0.45">
      <c r="A366">
        <v>0</v>
      </c>
      <c r="B366">
        <v>1.1399999999999999</v>
      </c>
      <c r="C366">
        <v>3230</v>
      </c>
    </row>
    <row r="367" spans="1:3" x14ac:dyDescent="0.45">
      <c r="A367">
        <v>0</v>
      </c>
      <c r="B367">
        <v>1.01</v>
      </c>
      <c r="C367">
        <v>2860</v>
      </c>
    </row>
    <row r="368" spans="1:3" x14ac:dyDescent="0.45">
      <c r="A368">
        <v>0</v>
      </c>
      <c r="B368">
        <v>1.01</v>
      </c>
      <c r="C368">
        <v>2860</v>
      </c>
    </row>
    <row r="369" spans="1:3" x14ac:dyDescent="0.45">
      <c r="A369">
        <v>0</v>
      </c>
      <c r="B369">
        <v>1.02</v>
      </c>
      <c r="C369">
        <v>2925</v>
      </c>
    </row>
    <row r="370" spans="1:3" x14ac:dyDescent="0.45">
      <c r="A370">
        <v>0</v>
      </c>
      <c r="B370">
        <v>1.01</v>
      </c>
      <c r="C370">
        <v>3018</v>
      </c>
    </row>
    <row r="371" spans="1:3" x14ac:dyDescent="0.45">
      <c r="A371">
        <v>0</v>
      </c>
      <c r="B371">
        <v>1.03</v>
      </c>
      <c r="C371">
        <v>3111</v>
      </c>
    </row>
    <row r="372" spans="1:3" x14ac:dyDescent="0.45">
      <c r="A372">
        <v>0</v>
      </c>
      <c r="B372">
        <v>1.04</v>
      </c>
      <c r="C372">
        <v>3179</v>
      </c>
    </row>
    <row r="373" spans="1:3" x14ac:dyDescent="0.45">
      <c r="A373">
        <v>0</v>
      </c>
      <c r="B373">
        <v>1</v>
      </c>
      <c r="C373">
        <v>3111</v>
      </c>
    </row>
    <row r="374" spans="1:3" x14ac:dyDescent="0.45">
      <c r="A374">
        <v>0</v>
      </c>
      <c r="B374">
        <v>1.1399999999999999</v>
      </c>
      <c r="C374">
        <v>3676</v>
      </c>
    </row>
    <row r="375" spans="1:3" x14ac:dyDescent="0.45">
      <c r="A375">
        <v>0</v>
      </c>
      <c r="B375">
        <v>1.1599999999999999</v>
      </c>
      <c r="C375">
        <v>3048</v>
      </c>
    </row>
    <row r="376" spans="1:3" x14ac:dyDescent="0.45">
      <c r="A376">
        <v>0</v>
      </c>
      <c r="B376">
        <v>1</v>
      </c>
      <c r="C376">
        <v>2745</v>
      </c>
    </row>
    <row r="377" spans="1:3" x14ac:dyDescent="0.45">
      <c r="A377">
        <v>0</v>
      </c>
      <c r="B377">
        <v>1</v>
      </c>
      <c r="C377">
        <v>2781</v>
      </c>
    </row>
    <row r="378" spans="1:3" x14ac:dyDescent="0.45">
      <c r="A378">
        <v>0</v>
      </c>
      <c r="B378">
        <v>1.1200000000000001</v>
      </c>
      <c r="C378">
        <v>3156</v>
      </c>
    </row>
    <row r="379" spans="1:3" x14ac:dyDescent="0.45">
      <c r="A379">
        <v>0</v>
      </c>
      <c r="B379">
        <v>1</v>
      </c>
      <c r="C379">
        <v>2925</v>
      </c>
    </row>
    <row r="380" spans="1:3" x14ac:dyDescent="0.45">
      <c r="A380">
        <v>0</v>
      </c>
      <c r="B380">
        <v>1.1599999999999999</v>
      </c>
      <c r="C380">
        <v>3048</v>
      </c>
    </row>
    <row r="381" spans="1:3" x14ac:dyDescent="0.45">
      <c r="A381">
        <v>0</v>
      </c>
      <c r="B381">
        <v>1.0900000000000001</v>
      </c>
      <c r="C381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Regression</vt:lpstr>
      <vt:lpstr>OLS</vt:lpstr>
      <vt:lpstr>pivot_cps</vt:lpstr>
      <vt:lpstr>cps99</vt:lpstr>
      <vt:lpstr>pivot_titanic</vt:lpstr>
      <vt:lpstr>titanic</vt:lpstr>
      <vt:lpstr>scatter</vt:lpstr>
      <vt:lpstr>histogram</vt:lpstr>
      <vt:lpstr>formulas</vt:lpstr>
      <vt:lpstr>diamonds</vt:lpstr>
    </vt:vector>
  </TitlesOfParts>
  <Company>University of Rochester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Tianli</dc:creator>
  <cp:lastModifiedBy>Xia, Tianli</cp:lastModifiedBy>
  <dcterms:created xsi:type="dcterms:W3CDTF">2026-10-30T21:27:18Z</dcterms:created>
  <dcterms:modified xsi:type="dcterms:W3CDTF">2026-10-30T21:27:27Z</dcterms:modified>
</cp:coreProperties>
</file>